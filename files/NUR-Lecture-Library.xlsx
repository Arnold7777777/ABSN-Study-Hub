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Exam Reviews (other classes)" sheetId="17" state="visible" r:id="rId17"/>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1">
    <font>
      <name val="Calibri"/>
      <color theme="1"/>
      <sz val="11"/>
      <scheme val="minor"/>
    </font>
    <font>
      <name val="Arial"/>
      <b val="1"/>
      <color rgb="FFFFFFFF"/>
      <sz val="16"/>
    </font>
    <font>
      <name val="Arial"/>
      <b val="1"/>
      <color rgb="FFFFFFFF"/>
      <sz val="20"/>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1155CC"/>
      <sz val="12"/>
      <u val="single"/>
    </font>
    <font>
      <name val="Arial"/>
      <b val="1"/>
      <color rgb="FFFFFFFF"/>
      <sz val="12"/>
      <u val="single"/>
    </font>
    <font>
      <name val="Arial"/>
      <b val="1"/>
      <color rgb="FF1155CC"/>
      <sz val="11"/>
      <u val="single"/>
    </font>
    <font>
      <name val="Arial"/>
      <b val="1"/>
      <color rgb="FFFFFFFF"/>
      <sz val="12"/>
      <u val="single"/>
    </font>
    <font>
      <name val="Arial"/>
      <b val="1"/>
      <color rgb="FF404040"/>
      <sz val="11"/>
    </font>
    <font>
      <name val="Arial"/>
      <b val="1"/>
      <color rgb="FF1155CC"/>
      <sz val="11"/>
      <u val="single"/>
    </font>
    <font>
      <name val="Arial"/>
      <b val="1"/>
      <color rgb="FF1155CC"/>
      <sz val="11"/>
      <u val="single"/>
    </font>
    <font>
      <name val="Arial"/>
      <color theme="1"/>
      <sz val="11"/>
    </font>
    <font>
      <name val="Arial"/>
      <color rgb="FF1155CC"/>
      <sz val="11"/>
      <u val="single"/>
    </font>
    <font>
      <name val="Arial"/>
      <b val="1"/>
      <color rgb="FFFFFFFF"/>
      <sz val="11"/>
      <u val="single"/>
    </font>
    <font>
      <name val="Arial"/>
      <b val="1"/>
      <color rgb="FFFFFFFF"/>
      <sz val="11"/>
      <u val="single"/>
    </font>
    <font>
      <name val="Arial"/>
      <b val="1"/>
      <color rgb="FFFFFFFF"/>
      <sz val="14"/>
      <u val="single"/>
    </font>
    <font>
      <name val="Arial"/>
      <i val="1"/>
      <color rgb="FF333333"/>
      <sz val="11"/>
    </font>
    <font>
      <name val="Arial"/>
      <b val="1"/>
      <color rgb="FFFFFFFF"/>
      <sz val="12"/>
      <u val="single"/>
    </font>
    <font>
      <name val="Arial"/>
      <color rgb="FF1155CC"/>
      <sz val="11"/>
      <u val="single"/>
    </font>
    <font>
      <name val="Arial"/>
      <b val="1"/>
      <color rgb="FFFFFFFF"/>
      <sz val="11"/>
    </font>
    <font>
      <name val="Arial"/>
      <color rgb="FFFFFFFF"/>
      <sz val="11"/>
    </font>
    <font>
      <name val="Arial"/>
      <color theme="0"/>
      <sz val="11"/>
    </font>
    <font>
      <name val="Arial"/>
      <b val="1"/>
      <color rgb="FFFFFFFF"/>
      <sz val="11"/>
      <u val="single"/>
    </font>
    <font>
      <name val="Arial"/>
      <b val="1"/>
      <color theme="0"/>
      <sz val="11"/>
      <u val="single"/>
    </font>
    <font>
      <name val="Arial"/>
      <b val="1"/>
      <color rgb="FFFFFFFF"/>
      <sz val="14"/>
      <u val="single"/>
    </font>
    <font>
      <name val="Arial"/>
      <b val="1"/>
      <color rgb="FFFFFFFF"/>
      <sz val="11"/>
      <u val="single"/>
    </font>
    <font>
      <name val="Arial"/>
      <b val="1"/>
      <color theme="0"/>
      <sz val="11"/>
      <u val="single"/>
    </font>
    <font>
      <name val="Arial"/>
      <b val="1"/>
      <color rgb="FFFFFFFF"/>
      <sz val="11"/>
      <u val="single"/>
    </font>
    <font>
      <name val="Arial"/>
      <b val="1"/>
      <color rgb="FFFFFFFF"/>
      <sz val="12"/>
      <u val="single"/>
    </font>
    <font>
      <name val="Arial"/>
      <b val="1"/>
      <color rgb="FFFFFFFF"/>
      <sz val="11"/>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3A2A00"/>
        <bgColor rgb="FF3A2A00"/>
      </patternFill>
    </fill>
    <fill>
      <patternFill patternType="solid">
        <fgColor rgb="FF0B1B36"/>
        <bgColor rgb="FF0B1B36"/>
      </patternFill>
    </fill>
    <fill>
      <patternFill patternType="solid">
        <fgColor rgb="FF111111"/>
        <bgColor rgb="FF111111"/>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EDEDED"/>
        <bgColor rgb="FFEDEDED"/>
      </patternFill>
    </fill>
    <fill>
      <patternFill patternType="solid">
        <fgColor rgb="FF8A6D1F"/>
        <bgColor rgb="FF8A6D1F"/>
      </patternFill>
    </fill>
    <fill>
      <patternFill patternType="solid">
        <fgColor rgb="FF24406B"/>
        <bgColor rgb="FF24406B"/>
      </patternFill>
    </fill>
    <fill>
      <patternFill patternType="solid">
        <fgColor rgb="FF7D6320"/>
        <bgColor rgb="FF7D6320"/>
      </patternFill>
    </fill>
    <fill>
      <patternFill patternType="solid">
        <fgColor rgb="FF1B3057"/>
        <bgColor rgb="FF1B3057"/>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4A3A10"/>
        <bgColor rgb="FF4A3A10"/>
      </patternFill>
    </fill>
    <fill>
      <patternFill patternType="solid">
        <fgColor rgb="FF2E0F2B"/>
        <bgColor rgb="FF2E0F2B"/>
      </patternFill>
    </fill>
    <fill>
      <patternFill patternType="solid">
        <fgColor rgb="FF4A1F45"/>
        <bgColor rgb="FF4A1F45"/>
      </patternFill>
    </fill>
    <fill>
      <patternFill patternType="solid">
        <fgColor rgb="FF0F2647"/>
        <bgColor rgb="FF0F2647"/>
      </patternFill>
    </fill>
    <fill>
      <patternFill patternType="solid">
        <fgColor rgb="FF333333"/>
        <bgColor rgb="FF333333"/>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9">
    <xf numFmtId="0" fontId="0" fillId="0" borderId="0" applyAlignment="1" pivotButton="0" quotePrefix="0" xfId="0">
      <alignment vertical="bottom"/>
    </xf>
    <xf numFmtId="0" fontId="1" fillId="3" borderId="1" applyAlignment="1" pivotButton="0" quotePrefix="0" xfId="0">
      <alignment horizontal="left" vertical="center"/>
    </xf>
    <xf numFmtId="0" fontId="2" fillId="4" borderId="1" applyAlignment="1" pivotButton="0" quotePrefix="0" xfId="0">
      <alignment horizontal="left" vertical="center"/>
    </xf>
    <xf numFmtId="0" fontId="1" fillId="2"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5" borderId="4" applyAlignment="1" pivotButton="0" quotePrefix="0" xfId="0">
      <alignment horizontal="center" vertical="center"/>
    </xf>
    <xf numFmtId="0" fontId="8" fillId="6" borderId="4" applyAlignment="1" pivotButton="0" quotePrefix="0" xfId="0">
      <alignment horizontal="center" vertical="center"/>
    </xf>
    <xf numFmtId="0" fontId="9" fillId="6" borderId="3" applyAlignment="1" pivotButton="0" quotePrefix="0" xfId="0">
      <alignment horizontal="center" vertical="center"/>
    </xf>
    <xf numFmtId="0" fontId="10" fillId="7" borderId="4" applyAlignment="1" pivotButton="0" quotePrefix="0" xfId="0">
      <alignment horizontal="center" vertical="center"/>
    </xf>
    <xf numFmtId="0" fontId="11" fillId="6" borderId="3" applyAlignment="1" pivotButton="0" quotePrefix="0" xfId="0">
      <alignment horizontal="center" vertical="center"/>
    </xf>
    <xf numFmtId="0" fontId="12" fillId="8" borderId="4" applyAlignment="1" pivotButton="0" quotePrefix="0" xfId="0">
      <alignment horizontal="center" vertical="center"/>
    </xf>
    <xf numFmtId="0" fontId="13" fillId="6" borderId="4" applyAlignment="1" pivotButton="0" quotePrefix="0" xfId="0">
      <alignment horizontal="center" vertical="center"/>
    </xf>
    <xf numFmtId="0" fontId="14" fillId="6" borderId="0" applyAlignment="1" pivotButton="0" quotePrefix="0" xfId="0">
      <alignment horizontal="center" vertical="center"/>
    </xf>
    <xf numFmtId="0" fontId="15" fillId="6" borderId="4" applyAlignment="1" pivotButton="0" quotePrefix="0" xfId="0">
      <alignment horizontal="center" vertical="center"/>
    </xf>
    <xf numFmtId="0" fontId="16" fillId="0" borderId="0" pivotButton="0" quotePrefix="0" xfId="0"/>
    <xf numFmtId="0" fontId="17" fillId="9" borderId="5" applyAlignment="1" pivotButton="0" quotePrefix="0" xfId="0">
      <alignment horizontal="center" vertical="center"/>
    </xf>
    <xf numFmtId="0" fontId="18" fillId="10" borderId="0" applyAlignment="1" pivotButton="0" quotePrefix="0" xfId="0">
      <alignment horizontal="center" vertical="center"/>
    </xf>
    <xf numFmtId="0" fontId="19" fillId="11" borderId="5" applyAlignment="1" pivotButton="0" quotePrefix="0" xfId="0">
      <alignment horizontal="center" vertical="center"/>
    </xf>
    <xf numFmtId="0" fontId="20" fillId="3" borderId="0" applyAlignment="1" pivotButton="0" quotePrefix="0" xfId="0">
      <alignment horizontal="left" vertical="center"/>
    </xf>
    <xf numFmtId="0" fontId="21" fillId="0" borderId="6" applyAlignment="1" pivotButton="0" quotePrefix="0" xfId="0">
      <alignment vertical="center" wrapText="1"/>
    </xf>
    <xf numFmtId="0" fontId="22" fillId="11" borderId="0" applyAlignment="1" pivotButton="0" quotePrefix="0" xfId="0">
      <alignment horizontal="left" vertical="center"/>
    </xf>
    <xf numFmtId="0" fontId="3" fillId="0" borderId="7" pivotButton="0" quotePrefix="0" xfId="0"/>
    <xf numFmtId="0" fontId="16" fillId="11" borderId="0" pivotButton="0" quotePrefix="0" xfId="0"/>
    <xf numFmtId="0" fontId="23" fillId="9" borderId="0" applyAlignment="1" pivotButton="0" quotePrefix="0" xfId="0">
      <alignment horizontal="center" vertical="center"/>
    </xf>
    <xf numFmtId="0" fontId="3" fillId="0" borderId="8" pivotButton="0" quotePrefix="0" xfId="0"/>
    <xf numFmtId="0" fontId="24" fillId="2" borderId="4" applyAlignment="1" pivotButton="0" quotePrefix="0" xfId="0">
      <alignment horizontal="center" vertical="center"/>
    </xf>
    <xf numFmtId="0" fontId="24" fillId="2" borderId="4" applyAlignment="1" pivotButton="0" quotePrefix="0" xfId="0">
      <alignment horizontal="left" vertical="center"/>
    </xf>
    <xf numFmtId="0" fontId="25" fillId="12" borderId="4" applyAlignment="1" pivotButton="0" quotePrefix="0" xfId="0">
      <alignment horizontal="center" vertical="center"/>
    </xf>
    <xf numFmtId="0" fontId="25" fillId="12" borderId="4" applyAlignment="1" pivotButton="0" quotePrefix="0" xfId="0">
      <alignment horizontal="left" vertical="center"/>
    </xf>
    <xf numFmtId="0" fontId="24" fillId="12" borderId="4" applyAlignment="1" pivotButton="0" quotePrefix="0" xfId="0">
      <alignment horizontal="left" vertical="center"/>
    </xf>
    <xf numFmtId="49" fontId="24" fillId="3" borderId="4" applyAlignment="1" pivotButton="0" quotePrefix="0" xfId="0">
      <alignment horizontal="center" vertical="center" wrapText="1"/>
    </xf>
    <xf numFmtId="0" fontId="25" fillId="12" borderId="4" applyAlignment="1" pivotButton="0" quotePrefix="0" xfId="0">
      <alignment horizontal="left" vertical="center" wrapText="1"/>
    </xf>
    <xf numFmtId="0" fontId="26" fillId="11" borderId="4" applyAlignment="1" pivotButton="0" quotePrefix="0" xfId="0">
      <alignment horizontal="center" vertical="center"/>
    </xf>
    <xf numFmtId="0" fontId="26" fillId="11" borderId="4" applyAlignment="1" pivotButton="0" quotePrefix="0" xfId="0">
      <alignment horizontal="left" vertical="center"/>
    </xf>
    <xf numFmtId="0" fontId="25" fillId="11" borderId="4" applyAlignment="1" pivotButton="0" quotePrefix="0" xfId="0">
      <alignment horizontal="center" vertical="center"/>
    </xf>
    <xf numFmtId="0" fontId="27" fillId="12" borderId="4" applyAlignment="1" pivotButton="0" quotePrefix="0" xfId="0">
      <alignment horizontal="left" vertical="center"/>
    </xf>
    <xf numFmtId="0" fontId="25" fillId="12" borderId="4" applyAlignment="1" pivotButton="0" quotePrefix="0" xfId="0">
      <alignment vertical="center" wrapText="1"/>
    </xf>
    <xf numFmtId="0" fontId="25" fillId="11" borderId="4" applyAlignment="1" pivotButton="0" quotePrefix="0" xfId="0">
      <alignment horizontal="left" vertical="center"/>
    </xf>
    <xf numFmtId="0" fontId="28" fillId="13" borderId="4" applyAlignment="1" pivotButton="0" quotePrefix="0" xfId="0">
      <alignment horizontal="left" vertical="center"/>
    </xf>
    <xf numFmtId="0" fontId="25" fillId="14" borderId="4" applyAlignment="1" pivotButton="0" quotePrefix="0" xfId="0">
      <alignment horizontal="center" vertical="center"/>
    </xf>
    <xf numFmtId="0" fontId="26" fillId="13" borderId="4" applyAlignment="1" pivotButton="0" quotePrefix="0" xfId="0">
      <alignment horizontal="left" vertical="center"/>
    </xf>
    <xf numFmtId="0" fontId="25" fillId="14" borderId="4" applyAlignment="1" pivotButton="0" quotePrefix="0" xfId="0">
      <alignment horizontal="left" vertical="center"/>
    </xf>
    <xf numFmtId="0" fontId="29" fillId="15" borderId="0" applyAlignment="1" pivotButton="0" quotePrefix="0" xfId="0">
      <alignment horizontal="left" vertical="center"/>
    </xf>
    <xf numFmtId="0" fontId="30" fillId="14" borderId="4" applyAlignment="1" pivotButton="0" quotePrefix="0" xfId="0">
      <alignment horizontal="left" vertical="center"/>
    </xf>
    <xf numFmtId="0" fontId="31" fillId="11" borderId="4" applyAlignment="1" pivotButton="0" quotePrefix="0" xfId="0">
      <alignment horizontal="left" vertical="center"/>
    </xf>
    <xf numFmtId="0" fontId="32" fillId="11" borderId="4" applyAlignment="1" pivotButton="0" quotePrefix="0" xfId="0">
      <alignment horizontal="left" vertical="center"/>
    </xf>
    <xf numFmtId="0" fontId="25" fillId="14" borderId="4" applyAlignment="1" pivotButton="0" quotePrefix="0" xfId="0">
      <alignment vertical="center" wrapText="1"/>
    </xf>
    <xf numFmtId="0" fontId="33" fillId="16" borderId="0" applyAlignment="1" pivotButton="0" quotePrefix="0" xfId="0">
      <alignment horizontal="left" vertical="center"/>
    </xf>
    <xf numFmtId="0" fontId="25" fillId="13" borderId="4" applyAlignment="1" pivotButton="0" quotePrefix="0" xfId="0">
      <alignment horizontal="center" vertical="center"/>
    </xf>
    <xf numFmtId="0" fontId="16" fillId="16" borderId="0" pivotButton="0" quotePrefix="0" xfId="0"/>
    <xf numFmtId="0" fontId="25" fillId="13" borderId="4" applyAlignment="1" pivotButton="0" quotePrefix="0" xfId="0">
      <alignment horizontal="left" vertical="center"/>
    </xf>
    <xf numFmtId="0" fontId="25" fillId="14" borderId="4" applyAlignment="1" pivotButton="0" quotePrefix="0" xfId="0">
      <alignment horizontal="left" vertical="center" wrapText="1"/>
    </xf>
    <xf numFmtId="0" fontId="34" fillId="13" borderId="4" applyAlignment="1" pivotButton="0" quotePrefix="0" xfId="0">
      <alignment horizontal="left" vertical="center"/>
    </xf>
    <xf numFmtId="0" fontId="24" fillId="11" borderId="4" applyAlignment="1" pivotButton="0" quotePrefix="0" xfId="0">
      <alignment horizontal="left" vertical="center"/>
    </xf>
    <xf numFmtId="0" fontId="25" fillId="17" borderId="4" applyAlignment="1" pivotButton="0" quotePrefix="0" xfId="0">
      <alignment horizontal="center" vertical="center"/>
    </xf>
    <xf numFmtId="0" fontId="25" fillId="17" borderId="4" applyAlignment="1" pivotButton="0" quotePrefix="0" xfId="0">
      <alignment horizontal="left" vertical="center"/>
    </xf>
    <xf numFmtId="0" fontId="35" fillId="18" borderId="0" applyAlignment="1" pivotButton="0" quotePrefix="0" xfId="0">
      <alignment horizontal="left" vertical="center"/>
    </xf>
    <xf numFmtId="0" fontId="36" fillId="19" borderId="0" applyAlignment="1" pivotButton="0" quotePrefix="0" xfId="0">
      <alignment horizontal="left" vertical="center"/>
    </xf>
    <xf numFmtId="0" fontId="16" fillId="19" borderId="0" pivotButton="0" quotePrefix="0" xfId="0"/>
    <xf numFmtId="0" fontId="24" fillId="13" borderId="4" applyAlignment="1" pivotButton="0" quotePrefix="0" xfId="0">
      <alignment horizontal="left" vertical="center"/>
    </xf>
    <xf numFmtId="0" fontId="25" fillId="20" borderId="4" applyAlignment="1" pivotButton="0" quotePrefix="0" xfId="0">
      <alignment horizontal="left" vertical="center"/>
    </xf>
    <xf numFmtId="0" fontId="37" fillId="21"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39" fillId="0" borderId="0" pivotButton="0" quotePrefix="0" xfId="0"/>
    <xf numFmtId="0" fontId="40" fillId="0" borderId="0" pivotButton="0" quotePrefix="0" xfId="0"/>
    <xf numFmtId="0" fontId="41" fillId="19" borderId="4" applyAlignment="1" pivotButton="0" quotePrefix="0" xfId="0">
      <alignment horizontal="left" vertical="center"/>
    </xf>
    <xf numFmtId="0" fontId="25" fillId="19" borderId="4" applyAlignment="1" pivotButton="0" quotePrefix="0" xfId="0">
      <alignment horizontal="left" vertical="center"/>
    </xf>
    <xf numFmtId="0" fontId="26" fillId="0" borderId="0" pivotButton="0" quotePrefix="0" xfId="0"/>
    <xf numFmtId="0" fontId="42" fillId="11" borderId="0" applyAlignment="1" pivotButton="0" quotePrefix="0" xfId="0">
      <alignment horizontal="center" vertical="center"/>
    </xf>
    <xf numFmtId="0" fontId="24" fillId="3" borderId="4" applyAlignment="1" pivotButton="0" quotePrefix="0" xfId="0">
      <alignment horizontal="center" vertical="center" wrapText="1"/>
    </xf>
    <xf numFmtId="0" fontId="43" fillId="3" borderId="4" applyAlignment="1" pivotButton="0" quotePrefix="0" xfId="0">
      <alignment horizontal="center" vertical="center" wrapText="1"/>
    </xf>
    <xf numFmtId="0" fontId="44" fillId="13" borderId="4" applyAlignment="1" pivotButton="0" quotePrefix="0" xfId="0">
      <alignment horizontal="left" vertical="center"/>
    </xf>
    <xf numFmtId="0" fontId="45" fillId="11" borderId="4" applyAlignment="1" pivotButton="0" quotePrefix="0" xfId="0">
      <alignment horizontal="left" vertical="center"/>
    </xf>
    <xf numFmtId="0" fontId="26" fillId="20" borderId="4" applyAlignment="1" pivotButton="0" quotePrefix="0" xfId="0">
      <alignment horizontal="left" vertical="center"/>
    </xf>
    <xf numFmtId="0" fontId="46" fillId="0" borderId="0" pivotButton="0" quotePrefix="0" xfId="0"/>
    <xf numFmtId="0" fontId="47" fillId="0" borderId="0" pivotButton="0" quotePrefix="0" xfId="0"/>
    <xf numFmtId="0" fontId="1" fillId="15" borderId="1" applyAlignment="1" pivotButton="0" quotePrefix="0" xfId="0">
      <alignment horizontal="left" vertical="center"/>
    </xf>
    <xf numFmtId="0" fontId="24" fillId="15" borderId="4" applyAlignment="1" pivotButton="0" quotePrefix="0" xfId="0">
      <alignment horizontal="center" vertical="center" wrapText="1"/>
    </xf>
    <xf numFmtId="0" fontId="25" fillId="16" borderId="4" applyAlignment="1" pivotButton="0" quotePrefix="0" xfId="0">
      <alignment horizontal="center" vertical="center"/>
    </xf>
    <xf numFmtId="0" fontId="25" fillId="16" borderId="4" applyAlignment="1" pivotButton="0" quotePrefix="0" xfId="0">
      <alignment horizontal="left" vertical="center"/>
    </xf>
    <xf numFmtId="0" fontId="48" fillId="16" borderId="4" applyAlignment="1" pivotButton="0" quotePrefix="0" xfId="0">
      <alignment horizontal="left" vertical="center"/>
    </xf>
    <xf numFmtId="0" fontId="25" fillId="22" borderId="4" applyAlignment="1" pivotButton="0" quotePrefix="0" xfId="0">
      <alignment horizontal="center" vertical="center"/>
    </xf>
    <xf numFmtId="0" fontId="25" fillId="22" borderId="4" applyAlignment="1" pivotButton="0" quotePrefix="0" xfId="0">
      <alignment horizontal="left" vertical="center"/>
    </xf>
    <xf numFmtId="0" fontId="49" fillId="22" borderId="4" applyAlignment="1" pivotButton="0" quotePrefix="0" xfId="0">
      <alignment horizontal="left" vertical="center"/>
    </xf>
    <xf numFmtId="0" fontId="25" fillId="16" borderId="4" applyAlignment="1" pivotButton="0" quotePrefix="0" xfId="0">
      <alignment vertical="center" wrapText="1"/>
    </xf>
    <xf numFmtId="0" fontId="50" fillId="16" borderId="4" applyAlignment="1" pivotButton="0" quotePrefix="0" xfId="0">
      <alignment horizontal="left" vertical="center"/>
    </xf>
    <xf numFmtId="0" fontId="51" fillId="22" borderId="4" applyAlignment="1" pivotButton="0" quotePrefix="0" xfId="0">
      <alignment horizontal="left" vertical="center"/>
    </xf>
    <xf numFmtId="0" fontId="25" fillId="23" borderId="4" applyAlignment="1" pivotButton="0" quotePrefix="0" xfId="0">
      <alignment horizontal="left" vertical="center"/>
    </xf>
    <xf numFmtId="0" fontId="1" fillId="18" borderId="1" applyAlignment="1" pivotButton="0" quotePrefix="0" xfId="0">
      <alignment horizontal="left" vertical="center"/>
    </xf>
    <xf numFmtId="0" fontId="52" fillId="9" borderId="5" applyAlignment="1" pivotButton="0" quotePrefix="0" xfId="0">
      <alignment horizontal="center" vertical="center"/>
    </xf>
    <xf numFmtId="0" fontId="53" fillId="24" borderId="5" applyAlignment="1" pivotButton="0" quotePrefix="0" xfId="0">
      <alignment horizontal="center" vertical="center"/>
    </xf>
    <xf numFmtId="0" fontId="24" fillId="18" borderId="4" applyAlignment="1" pivotButton="0" quotePrefix="0" xfId="0">
      <alignment horizontal="center" vertical="center" wrapText="1"/>
    </xf>
    <xf numFmtId="0" fontId="25" fillId="19" borderId="4" applyAlignment="1" pivotButton="0" quotePrefix="0" xfId="0">
      <alignment horizontal="center" vertical="center"/>
    </xf>
    <xf numFmtId="0" fontId="25" fillId="24" borderId="4" applyAlignment="1" pivotButton="0" quotePrefix="0" xfId="0">
      <alignment horizontal="center" vertical="center"/>
    </xf>
    <xf numFmtId="0" fontId="25" fillId="24" borderId="4" applyAlignment="1" pivotButton="0" quotePrefix="0" xfId="0">
      <alignment horizontal="left" vertical="center"/>
    </xf>
    <xf numFmtId="0" fontId="54" fillId="24" borderId="4" applyAlignment="1" pivotButton="0" quotePrefix="0" xfId="0">
      <alignment horizontal="left" vertical="center"/>
    </xf>
    <xf numFmtId="0" fontId="25" fillId="25" borderId="4" applyAlignment="1" pivotButton="0" quotePrefix="0" xfId="0">
      <alignment horizontal="left" vertical="center"/>
    </xf>
    <xf numFmtId="0" fontId="55" fillId="24" borderId="0" applyAlignment="1" pivotButton="0" quotePrefix="0" xfId="0">
      <alignment horizontal="center" vertical="center"/>
    </xf>
    <xf numFmtId="0" fontId="25" fillId="24" borderId="4" applyAlignment="1" pivotButton="0" quotePrefix="0" xfId="0">
      <alignment vertical="center" wrapText="1"/>
    </xf>
    <xf numFmtId="0" fontId="24" fillId="19" borderId="4" applyAlignment="1" pivotButton="0" quotePrefix="0" xfId="0">
      <alignment horizontal="left" vertical="center"/>
    </xf>
    <xf numFmtId="0" fontId="56" fillId="0" borderId="0" pivotButton="0" quotePrefix="0" xfId="0"/>
    <xf numFmtId="0" fontId="24" fillId="24" borderId="4" applyAlignment="1" pivotButton="0" quotePrefix="0" xfId="0">
      <alignment horizontal="left" vertical="center"/>
    </xf>
    <xf numFmtId="0" fontId="57" fillId="19" borderId="4" applyAlignment="1" pivotButton="0" quotePrefix="0" xfId="0">
      <alignment horizontal="left" vertical="center"/>
    </xf>
    <xf numFmtId="0" fontId="25" fillId="25" borderId="0" pivotButton="0" quotePrefix="0" xfId="0"/>
    <xf numFmtId="0" fontId="58" fillId="9" borderId="5" applyAlignment="1" pivotButton="0" quotePrefix="0" xfId="0">
      <alignment horizontal="center" vertical="center"/>
    </xf>
    <xf numFmtId="0" fontId="24" fillId="22" borderId="0" applyAlignment="1" pivotButton="0" quotePrefix="0" xfId="0">
      <alignment horizontal="center" vertical="center"/>
    </xf>
    <xf numFmtId="0" fontId="58" fillId="9" borderId="0" applyAlignment="1" pivotButton="0" quotePrefix="0" xfId="0">
      <alignment horizontal="center" vertical="center"/>
    </xf>
    <xf numFmtId="0" fontId="25" fillId="16" borderId="4" applyAlignment="1" pivotButton="0" quotePrefix="0" xfId="0">
      <alignment horizontal="left" vertical="center" wrapText="1"/>
    </xf>
    <xf numFmtId="0" fontId="59" fillId="16" borderId="4" applyAlignment="1" pivotButton="0" quotePrefix="0" xfId="0">
      <alignment horizontal="center" vertical="center"/>
    </xf>
    <xf numFmtId="0" fontId="25" fillId="22" borderId="4" applyAlignment="1" pivotButton="0" quotePrefix="0" xfId="0">
      <alignment horizontal="left" vertical="center" wrapText="1"/>
    </xf>
    <xf numFmtId="0" fontId="60" fillId="22" borderId="4" applyAlignment="1" pivotButton="0" quotePrefix="0" xfId="0">
      <alignment horizontal="center" vertical="center"/>
    </xf>
    <xf numFmtId="0" fontId="0" fillId="0" borderId="0" pivotButton="0" quotePrefix="0" xfId="0"/>
    <xf numFmtId="0" fontId="21" fillId="0" borderId="5"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outlineLevelCol="0"/>
  <cols>
    <col width="26" customWidth="1" style="115" min="1" max="1"/>
    <col width="22" customWidth="1" style="115" min="2" max="5"/>
    <col width="8.710000000000001" customWidth="1" style="115" min="6" max="6"/>
  </cols>
  <sheetData>
    <row r="1">
      <c r="A1" s="2" t="inlineStr">
        <is>
          <t>NUR LECTURE LIBRARY</t>
        </is>
      </c>
      <c r="F1" s="5" t="n"/>
      <c r="G1" s="5" t="n"/>
    </row>
    <row r="2">
      <c r="A2" s="6" t="inlineStr">
        <is>
          <t>Click a class below → then use the sub-tabs at the top of each sheet.</t>
        </is>
      </c>
      <c r="F2" s="5" t="n"/>
      <c r="G2" s="5" t="n"/>
    </row>
    <row r="3">
      <c r="A3" s="8" t="inlineStr">
        <is>
          <t>NUR234</t>
        </is>
      </c>
      <c r="B3" s="11" t="inlineStr">
        <is>
          <t>NUR235</t>
        </is>
      </c>
      <c r="C3" s="13" t="inlineStr">
        <is>
          <t>NUR258</t>
        </is>
      </c>
      <c r="D3" s="14" t="inlineStr">
        <is>
          <t>🏠 START HERE</t>
        </is>
      </c>
      <c r="E3" s="15" t="inlineStr">
        <is>
          <t>📥 Sort me</t>
        </is>
      </c>
      <c r="F3" s="5" t="n"/>
      <c r="G3" s="5" t="n"/>
    </row>
    <row r="4">
      <c r="A4" s="17" t="n"/>
      <c r="B4" s="17" t="n"/>
      <c r="C4" s="17" t="n"/>
      <c r="D4" s="17" t="n"/>
      <c r="E4" s="17" t="n"/>
      <c r="F4" s="5" t="n"/>
      <c r="G4" s="5" t="n"/>
    </row>
    <row r="5">
      <c r="A5" s="21" t="inlineStr">
        <is>
          <t>NUR234</t>
        </is>
      </c>
      <c r="F5" s="5" t="n"/>
      <c r="G5" s="5" t="n"/>
    </row>
    <row r="6">
      <c r="A6" s="23" t="inlineStr">
        <is>
          <t>→  Kaiser</t>
        </is>
      </c>
      <c r="B6" s="25" t="n"/>
      <c r="C6" s="25" t="n"/>
      <c r="D6" s="25" t="n"/>
      <c r="E6" s="25" t="n"/>
      <c r="F6" s="5" t="n"/>
      <c r="G6" s="5" t="n"/>
    </row>
    <row r="7">
      <c r="A7" s="23" t="inlineStr">
        <is>
          <t>→  Buhler</t>
        </is>
      </c>
      <c r="B7" s="25" t="n"/>
      <c r="C7" s="25" t="n"/>
      <c r="D7" s="25" t="n"/>
      <c r="E7" s="25" t="n"/>
      <c r="F7" s="5" t="n"/>
      <c r="G7" s="5" t="n"/>
    </row>
    <row r="8">
      <c r="A8" s="23" t="inlineStr">
        <is>
          <t>→  Glesner</t>
        </is>
      </c>
      <c r="B8" s="25" t="n"/>
      <c r="C8" s="25" t="n"/>
      <c r="D8" s="25" t="n"/>
      <c r="E8" s="25" t="n"/>
      <c r="F8" s="5" t="n"/>
      <c r="G8" s="5" t="n"/>
    </row>
    <row r="9">
      <c r="A9" s="23" t="inlineStr">
        <is>
          <t>→  Exam Reviews</t>
        </is>
      </c>
      <c r="B9" s="25" t="n"/>
      <c r="C9" s="25" t="n"/>
      <c r="D9" s="25" t="n"/>
      <c r="E9" s="25" t="n"/>
      <c r="F9" s="5" t="n"/>
      <c r="G9" s="5" t="n"/>
    </row>
    <row r="10">
      <c r="A10" s="23">
        <f>HYPERLINK('START HERE'!$B$36,"→  Zoom Backup")</f>
        <v/>
      </c>
      <c r="B10" s="25" t="n"/>
      <c r="C10" s="25" t="n"/>
      <c r="D10" s="25" t="n"/>
      <c r="E10" s="25" t="n"/>
      <c r="F10" s="5" t="n"/>
      <c r="G10" s="5" t="n"/>
    </row>
    <row r="11">
      <c r="A11" s="23" t="inlineStr">
        <is>
          <t>→  Review videos</t>
        </is>
      </c>
      <c r="B11" s="25" t="n"/>
      <c r="C11" s="25" t="n"/>
      <c r="D11" s="25" t="n"/>
      <c r="E11" s="25" t="n"/>
      <c r="F11" s="5" t="n"/>
      <c r="G11" s="5" t="n"/>
    </row>
    <row r="12">
      <c r="A12" s="45" t="inlineStr">
        <is>
          <t>NUR235</t>
        </is>
      </c>
      <c r="F12" s="5" t="n"/>
      <c r="G12" s="5" t="n"/>
    </row>
    <row r="13">
      <c r="A13" s="50" t="inlineStr">
        <is>
          <t>→  Fadell</t>
        </is>
      </c>
      <c r="B13" s="52" t="n"/>
      <c r="C13" s="52" t="n"/>
      <c r="D13" s="52" t="n"/>
      <c r="E13" s="52" t="n"/>
      <c r="F13" s="5" t="n"/>
      <c r="G13" s="5" t="n"/>
    </row>
    <row r="14">
      <c r="A14" s="50" t="inlineStr">
        <is>
          <t>→  Fuller</t>
        </is>
      </c>
      <c r="B14" s="52" t="n"/>
      <c r="C14" s="52" t="n"/>
      <c r="D14" s="52" t="n"/>
      <c r="E14" s="52" t="n"/>
      <c r="F14" s="5" t="n"/>
      <c r="G14" s="5" t="n"/>
    </row>
    <row r="15">
      <c r="A15" s="50" t="inlineStr">
        <is>
          <t>→  Exam Reviews</t>
        </is>
      </c>
      <c r="B15" s="52" t="n"/>
      <c r="C15" s="52" t="n"/>
      <c r="D15" s="52" t="n"/>
      <c r="E15" s="52" t="n"/>
      <c r="F15" s="5" t="n"/>
      <c r="G15" s="5" t="n"/>
    </row>
    <row r="16">
      <c r="A16" s="50">
        <f>HYPERLINK('START HERE'!$B$36,"→  Zoom Backup")</f>
        <v/>
      </c>
      <c r="B16" s="52" t="n"/>
      <c r="C16" s="52" t="n"/>
      <c r="D16" s="52" t="n"/>
      <c r="E16" s="52" t="n"/>
      <c r="F16" s="5" t="n"/>
      <c r="G16" s="5" t="n"/>
    </row>
    <row r="17">
      <c r="A17" s="50" t="inlineStr">
        <is>
          <t>→  Review videos</t>
        </is>
      </c>
      <c r="B17" s="52" t="n"/>
      <c r="C17" s="52" t="n"/>
      <c r="D17" s="52" t="n"/>
      <c r="E17" s="52" t="n"/>
      <c r="F17" s="5" t="n"/>
      <c r="G17" s="5" t="n"/>
    </row>
    <row r="18">
      <c r="A18" s="59" t="inlineStr">
        <is>
          <t>NUR258</t>
        </is>
      </c>
      <c r="F18" s="5" t="n"/>
      <c r="G18" s="5" t="n"/>
    </row>
    <row r="19">
      <c r="A19" s="60" t="inlineStr">
        <is>
          <t>→  Halecka</t>
        </is>
      </c>
      <c r="B19" s="61" t="n"/>
      <c r="C19" s="61" t="n"/>
      <c r="D19" s="61" t="n"/>
      <c r="E19" s="61" t="n"/>
      <c r="F19" s="5" t="n"/>
      <c r="G19" s="5" t="n"/>
    </row>
    <row r="20" ht="15.75" customHeight="1" s="115">
      <c r="A20" s="60" t="inlineStr">
        <is>
          <t>→  Wagner</t>
        </is>
      </c>
      <c r="B20" s="61" t="n"/>
      <c r="C20" s="61" t="n"/>
      <c r="D20" s="61" t="n"/>
      <c r="E20" s="61" t="n"/>
      <c r="F20" s="5" t="n"/>
      <c r="G20" s="5" t="n"/>
    </row>
    <row r="21" ht="15.75" customHeight="1" s="115">
      <c r="A21" s="60" t="inlineStr">
        <is>
          <t>→  Simmons</t>
        </is>
      </c>
      <c r="B21" s="61" t="n"/>
      <c r="C21" s="61" t="n"/>
      <c r="D21" s="61" t="n"/>
      <c r="E21" s="61" t="n"/>
      <c r="F21" s="5" t="n"/>
      <c r="G21" s="5" t="n"/>
    </row>
    <row r="22" ht="15.75" customHeight="1" s="115">
      <c r="A22" s="60" t="inlineStr">
        <is>
          <t>→  Exam Reviews</t>
        </is>
      </c>
      <c r="B22" s="61" t="n"/>
      <c r="C22" s="61" t="n"/>
      <c r="D22" s="61" t="n"/>
      <c r="E22" s="61" t="n"/>
      <c r="F22" s="5" t="n"/>
      <c r="G22" s="5" t="n"/>
    </row>
    <row r="23" ht="15.75" customHeight="1" s="115">
      <c r="A23" s="60">
        <f>HYPERLINK('START HERE'!$B$36,"→  Zoom Backup")</f>
        <v/>
      </c>
      <c r="B23" s="61" t="n"/>
      <c r="C23" s="61" t="n"/>
      <c r="D23" s="61" t="n"/>
      <c r="E23" s="61" t="n"/>
      <c r="F23" s="5" t="n"/>
      <c r="G23" s="5" t="n"/>
    </row>
    <row r="24" ht="15.75" customHeight="1" s="115">
      <c r="A24" s="60" t="inlineStr">
        <is>
          <t>→  Review videos</t>
        </is>
      </c>
      <c r="B24" s="61" t="n"/>
      <c r="C24" s="61" t="n"/>
      <c r="D24" s="61" t="n"/>
      <c r="E24" s="61" t="n"/>
      <c r="F24" s="5" t="n"/>
      <c r="G24" s="5" t="n"/>
    </row>
    <row r="25" ht="15.75" customHeight="1" s="115">
      <c r="A25" s="64" t="inlineStr">
        <is>
          <t>HOW TO USE IT</t>
        </is>
      </c>
      <c r="F25" s="5" t="n"/>
      <c r="G25" s="5" t="n"/>
    </row>
    <row r="26" ht="15.75" customHeight="1" s="115">
      <c r="A26" s="65" t="inlineStr">
        <is>
          <t>•  Every recording links straight to the video in your Google Drive - no passwords needed.</t>
        </is>
      </c>
      <c r="F26" s="5" t="n"/>
      <c r="G26" s="5" t="n"/>
    </row>
    <row r="27" ht="15.75" customHeight="1" s="115">
      <c r="A27" s="65" t="inlineStr">
        <is>
          <t>•  Each lecturer has their own sub-tab. The Lecturer column repeats it row by row.</t>
        </is>
      </c>
      <c r="F27" s="5" t="n"/>
      <c r="G27" s="5" t="n"/>
    </row>
    <row r="28" ht="15.75" customHeight="1" s="115">
      <c r="A28" s="65" t="inlineStr">
        <is>
          <t>•  Zoom (the "Zoom" button on each class, and the links above) opens your NUR Zoom backups workbook - old Zoom links and passwords for sessions with no Drive recording. It reads the link you paste into B36 below.</t>
        </is>
      </c>
      <c r="F28" s="5" t="n"/>
      <c r="G28" s="5" t="n"/>
    </row>
    <row r="29" ht="15.75" customHeight="1" s="115">
      <c r="A29" s="65" t="inlineStr">
        <is>
          <t>•  Use the My notes column however you like - mark what you have watched, jot reminders.</t>
        </is>
      </c>
      <c r="F29" s="5" t="n"/>
      <c r="G29" s="5" t="n"/>
    </row>
    <row r="30" ht="15.75" customHeight="1" s="115">
      <c r="A30" s="65" t="inlineStr">
        <is>
          <t>•  Empty dark rows are already set up for the rest of the semester - just type in them.</t>
        </is>
      </c>
      <c r="F30" s="5" t="n"/>
      <c r="G30" s="5" t="n"/>
    </row>
    <row r="31" ht="15.75" customHeight="1" s="115">
      <c r="A31" s="65" t="inlineStr">
        <is>
          <t>•  To add a recording: right-click the cell -&gt; Link -&gt; paste the Drive URL.</t>
        </is>
      </c>
      <c r="F31" s="5" t="n"/>
      <c r="G31" s="5" t="n"/>
    </row>
    <row r="32" ht="15.75" customHeight="1" s="115">
      <c r="A32" s="65" t="inlineStr">
        <is>
          <t>•  Type in the row right below a table and Excel adds it to the table automatically.  •  Exam reviews for the classes that are not in here (NUR 198, NUR 175, BIO 290V, BIO 280V, Anatomy, Physiology, MAT 300) are on the last tab, "Exam Reviews (other classes)".</t>
        </is>
      </c>
      <c r="F32" s="5" t="n"/>
      <c r="G32" s="5" t="n"/>
    </row>
    <row r="33" ht="15.75" customHeight="1" s="115">
      <c r="A33" s="17" t="n"/>
      <c r="F33" s="5" t="n"/>
      <c r="G33" s="5" t="n"/>
    </row>
    <row r="34" ht="15.75" customHeight="1" s="115">
      <c r="A34" s="66"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5" t="n"/>
      <c r="G34" s="5" t="n"/>
    </row>
    <row r="35" ht="15.75" customHeight="1" s="115">
      <c r="A35" s="17" t="n"/>
      <c r="B35" s="17" t="n"/>
      <c r="C35" s="17" t="n"/>
      <c r="D35" s="17" t="n"/>
      <c r="E35" s="17" t="n"/>
      <c r="F35" s="5" t="n"/>
      <c r="G35" s="5" t="n"/>
    </row>
    <row r="36" ht="15.75" customHeight="1" s="115">
      <c r="A36" s="67" t="inlineStr">
        <is>
          <t>Zoom backups link → paste it into B36 and every "Zoom" button works again:</t>
        </is>
      </c>
      <c r="B36" s="68" t="n"/>
      <c r="C36" s="17" t="n"/>
      <c r="D36" s="17" t="n"/>
      <c r="E36" s="17" t="n"/>
      <c r="F36" s="5" t="n"/>
      <c r="G36" s="5" t="n"/>
    </row>
    <row r="37" ht="15.75" customHeight="1" s="115">
      <c r="A37" s="17" t="n"/>
      <c r="B37" s="17" t="n"/>
      <c r="C37" s="17" t="n"/>
      <c r="D37" s="17" t="n"/>
      <c r="E37" s="17" t="n"/>
      <c r="F37" s="5" t="n"/>
      <c r="G37" s="5" t="n"/>
    </row>
    <row r="38" ht="15.75" customHeight="1" s="115">
      <c r="A38" s="17" t="n"/>
      <c r="B38" s="17" t="n"/>
      <c r="C38" s="17" t="n"/>
      <c r="D38" s="17" t="n"/>
      <c r="E38" s="17" t="n"/>
      <c r="F38" s="5" t="n"/>
      <c r="G38" s="5" t="n"/>
    </row>
    <row r="39" ht="15.75" customHeight="1" s="115">
      <c r="A39" s="17" t="n"/>
      <c r="B39" s="17" t="n"/>
      <c r="C39" s="17" t="n"/>
      <c r="D39" s="17" t="n"/>
      <c r="E39" s="17" t="n"/>
      <c r="F39" s="5" t="n"/>
      <c r="G39" s="5" t="n"/>
    </row>
    <row r="40" ht="15.75" customHeight="1" s="115">
      <c r="A40" s="17" t="n"/>
      <c r="B40" s="17" t="n"/>
      <c r="C40" s="17" t="n"/>
      <c r="D40" s="17" t="n"/>
      <c r="E40" s="17" t="n"/>
      <c r="F40" s="5" t="n"/>
      <c r="G40" s="5" t="n"/>
    </row>
    <row r="41" ht="15.75" customHeight="1" s="115">
      <c r="A41" s="17" t="n"/>
      <c r="B41" s="17" t="n"/>
      <c r="C41" s="17" t="n"/>
      <c r="D41" s="17" t="n"/>
      <c r="E41" s="17" t="n"/>
      <c r="F41" s="5" t="n"/>
      <c r="G41" s="5" t="n"/>
    </row>
    <row r="42" ht="15.75" customHeight="1" s="115">
      <c r="A42" s="17" t="n"/>
      <c r="B42" s="17" t="n"/>
      <c r="C42" s="17" t="n"/>
      <c r="D42" s="17" t="n"/>
      <c r="E42" s="17" t="n"/>
      <c r="F42" s="5" t="n"/>
      <c r="G42" s="5" t="n"/>
    </row>
    <row r="43" ht="15.75" customHeight="1" s="115">
      <c r="A43" s="17" t="n"/>
      <c r="B43" s="17" t="n"/>
      <c r="C43" s="17" t="n"/>
      <c r="D43" s="17" t="n"/>
      <c r="E43" s="17"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row>
    <row r="61" ht="15.75" customHeight="1" s="115">
      <c r="A61" s="5" t="n"/>
      <c r="B61" s="5" t="n"/>
      <c r="C61" s="5" t="n"/>
      <c r="D61" s="5" t="n"/>
      <c r="E61" s="5" t="n"/>
      <c r="F61" s="5" t="n"/>
    </row>
    <row r="62" ht="15.75" customHeight="1" s="115">
      <c r="A62" s="5" t="n"/>
      <c r="B62" s="5" t="n"/>
      <c r="C62" s="5" t="n"/>
      <c r="D62" s="5" t="n"/>
      <c r="E62" s="5" t="n"/>
      <c r="F62" s="5" t="n"/>
    </row>
    <row r="63" ht="15.75" customHeight="1" s="115">
      <c r="A63" s="5" t="n"/>
      <c r="B63" s="5" t="n"/>
      <c r="C63" s="5" t="n"/>
      <c r="D63" s="5" t="n"/>
      <c r="E63" s="5" t="n"/>
      <c r="F63" s="5" t="n"/>
    </row>
    <row r="64" ht="15.75" customHeight="1" s="115">
      <c r="A64" s="5" t="n"/>
      <c r="B64" s="5" t="n"/>
      <c r="C64" s="5" t="n"/>
      <c r="D64" s="5" t="n"/>
      <c r="E64" s="5" t="n"/>
      <c r="F64" s="5" t="n"/>
    </row>
    <row r="65" ht="15.75" customHeight="1" s="115">
      <c r="A65" s="5" t="n"/>
      <c r="B65" s="5" t="n"/>
      <c r="C65" s="5" t="n"/>
      <c r="D65" s="5" t="n"/>
      <c r="E65" s="5" t="n"/>
      <c r="F65" s="5" t="n"/>
    </row>
    <row r="66" ht="15.75" customHeight="1" s="115">
      <c r="A66" s="5" t="n"/>
      <c r="B66" s="5" t="n"/>
      <c r="C66" s="5" t="n"/>
      <c r="D66" s="5" t="n"/>
      <c r="E66" s="5" t="n"/>
      <c r="F66" s="5" t="n"/>
    </row>
    <row r="67" ht="15.75" customHeight="1" s="115">
      <c r="A67" s="5" t="n"/>
      <c r="B67" s="5" t="n"/>
      <c r="C67" s="5" t="n"/>
      <c r="D67" s="5" t="n"/>
      <c r="E67" s="5" t="n"/>
      <c r="F67" s="5" t="n"/>
    </row>
    <row r="68" ht="15.75" customHeight="1" s="115">
      <c r="A68" s="5" t="n"/>
      <c r="B68" s="5" t="n"/>
      <c r="C68" s="5" t="n"/>
      <c r="D68" s="5" t="n"/>
      <c r="E68" s="5" t="n"/>
      <c r="F68" s="5" t="n"/>
    </row>
    <row r="69" ht="15.75" customHeight="1" s="115">
      <c r="A69" s="5" t="n"/>
      <c r="B69" s="5" t="n"/>
      <c r="C69" s="5" t="n"/>
      <c r="D69" s="5" t="n"/>
      <c r="E69" s="5" t="n"/>
      <c r="F69" s="5" t="n"/>
    </row>
    <row r="70" ht="15.75" customHeight="1" s="115">
      <c r="A70" s="5" t="n"/>
      <c r="B70" s="5" t="n"/>
      <c r="C70" s="5" t="n"/>
      <c r="D70" s="5" t="n"/>
      <c r="E70" s="5" t="n"/>
      <c r="F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3" t="inlineStr">
        <is>
          <t>NEW RECORDINGS  ·  sort me</t>
        </is>
      </c>
    </row>
    <row r="2">
      <c r="A2" s="9" t="inlineStr">
        <is>
          <t>NUR234</t>
        </is>
      </c>
      <c r="B2" s="9" t="inlineStr">
        <is>
          <t>NUR235</t>
        </is>
      </c>
      <c r="C2" s="9" t="inlineStr">
        <is>
          <t>NUR258</t>
        </is>
      </c>
      <c r="D2" s="16" t="inlineStr">
        <is>
          <t>🏠 START HERE</t>
        </is>
      </c>
      <c r="E2" s="19" t="inlineStr">
        <is>
          <t>📥 Sort me</t>
        </is>
      </c>
      <c r="F2" s="17" t="n"/>
      <c r="G2" s="17" t="n"/>
    </row>
    <row r="3">
      <c r="A3" s="116" t="inlineStr">
        <is>
          <t>One row is left: the recording it names is no longer in Drive. The 3:13 AM clip was blank and has been trashed; the 3:39 AM one turned out to be Kaiser on fetal circulation and pregnancy signs and is now on the NUR234 Kaiser tab.</t>
        </is>
      </c>
      <c r="B3" s="117" t="n"/>
      <c r="C3" s="117" t="n"/>
      <c r="D3" s="117" t="n"/>
      <c r="E3" s="117" t="n"/>
      <c r="F3" s="117" t="n"/>
      <c r="G3" s="118" t="n"/>
    </row>
    <row r="4">
      <c r="A4" s="17" t="n"/>
      <c r="B4" s="17" t="n"/>
      <c r="C4" s="17" t="n"/>
      <c r="D4" s="17" t="n"/>
      <c r="E4" s="17" t="n"/>
      <c r="F4" s="17" t="n"/>
      <c r="G4" s="17" t="n"/>
    </row>
    <row r="5">
      <c r="A5" s="28" t="inlineStr">
        <is>
          <t>Recorded</t>
        </is>
      </c>
      <c r="B5" s="28" t="inlineStr">
        <is>
          <t>App</t>
        </is>
      </c>
      <c r="C5" s="29" t="inlineStr">
        <is>
          <t>Course</t>
        </is>
      </c>
      <c r="D5" s="29" t="inlineStr">
        <is>
          <t>Lecturer</t>
        </is>
      </c>
      <c r="E5" s="29" t="inlineStr">
        <is>
          <t>Recording</t>
        </is>
      </c>
      <c r="F5" s="29" t="inlineStr">
        <is>
          <t>File</t>
        </is>
      </c>
      <c r="G5" s="29" t="inlineStr">
        <is>
          <t>Notes</t>
        </is>
      </c>
    </row>
    <row r="6">
      <c r="A6" s="30" t="n"/>
      <c r="B6" s="30" t="n"/>
      <c r="C6" s="31" t="n"/>
      <c r="D6" s="31" t="n"/>
      <c r="E6" s="32" t="n"/>
      <c r="F6" s="31" t="n"/>
      <c r="G6" s="34" t="n"/>
    </row>
    <row r="7">
      <c r="A7" s="30" t="n"/>
      <c r="B7" s="30" t="n"/>
      <c r="C7" s="31" t="n"/>
      <c r="D7" s="31" t="n"/>
      <c r="E7" s="32" t="n"/>
      <c r="F7" s="31" t="n"/>
      <c r="G7" s="34" t="n"/>
    </row>
    <row r="8">
      <c r="A8" s="30" t="n"/>
      <c r="B8" s="30" t="n"/>
      <c r="C8" s="31" t="n"/>
      <c r="D8" s="31" t="n"/>
      <c r="E8" s="32" t="n"/>
      <c r="F8" s="31" t="n"/>
      <c r="G8" s="34" t="n"/>
    </row>
    <row r="9">
      <c r="A9" s="30" t="n"/>
      <c r="B9" s="30" t="n"/>
      <c r="C9" s="31" t="n"/>
      <c r="D9" s="31" t="n"/>
      <c r="E9" s="38" t="n"/>
      <c r="F9" s="31" t="n"/>
      <c r="G9" s="39" t="n"/>
    </row>
    <row r="10">
      <c r="A10" s="42" t="n"/>
      <c r="B10" s="42" t="n"/>
      <c r="C10" s="44" t="n"/>
      <c r="D10" s="44" t="n"/>
      <c r="E10" s="46" t="n"/>
      <c r="F10" s="44" t="n"/>
      <c r="G10" s="49" t="n"/>
    </row>
    <row r="11">
      <c r="A11" s="30" t="n"/>
      <c r="B11" s="30" t="n"/>
      <c r="C11" s="31" t="n"/>
      <c r="D11" s="31" t="n"/>
      <c r="E11" s="38" t="n"/>
      <c r="F11" s="31" t="n"/>
      <c r="G11" s="34" t="n"/>
    </row>
    <row r="12">
      <c r="A12" s="42" t="n"/>
      <c r="B12" s="42" t="n"/>
      <c r="C12" s="44" t="n"/>
      <c r="D12" s="44" t="n"/>
      <c r="E12" s="46" t="n"/>
      <c r="F12" s="44" t="n"/>
      <c r="G12" s="54" t="n"/>
    </row>
    <row r="13">
      <c r="A13" s="30" t="n"/>
      <c r="B13" s="30" t="n"/>
      <c r="C13" s="31" t="n"/>
      <c r="D13" s="31" t="n"/>
      <c r="E13" s="32" t="n"/>
      <c r="F13" s="31" t="n"/>
      <c r="G13" s="34" t="n"/>
    </row>
    <row r="14">
      <c r="A14" s="57" t="n"/>
      <c r="B14" s="57" t="n"/>
      <c r="C14" s="58" t="n"/>
      <c r="D14" s="58" t="n"/>
      <c r="E14" s="58" t="n"/>
      <c r="F14" s="58" t="n"/>
      <c r="G14" s="58" t="n"/>
    </row>
    <row r="15">
      <c r="A15" s="57" t="n"/>
      <c r="B15" s="57" t="n"/>
      <c r="C15" s="58" t="n"/>
      <c r="D15" s="58" t="n"/>
      <c r="E15" s="58" t="n"/>
      <c r="F15" s="58" t="n"/>
      <c r="G15" s="58" t="n"/>
    </row>
    <row r="16">
      <c r="A16" s="57" t="n"/>
      <c r="B16" s="57" t="n"/>
      <c r="C16" s="58" t="n"/>
      <c r="D16" s="58" t="n"/>
      <c r="E16" s="58" t="n"/>
      <c r="F16" s="58" t="n"/>
      <c r="G16" s="58" t="n"/>
    </row>
    <row r="17">
      <c r="A17" s="57" t="n"/>
      <c r="B17" s="57" t="n"/>
      <c r="C17" s="58" t="n"/>
      <c r="D17" s="58" t="n"/>
      <c r="E17" s="58" t="n"/>
      <c r="F17" s="58" t="n"/>
      <c r="G17" s="58"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5">
      <c r="A21" s="5" t="n"/>
      <c r="B21" s="5" t="n"/>
      <c r="C21" s="5" t="n"/>
      <c r="D21" s="5" t="n"/>
      <c r="E21" s="5" t="n"/>
      <c r="F21" s="5" t="n"/>
      <c r="G21" s="5" t="n"/>
    </row>
    <row r="22" ht="15.75" customHeight="1" s="115">
      <c r="A22" s="5" t="n"/>
      <c r="B22" s="5" t="n"/>
      <c r="C22" s="5" t="n"/>
      <c r="D22" s="5" t="n"/>
      <c r="E22" s="5" t="n"/>
      <c r="F22" s="5" t="n"/>
      <c r="G22" s="5" t="n"/>
    </row>
    <row r="23" ht="15.75" customHeight="1" s="115">
      <c r="A23" s="5" t="n"/>
      <c r="B23" s="5" t="n"/>
      <c r="C23" s="5" t="n"/>
      <c r="D23" s="5" t="n"/>
      <c r="E23" s="5" t="n"/>
      <c r="F23" s="5" t="n"/>
      <c r="G23" s="5" t="n"/>
    </row>
    <row r="24" ht="15.75" customHeight="1" s="115">
      <c r="A24" s="5" t="n"/>
      <c r="B24" s="5" t="n"/>
      <c r="C24" s="5" t="n"/>
      <c r="D24" s="5" t="n"/>
      <c r="E24" s="5" t="n"/>
      <c r="F24" s="5" t="n"/>
      <c r="G24" s="5" t="n"/>
    </row>
    <row r="25" ht="15.75" customHeight="1" s="115">
      <c r="A25" s="5" t="n"/>
      <c r="B25" s="5" t="n"/>
      <c r="C25" s="5" t="n"/>
      <c r="D25" s="5" t="n"/>
      <c r="E25" s="5" t="n"/>
      <c r="F25" s="5" t="n"/>
      <c r="G25" s="5" t="n"/>
    </row>
    <row r="26" ht="15.75" customHeight="1" s="115">
      <c r="A26" s="5" t="n"/>
      <c r="B26" s="5" t="n"/>
      <c r="C26" s="5" t="n"/>
      <c r="D26" s="5" t="n"/>
      <c r="E26" s="5" t="n"/>
      <c r="F26" s="5" t="n"/>
      <c r="G26" s="5" t="n"/>
    </row>
    <row r="27" ht="15.75" customHeight="1" s="115">
      <c r="A27" s="5" t="n"/>
      <c r="B27" s="5" t="n"/>
      <c r="C27" s="5" t="n"/>
      <c r="D27" s="5" t="n"/>
      <c r="E27" s="5" t="n"/>
      <c r="F27" s="5" t="n"/>
      <c r="G27" s="5" t="n"/>
    </row>
    <row r="28" ht="15.75" customHeight="1" s="115">
      <c r="A28" s="5" t="n"/>
      <c r="B28" s="5" t="n"/>
      <c r="C28" s="5" t="n"/>
      <c r="D28" s="5" t="n"/>
      <c r="E28" s="5" t="n"/>
      <c r="F28" s="5" t="n"/>
      <c r="G28" s="5" t="n"/>
    </row>
    <row r="29" ht="15.75" customHeight="1" s="115">
      <c r="A29" s="5" t="n"/>
      <c r="B29" s="5" t="n"/>
      <c r="C29" s="5" t="n"/>
      <c r="D29" s="5" t="n"/>
      <c r="E29" s="5" t="n"/>
      <c r="F29" s="5" t="n"/>
      <c r="G29" s="5" t="n"/>
    </row>
    <row r="30" ht="15.75" customHeight="1" s="115">
      <c r="A30" s="5" t="n"/>
      <c r="B30" s="5" t="n"/>
      <c r="C30" s="5" t="n"/>
      <c r="D30" s="5" t="n"/>
      <c r="E30" s="5" t="n"/>
      <c r="F30" s="5" t="n"/>
      <c r="G30" s="5" t="n"/>
    </row>
    <row r="31" ht="15.75" customHeight="1" s="115">
      <c r="A31" s="5" t="n"/>
      <c r="B31" s="5" t="n"/>
      <c r="C31" s="5" t="n"/>
      <c r="D31" s="5" t="n"/>
      <c r="E31" s="5" t="n"/>
      <c r="F31" s="5" t="n"/>
      <c r="G31" s="5" t="n"/>
    </row>
    <row r="32" ht="15.75" customHeight="1" s="115">
      <c r="A32" s="5" t="n"/>
      <c r="B32" s="5" t="n"/>
      <c r="C32" s="5" t="n"/>
      <c r="D32" s="5" t="n"/>
      <c r="E32" s="5" t="n"/>
      <c r="F32" s="5" t="n"/>
      <c r="G32" s="5"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5" t="n"/>
      <c r="B36" s="5" t="n"/>
      <c r="C36" s="5" t="n"/>
      <c r="D36" s="5" t="n"/>
      <c r="E36" s="5" t="n"/>
      <c r="F36" s="5" t="n"/>
      <c r="G36" s="5" t="n"/>
    </row>
    <row r="37" ht="15.75" customHeight="1" s="115">
      <c r="A37" s="5" t="n"/>
      <c r="B37" s="5" t="n"/>
      <c r="C37" s="5" t="n"/>
      <c r="D37" s="5" t="n"/>
      <c r="E37" s="5" t="n"/>
      <c r="F37" s="5" t="n"/>
      <c r="G37" s="5" t="n"/>
    </row>
    <row r="38" ht="15.75" customHeight="1" s="115">
      <c r="A38" s="5" t="n"/>
      <c r="B38" s="5" t="n"/>
      <c r="C38" s="5" t="n"/>
      <c r="D38" s="5" t="n"/>
      <c r="E38" s="5" t="n"/>
      <c r="F38" s="5" t="n"/>
      <c r="G38" s="5" t="n"/>
    </row>
    <row r="39" ht="15.75" customHeight="1" s="115">
      <c r="A39" s="5" t="n"/>
      <c r="B39" s="5" t="n"/>
      <c r="C39" s="5" t="n"/>
      <c r="D39" s="5" t="n"/>
      <c r="E39" s="5"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Kaiser</t>
        </is>
      </c>
    </row>
    <row r="2">
      <c r="A2" s="7" t="inlineStr">
        <is>
          <t>NUR234</t>
        </is>
      </c>
      <c r="B2" s="10" t="inlineStr">
        <is>
          <t>NUR235</t>
        </is>
      </c>
      <c r="C2" s="10" t="inlineStr">
        <is>
          <t>NUR258</t>
        </is>
      </c>
      <c r="D2" s="12" t="inlineStr">
        <is>
          <t>🏠 START HERE</t>
        </is>
      </c>
      <c r="E2" s="15" t="inlineStr">
        <is>
          <t>📥 Sort me</t>
        </is>
      </c>
      <c r="F2" s="17" t="n"/>
      <c r="G2" s="17" t="n"/>
    </row>
    <row r="3">
      <c r="A3" s="20" t="inlineStr">
        <is>
          <t>Kaiser</t>
        </is>
      </c>
      <c r="B3" s="18" t="inlineStr">
        <is>
          <t>Buhler</t>
        </is>
      </c>
      <c r="C3" s="18" t="inlineStr">
        <is>
          <t>Glesner</t>
        </is>
      </c>
      <c r="D3" s="26" t="inlineStr">
        <is>
          <t>Exams</t>
        </is>
      </c>
      <c r="E3" s="26">
        <f>HYPERLINK('START HERE'!$B$36,"Zoom")</f>
        <v/>
      </c>
      <c r="F3" s="18" t="inlineStr">
        <is>
          <t>Review videos</t>
        </is>
      </c>
      <c r="G3" s="17" t="n"/>
    </row>
    <row r="4">
      <c r="A4" s="17" t="n"/>
      <c r="B4" s="17" t="n"/>
      <c r="C4" s="17" t="n"/>
      <c r="D4" s="17" t="n"/>
      <c r="E4" s="17" t="n"/>
      <c r="F4" s="17" t="n"/>
      <c r="G4" s="17" t="n"/>
    </row>
    <row r="5">
      <c r="A5" s="33" t="inlineStr">
        <is>
          <t>Module</t>
        </is>
      </c>
      <c r="B5" s="33" t="inlineStr">
        <is>
          <t>Day</t>
        </is>
      </c>
      <c r="C5" s="33" t="inlineStr">
        <is>
          <t>Date</t>
        </is>
      </c>
      <c r="D5" s="33" t="inlineStr">
        <is>
          <t>Lecturer</t>
        </is>
      </c>
      <c r="E5" s="33" t="inlineStr">
        <is>
          <t>Recording</t>
        </is>
      </c>
      <c r="F5" s="33" t="inlineStr">
        <is>
          <t>File</t>
        </is>
      </c>
      <c r="G5" s="33" t="inlineStr">
        <is>
          <t>Notes</t>
        </is>
      </c>
    </row>
    <row r="6">
      <c r="A6" s="37" t="inlineStr">
        <is>
          <t>Module 1</t>
        </is>
      </c>
      <c r="B6" s="37" t="inlineStr">
        <is>
          <t>Day 1</t>
        </is>
      </c>
      <c r="C6" s="40" t="inlineStr">
        <is>
          <t>Spring 2026</t>
        </is>
      </c>
      <c r="D6" s="40" t="inlineStr">
        <is>
          <t>Kaiser</t>
        </is>
      </c>
      <c r="E6" s="47">
        <f>HYPERLINK("https://drive.google.com/open?id=1cFM6BCb3NZQF3oZ4pDuu8clij33-8Z0U&amp;usp=drive_fs","▶  Watch")</f>
        <v/>
      </c>
      <c r="F6" s="40" t="n"/>
      <c r="G6" s="40" t="inlineStr">
        <is>
          <t>Topic: Reproductive Life Planning &amp; Contraception</t>
        </is>
      </c>
    </row>
    <row r="7">
      <c r="A7" s="37" t="inlineStr">
        <is>
          <t>Module 1</t>
        </is>
      </c>
      <c r="B7" s="37" t="inlineStr">
        <is>
          <t>Day 1</t>
        </is>
      </c>
      <c r="C7" s="40" t="inlineStr">
        <is>
          <t>Fall 2026</t>
        </is>
      </c>
      <c r="D7" s="40" t="inlineStr">
        <is>
          <t>Kaiser</t>
        </is>
      </c>
      <c r="E7" s="48">
        <f>HYPERLINK("https://drive.google.com/file/d/1Ojm9nfAxdSOFsLLEmEm5Qj9D5qtjmo6o/view","▶  Watch")</f>
        <v/>
      </c>
      <c r="F7" s="40" t="inlineStr">
        <is>
          <t>NUR234_Fall2026_Kaiser_Wk01_Day1_Lecture.mp4</t>
        </is>
      </c>
      <c r="G7" s="40" t="inlineStr">
        <is>
          <t>Fall 2026 recording, uploaded 23 Sep as "NUR234Wk1Day1_Kaiser.mp4" (254 MB). This row used to repeat the Spring 2026 link.</t>
        </is>
      </c>
    </row>
    <row r="8">
      <c r="A8" s="37" t="inlineStr">
        <is>
          <t>Module 1</t>
        </is>
      </c>
      <c r="B8" s="37" t="inlineStr">
        <is>
          <t>Day 2</t>
        </is>
      </c>
      <c r="C8" s="40" t="inlineStr">
        <is>
          <t>Spring 2026</t>
        </is>
      </c>
      <c r="D8" s="40" t="inlineStr">
        <is>
          <t>Kaiser</t>
        </is>
      </c>
      <c r="E8" s="48">
        <f>HYPERLINK("https://drive.google.com/file/d/1BZlKg-lf2367FCwM5kMaH-zKj9hZ53ff/view","▶  Watch")</f>
        <v/>
      </c>
      <c r="F8" s="40" t="inlineStr">
        <is>
          <t>NUR234 M1d2.mp4</t>
        </is>
      </c>
      <c r="G8" s="40" t="inlineStr">
        <is>
          <t>Topic: Reproductive Life Planning &amp; Contraception</t>
        </is>
      </c>
    </row>
    <row r="9">
      <c r="A9" s="37" t="inlineStr">
        <is>
          <t>Module 1</t>
        </is>
      </c>
      <c r="B9" s="37" t="inlineStr">
        <is>
          <t>Day 2</t>
        </is>
      </c>
      <c r="C9" s="40" t="inlineStr">
        <is>
          <t>Fall 2026</t>
        </is>
      </c>
      <c r="D9" s="40" t="inlineStr">
        <is>
          <t>Kaiser</t>
        </is>
      </c>
      <c r="E9" s="48">
        <f>HYPERLINK("https://drive.google.com/file/d/1BZlKg-lf2367FCwM5kMaH-zKj9hZ53ff/view?usp=drive_link","▶  Watch")</f>
        <v/>
      </c>
      <c r="F9" s="40" t="n"/>
      <c r="G9" s="40" t="inlineStr">
        <is>
          <t>Topic: Reproductive Life Planning &amp; Contraception</t>
        </is>
      </c>
    </row>
    <row r="10">
      <c r="A10" s="51" t="inlineStr">
        <is>
          <t>Module 2</t>
        </is>
      </c>
      <c r="B10" s="51" t="inlineStr">
        <is>
          <t>Day 1</t>
        </is>
      </c>
      <c r="C10" s="40" t="inlineStr">
        <is>
          <t>Spring 2026</t>
        </is>
      </c>
      <c r="D10" s="53" t="inlineStr">
        <is>
          <t>Kaiser</t>
        </is>
      </c>
      <c r="E10" s="55">
        <f>HYPERLINK("https://drive.google.com/file/d/1aCpDDZvcw-_vKduldvfGzF82bcs3P9hY/view","▶  Watch")</f>
        <v/>
      </c>
      <c r="F10" s="53" t="inlineStr">
        <is>
          <t>NUR234 M2d1.mp4</t>
        </is>
      </c>
      <c r="G10" s="53" t="inlineStr">
        <is>
          <t>Topic: Conception, Fetal Development &amp; Placental Function</t>
        </is>
      </c>
    </row>
    <row r="11">
      <c r="A11" s="37" t="inlineStr">
        <is>
          <t>Module 2</t>
        </is>
      </c>
      <c r="B11" s="37" t="inlineStr">
        <is>
          <t>Day 2</t>
        </is>
      </c>
      <c r="C11" s="40" t="inlineStr">
        <is>
          <t>Spring 2026</t>
        </is>
      </c>
      <c r="D11" s="40" t="inlineStr">
        <is>
          <t>Kaiser</t>
        </is>
      </c>
      <c r="E11" s="48">
        <f>HYPERLINK("https://drive.google.com/file/d/1e1xVb3-N2gEFMoK2t1NaL7Qj8NDE9kFD/view","▶  Watch")</f>
        <v/>
      </c>
      <c r="F11" s="40" t="inlineStr">
        <is>
          <t>NUR234 M2D2.mp4</t>
        </is>
      </c>
      <c r="G11" s="40" t="inlineStr">
        <is>
          <t>Topic: Conception, Fetal Development &amp; Placental Function</t>
        </is>
      </c>
    </row>
    <row r="12">
      <c r="A12" s="37" t="inlineStr">
        <is>
          <t>Module 2</t>
        </is>
      </c>
      <c r="B12" s="37" t="inlineStr">
        <is>
          <t>Review session</t>
        </is>
      </c>
      <c r="C12" s="40" t="inlineStr">
        <is>
          <t>Fall 2026</t>
        </is>
      </c>
      <c r="D12" s="40" t="inlineStr">
        <is>
          <t>Kaiser</t>
        </is>
      </c>
      <c r="E12" s="48">
        <f>HYPERLINK("https://drive.google.com/file/d/1GOaFz2XE8d5IlnxGo_qJQu1LQA1wOxHF/view","▶  Watch")</f>
        <v/>
      </c>
      <c r="F12" s="40" t="inlineStr">
        <is>
          <t>NUR234_Fall2026_Kaiser_WkNA_DayNA_Fetal circulation and signs of pregnancy (review session).mp4</t>
        </is>
      </c>
      <c r="G12" s="40"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1" t="inlineStr">
        <is>
          <t>Module 3</t>
        </is>
      </c>
      <c r="B13" s="51" t="inlineStr">
        <is>
          <t>Day 1</t>
        </is>
      </c>
      <c r="C13" s="40" t="inlineStr">
        <is>
          <t>Spring 2026</t>
        </is>
      </c>
      <c r="D13" s="53" t="inlineStr">
        <is>
          <t>Kaiser</t>
        </is>
      </c>
      <c r="E13" s="55">
        <f>HYPERLINK("https://drive.google.com/file/d/1FBsNUnshlh4l-W3rNWVdSjbMPK53UmFM/view","▶  Watch")</f>
        <v/>
      </c>
      <c r="F13" s="53" t="inlineStr">
        <is>
          <t>NUR234 M3D1.mp4</t>
        </is>
      </c>
      <c r="G13" s="53" t="inlineStr">
        <is>
          <t>Topic: Physiologic &amp; Psychological Changes of Pregnancy</t>
        </is>
      </c>
    </row>
    <row r="14">
      <c r="A14" s="37" t="inlineStr">
        <is>
          <t>Module 3</t>
        </is>
      </c>
      <c r="B14" s="37" t="inlineStr">
        <is>
          <t>Day 2</t>
        </is>
      </c>
      <c r="C14" s="40" t="inlineStr">
        <is>
          <t>Spring 2026</t>
        </is>
      </c>
      <c r="D14" s="40" t="inlineStr">
        <is>
          <t>Kaiser</t>
        </is>
      </c>
      <c r="E14" s="48">
        <f>HYPERLINK("https://drive.google.com/file/d/1NN-2j7a6nheCGcHCHqUyBlAbHbGw_m4s/view","▶  Watch")</f>
        <v/>
      </c>
      <c r="F14" s="40" t="inlineStr">
        <is>
          <t>NUR234 M3D2.mp4</t>
        </is>
      </c>
      <c r="G14" s="40" t="inlineStr">
        <is>
          <t>Topic: Physiologic &amp; Psychological Changes of Pregnancy</t>
        </is>
      </c>
    </row>
    <row r="15">
      <c r="A15" s="51" t="inlineStr">
        <is>
          <t>Module 4</t>
        </is>
      </c>
      <c r="B15" s="51" t="inlineStr">
        <is>
          <t>Day 1</t>
        </is>
      </c>
      <c r="C15" s="40" t="inlineStr">
        <is>
          <t>Spring 2026</t>
        </is>
      </c>
      <c r="D15" s="53" t="inlineStr">
        <is>
          <t>Kaiser</t>
        </is>
      </c>
      <c r="E15" s="55">
        <f>HYPERLINK("https://drive.google.com/file/d/1vy0wZ5ijKEG57K1ibHH4ThIhHDTw_rt5/view","▶  Watch")</f>
        <v/>
      </c>
      <c r="F15" s="53" t="inlineStr">
        <is>
          <t>NUR234 M4D1.mp4</t>
        </is>
      </c>
      <c r="G15" s="53" t="inlineStr">
        <is>
          <t>Topic: Prenatal Assessment &amp; Antepartum Fetal Surveillance</t>
        </is>
      </c>
    </row>
    <row r="16">
      <c r="A16" s="37" t="inlineStr">
        <is>
          <t>Module 4</t>
        </is>
      </c>
      <c r="B16" s="37" t="inlineStr">
        <is>
          <t>Day 2</t>
        </is>
      </c>
      <c r="C16" s="40" t="inlineStr">
        <is>
          <t>Spring 2026</t>
        </is>
      </c>
      <c r="D16" s="40" t="inlineStr">
        <is>
          <t>Kaiser</t>
        </is>
      </c>
      <c r="E16" s="48">
        <f>HYPERLINK("https://drive.google.com/file/d/1rizN6FZCmazr35zFpzmy-m0cywYQ8w_6/view","▶  Watch")</f>
        <v/>
      </c>
      <c r="F16" s="40" t="inlineStr">
        <is>
          <t>NUR234 M4D2.mp4</t>
        </is>
      </c>
      <c r="G16" s="40" t="inlineStr">
        <is>
          <t>Topic: Prenatal Assessment &amp; Antepartum Fetal Surveillance</t>
        </is>
      </c>
    </row>
    <row r="17">
      <c r="A17" s="51" t="inlineStr">
        <is>
          <t>Module 5</t>
        </is>
      </c>
      <c r="B17" s="51" t="inlineStr">
        <is>
          <t>Day 1</t>
        </is>
      </c>
      <c r="C17" s="40" t="inlineStr">
        <is>
          <t>Spring 2026</t>
        </is>
      </c>
      <c r="D17" s="53" t="inlineStr">
        <is>
          <t>Kaiser</t>
        </is>
      </c>
      <c r="E17" s="55">
        <f>HYPERLINK("https://drive.google.com/file/d/1ypHWfABT1zSPWs_I_QvKnRKTbF7a5Y7I/view","▶  Watch")</f>
        <v/>
      </c>
      <c r="F17" s="53" t="inlineStr">
        <is>
          <t>NUR234 M5d1.mp4</t>
        </is>
      </c>
      <c r="G17" s="53" t="inlineStr">
        <is>
          <t>Topic: Nutrition &amp; Health Promotion in Pregnancy</t>
        </is>
      </c>
    </row>
    <row r="18">
      <c r="A18" s="37" t="inlineStr">
        <is>
          <t>Module 5</t>
        </is>
      </c>
      <c r="B18" s="37" t="inlineStr">
        <is>
          <t>Day 2</t>
        </is>
      </c>
      <c r="C18" s="40" t="inlineStr">
        <is>
          <t>Spring 2026</t>
        </is>
      </c>
      <c r="D18" s="40" t="inlineStr">
        <is>
          <t>Kaiser</t>
        </is>
      </c>
      <c r="E18" s="48">
        <f>HYPERLINK("https://drive.google.com/file/d/1qDF2FexZhZu5L5cqrEi6WVHwZ2-S1cBp/view","▶  Watch")</f>
        <v/>
      </c>
      <c r="F18" s="40" t="inlineStr">
        <is>
          <t>NUR234 M5d2.mp4</t>
        </is>
      </c>
      <c r="G18" s="40" t="inlineStr">
        <is>
          <t>Topic: Nutrition &amp; Health Promotion in Pregnancy</t>
        </is>
      </c>
    </row>
    <row r="19">
      <c r="A19" s="51" t="inlineStr">
        <is>
          <t>Module 6</t>
        </is>
      </c>
      <c r="B19" s="51" t="inlineStr">
        <is>
          <t>Day 1</t>
        </is>
      </c>
      <c r="C19" s="40" t="inlineStr">
        <is>
          <t>Spring 2026</t>
        </is>
      </c>
      <c r="D19" s="53" t="inlineStr">
        <is>
          <t>Kaiser</t>
        </is>
      </c>
      <c r="E19" s="55">
        <f>HYPERLINK("https://drive.google.com/file/d/1eG4tIMbxzIUTYlgc_SHD8twJNPRZh8CF/view","▶  Watch")</f>
        <v/>
      </c>
      <c r="F19" s="53" t="inlineStr">
        <is>
          <t>NUR234 M6d1.mp4</t>
        </is>
      </c>
      <c r="G19" s="53" t="inlineStr">
        <is>
          <t>Topic: Labor &amp; Birth</t>
        </is>
      </c>
    </row>
    <row r="20">
      <c r="A20" s="37" t="inlineStr">
        <is>
          <t>Module 6</t>
        </is>
      </c>
      <c r="B20" s="37" t="inlineStr">
        <is>
          <t>Day 2</t>
        </is>
      </c>
      <c r="C20" s="40" t="inlineStr">
        <is>
          <t>Spring 2026</t>
        </is>
      </c>
      <c r="D20" s="40" t="inlineStr">
        <is>
          <t>Kaiser</t>
        </is>
      </c>
      <c r="E20" s="48">
        <f>HYPERLINK("https://drive.google.com/file/d/1fYIx3Eng0YHVpJs7xrgFvRD5j4Kf225D/view","▶  Watch")</f>
        <v/>
      </c>
      <c r="F20" s="40" t="inlineStr">
        <is>
          <t>NUR234 M6d2.mp4</t>
        </is>
      </c>
      <c r="G20" s="40" t="inlineStr">
        <is>
          <t>Topic: Labor &amp; Birth</t>
        </is>
      </c>
    </row>
    <row r="21" ht="15.75" customHeight="1" s="115">
      <c r="A21" s="51" t="inlineStr">
        <is>
          <t>Module 7</t>
        </is>
      </c>
      <c r="B21" s="51" t="inlineStr">
        <is>
          <t>Day 1</t>
        </is>
      </c>
      <c r="C21" s="40" t="inlineStr">
        <is>
          <t>Spring 2026</t>
        </is>
      </c>
      <c r="D21" s="53" t="inlineStr">
        <is>
          <t>Kaiser</t>
        </is>
      </c>
      <c r="E21" s="55">
        <f>HYPERLINK("https://drive.google.com/file/d/114LZzONCBRZUWeE3_g8tfpMOmWZTn_B3/view","▶  Watch")</f>
        <v/>
      </c>
      <c r="F21" s="53" t="inlineStr">
        <is>
          <t>NUR234 M7d1.mp4</t>
        </is>
      </c>
      <c r="G21" s="53" t="inlineStr">
        <is>
          <t>Topic: Fetal Monitoring, Comfort &amp; Analgesia in Labor</t>
        </is>
      </c>
    </row>
    <row r="22" ht="15.75" customHeight="1" s="115">
      <c r="A22" s="37" t="inlineStr">
        <is>
          <t>Module 7</t>
        </is>
      </c>
      <c r="B22" s="37" t="inlineStr">
        <is>
          <t>Day 2</t>
        </is>
      </c>
      <c r="C22" s="40" t="inlineStr">
        <is>
          <t>Spring 2026</t>
        </is>
      </c>
      <c r="D22" s="40" t="inlineStr">
        <is>
          <t>Kaiser</t>
        </is>
      </c>
      <c r="E22" s="48">
        <f>HYPERLINK("https://drive.google.com/file/d/1gq2xvEUDy8TmFcK6gQepoJCr9GG3G0Ne/view","▶  Watch")</f>
        <v/>
      </c>
      <c r="F22" s="40" t="inlineStr">
        <is>
          <t>NUR234 M7d2.mp4</t>
        </is>
      </c>
      <c r="G22" s="40" t="inlineStr">
        <is>
          <t>Topic: Fetal Monitoring, Comfort &amp; Analgesia in Labor</t>
        </is>
      </c>
    </row>
    <row r="23" ht="15.75" customHeight="1" s="115">
      <c r="A23" s="51" t="inlineStr">
        <is>
          <t>Module 8</t>
        </is>
      </c>
      <c r="B23" s="51" t="inlineStr">
        <is>
          <t>Day 1</t>
        </is>
      </c>
      <c r="C23" s="40" t="inlineStr">
        <is>
          <t>Spring 2026</t>
        </is>
      </c>
      <c r="D23" s="53" t="inlineStr">
        <is>
          <t>Kaiser</t>
        </is>
      </c>
      <c r="E23" s="55">
        <f>HYPERLINK("https://drive.google.com/file/d/1CyyT2iUwn9hK8FH8kx-7n1ZZsrlj5Jxx/view?usp=drive_link","▶  Watch")</f>
        <v/>
      </c>
      <c r="F23" s="53" t="n"/>
      <c r="G23" s="53" t="inlineStr">
        <is>
          <t>Topic: Early Pregnancy Bleeding &amp; Ectopic Pregnancy</t>
        </is>
      </c>
    </row>
    <row r="24" ht="15.75" customHeight="1" s="115">
      <c r="A24" s="51" t="inlineStr">
        <is>
          <t>Module 8</t>
        </is>
      </c>
      <c r="B24" s="51" t="inlineStr">
        <is>
          <t>Day 2</t>
        </is>
      </c>
      <c r="C24" s="40" t="inlineStr">
        <is>
          <t>Spring 2026</t>
        </is>
      </c>
      <c r="D24" s="53" t="inlineStr">
        <is>
          <t>Kaiser</t>
        </is>
      </c>
      <c r="E24" s="55">
        <f>HYPERLINK("https://drive.google.com/file/d/1IooFZSZA_lB5jNCR6Xic7enhbams239R/view?usp=drive_link","▶  Watch")</f>
        <v/>
      </c>
      <c r="F24" s="53" t="n"/>
      <c r="G24" s="53" t="inlineStr">
        <is>
          <t>Topic: Early Pregnancy Bleeding &amp; Ectopic Pregnancy</t>
        </is>
      </c>
    </row>
    <row r="25" ht="15.75" customHeight="1" s="115">
      <c r="A25" s="51" t="inlineStr">
        <is>
          <t>Module 9</t>
        </is>
      </c>
      <c r="B25" s="51" t="inlineStr">
        <is>
          <t>Day 1</t>
        </is>
      </c>
      <c r="C25" s="40" t="inlineStr">
        <is>
          <t>Spring 2026</t>
        </is>
      </c>
      <c r="D25" s="53" t="inlineStr">
        <is>
          <t>Kaiser</t>
        </is>
      </c>
      <c r="E25" s="55">
        <f>HYPERLINK("https://drive.google.com/file/d/1PHu1Y0-LeptoeNuwhGqxFA10nvLuYDRn/view","▶  Watch")</f>
        <v/>
      </c>
      <c r="F25" s="53" t="inlineStr">
        <is>
          <t>NUR234 M9d1.mp4</t>
        </is>
      </c>
      <c r="G25" s="53" t="inlineStr">
        <is>
          <t>Topic: Hypertensive Disorders &amp; Magnesium Sulfate</t>
        </is>
      </c>
    </row>
    <row r="26" ht="15.75" customHeight="1" s="115">
      <c r="A26" s="37" t="inlineStr">
        <is>
          <t>Module 9</t>
        </is>
      </c>
      <c r="B26" s="37" t="inlineStr">
        <is>
          <t>Day 2</t>
        </is>
      </c>
      <c r="C26" s="40" t="inlineStr">
        <is>
          <t>Spring 2026</t>
        </is>
      </c>
      <c r="D26" s="40" t="inlineStr">
        <is>
          <t>Kaiser</t>
        </is>
      </c>
      <c r="E26" s="48">
        <f>HYPERLINK("https://drive.google.com/file/d/1ztT_Xq_DZviGrXv_kqODzN0mdrAsvLGz/view","▶  Watch")</f>
        <v/>
      </c>
      <c r="F26" s="40" t="inlineStr">
        <is>
          <t>NUR234 M9d2.mp4</t>
        </is>
      </c>
      <c r="G26" s="40" t="inlineStr">
        <is>
          <t>Topic: Hypertensive Disorders &amp; Magnesium Sulfate</t>
        </is>
      </c>
    </row>
    <row r="27" ht="15.75" customHeight="1" s="115">
      <c r="A27" s="51" t="inlineStr">
        <is>
          <t>Module 10</t>
        </is>
      </c>
      <c r="B27" s="51" t="inlineStr">
        <is>
          <t>Day 1</t>
        </is>
      </c>
      <c r="C27" s="40" t="inlineStr">
        <is>
          <t>Spring 2026</t>
        </is>
      </c>
      <c r="D27" s="53" t="inlineStr">
        <is>
          <t>Kaiser</t>
        </is>
      </c>
      <c r="E27" s="55">
        <f>HYPERLINK("https://drive.google.com/file/d/1aO52FeQSOyKWi1eae-uwq9kUR72kaCIh/view","▶  Watch")</f>
        <v/>
      </c>
      <c r="F27" s="53" t="inlineStr">
        <is>
          <t>NUR234 M10d1.mp4</t>
        </is>
      </c>
      <c r="G27" s="53" t="inlineStr">
        <is>
          <t>Topic: Dysfunctional Labor, Uterine Rupture &amp; Obstetric Drug Math</t>
        </is>
      </c>
    </row>
    <row r="28" ht="15.75" customHeight="1" s="115">
      <c r="A28" s="37" t="inlineStr">
        <is>
          <t>Module 10</t>
        </is>
      </c>
      <c r="B28" s="37" t="inlineStr">
        <is>
          <t>Day 2</t>
        </is>
      </c>
      <c r="C28" s="40" t="inlineStr">
        <is>
          <t>Spring 2026</t>
        </is>
      </c>
      <c r="D28" s="40" t="inlineStr">
        <is>
          <t>Kaiser</t>
        </is>
      </c>
      <c r="E28" s="48">
        <f>HYPERLINK("https://drive.google.com/file/d/1ZiJMzo4QipYed89-Vivr-c8vq60a2H6x/view","▶  Watch")</f>
        <v/>
      </c>
      <c r="F28" s="40" t="inlineStr">
        <is>
          <t>NUR234 M10d2.mp4</t>
        </is>
      </c>
      <c r="G28" s="40" t="inlineStr">
        <is>
          <t>Topic: Dysfunctional Labor, Uterine Rupture &amp; Obstetric Drug Math</t>
        </is>
      </c>
    </row>
    <row r="29" ht="15.75" customHeight="1" s="115">
      <c r="A29" s="51" t="inlineStr">
        <is>
          <t>Module 11</t>
        </is>
      </c>
      <c r="B29" s="51" t="inlineStr">
        <is>
          <t>Day 1</t>
        </is>
      </c>
      <c r="C29" s="40" t="inlineStr">
        <is>
          <t>Spring 2026</t>
        </is>
      </c>
      <c r="D29" s="53" t="inlineStr">
        <is>
          <t>Kaiser</t>
        </is>
      </c>
      <c r="E29" s="55">
        <f>HYPERLINK("https://drive.google.com/file/d/1uI7Bnu09YgneDcYKGm2t5FXwliTSsLAt/view","▶  Watch")</f>
        <v/>
      </c>
      <c r="F29" s="53" t="inlineStr">
        <is>
          <t>NUR234 M11d1.mp4</t>
        </is>
      </c>
      <c r="G29" s="53" t="inlineStr">
        <is>
          <t>Topic: Postpartum Assessment &amp; Hemorrhage</t>
        </is>
      </c>
    </row>
    <row r="30" ht="15.75" customHeight="1" s="115">
      <c r="A30" s="37" t="inlineStr">
        <is>
          <t>Module 11</t>
        </is>
      </c>
      <c r="B30" s="37" t="inlineStr">
        <is>
          <t>Day 2</t>
        </is>
      </c>
      <c r="C30" s="40" t="inlineStr">
        <is>
          <t>Spring 2026</t>
        </is>
      </c>
      <c r="D30" s="40" t="inlineStr">
        <is>
          <t>Kaiser</t>
        </is>
      </c>
      <c r="E30" s="48">
        <f>HYPERLINK("https://drive.google.com/file/d/1J9BeWya6ezWD15zmUgnZUF3R2Qlm-hhm/view","▶  Watch")</f>
        <v/>
      </c>
      <c r="F30" s="40" t="inlineStr">
        <is>
          <t>NUR234 M11d2.mp4</t>
        </is>
      </c>
      <c r="G30" s="40" t="inlineStr">
        <is>
          <t>Topic: Postpartum Assessment &amp; Hemorrhage</t>
        </is>
      </c>
    </row>
    <row r="31" ht="15.75" customHeight="1" s="115">
      <c r="A31" s="51" t="inlineStr">
        <is>
          <t>Module 12</t>
        </is>
      </c>
      <c r="B31" s="51" t="inlineStr">
        <is>
          <t>Day 1</t>
        </is>
      </c>
      <c r="C31" s="40" t="inlineStr">
        <is>
          <t>Spring 2026</t>
        </is>
      </c>
      <c r="D31" s="53" t="inlineStr">
        <is>
          <t>Kaiser</t>
        </is>
      </c>
      <c r="E31" s="55">
        <f>HYPERLINK("https://drive.google.com/file/d/1qcNw_OIsuyrFzVlLbAIgaGH_lb9RVNe0/view","▶  Watch")</f>
        <v/>
      </c>
      <c r="F31" s="53" t="inlineStr">
        <is>
          <t>NUR234 M12d1.mp4</t>
        </is>
      </c>
      <c r="G31" s="53" t="inlineStr">
        <is>
          <t>Topic: The Normal Newborn &amp; Thermoregulation</t>
        </is>
      </c>
    </row>
    <row r="32" ht="15.75" customHeight="1" s="115">
      <c r="A32" s="37" t="inlineStr">
        <is>
          <t>Module 12</t>
        </is>
      </c>
      <c r="B32" s="37" t="inlineStr">
        <is>
          <t>Day 2</t>
        </is>
      </c>
      <c r="C32" s="40" t="inlineStr">
        <is>
          <t>Spring 2026</t>
        </is>
      </c>
      <c r="D32" s="40" t="inlineStr">
        <is>
          <t>Kaiser</t>
        </is>
      </c>
      <c r="E32" s="48">
        <f>HYPERLINK("https://drive.google.com/file/d/1cu1ZuTYOyk2XjUeDljRL8sh--WKvu7J-/view","▶  Watch")</f>
        <v/>
      </c>
      <c r="F32" s="40" t="inlineStr">
        <is>
          <t>NUR234 M12d2.mp4</t>
        </is>
      </c>
      <c r="G32" s="40" t="inlineStr">
        <is>
          <t>Topic: The Normal Newborn &amp; Thermoregulation</t>
        </is>
      </c>
    </row>
    <row r="33" ht="15.75" customHeight="1" s="115">
      <c r="A33" s="51" t="inlineStr">
        <is>
          <t>Module 13</t>
        </is>
      </c>
      <c r="B33" s="51" t="inlineStr">
        <is>
          <t>Day 1</t>
        </is>
      </c>
      <c r="C33" s="40" t="inlineStr">
        <is>
          <t>Spring 2026</t>
        </is>
      </c>
      <c r="D33" s="53" t="inlineStr">
        <is>
          <t>Kaiser</t>
        </is>
      </c>
      <c r="E33" s="55">
        <f>HYPERLINK("https://drive.google.com/file/d/1HtFwGZg8qK_fQ8Tu9T7sHkXBWlLRVKaI/view","▶  Watch")</f>
        <v/>
      </c>
      <c r="F33" s="53" t="inlineStr">
        <is>
          <t>NUR234 M13D1.mp4</t>
        </is>
      </c>
      <c r="G33" s="53" t="inlineStr">
        <is>
          <t>Topic: Newborn Feeding</t>
        </is>
      </c>
    </row>
    <row r="34" ht="15.75" customHeight="1" s="115">
      <c r="A34" s="37" t="inlineStr">
        <is>
          <t>Module 13</t>
        </is>
      </c>
      <c r="B34" s="37" t="inlineStr">
        <is>
          <t>Day 2</t>
        </is>
      </c>
      <c r="C34" s="40" t="inlineStr">
        <is>
          <t>Spring 2026</t>
        </is>
      </c>
      <c r="D34" s="40" t="inlineStr">
        <is>
          <t>Kaiser</t>
        </is>
      </c>
      <c r="E34" s="48">
        <f>HYPERLINK("https://drive.google.com/file/d/1SIAOBsm4zGlMHs4Z5BAy__E3gjkbf5yI/view","▶  Watch")</f>
        <v/>
      </c>
      <c r="F34" s="40" t="inlineStr">
        <is>
          <t>NUR234 M13D2.mp4</t>
        </is>
      </c>
      <c r="G34" s="40" t="inlineStr">
        <is>
          <t>Topic: Newborn Feeding</t>
        </is>
      </c>
    </row>
    <row r="35" ht="15.75" customHeight="1" s="115">
      <c r="A35" s="37" t="inlineStr">
        <is>
          <t>Module 14</t>
        </is>
      </c>
      <c r="B35" s="37" t="inlineStr">
        <is>
          <t>Day 1</t>
        </is>
      </c>
      <c r="C35" s="40" t="inlineStr">
        <is>
          <t>Spring 2026</t>
        </is>
      </c>
      <c r="D35" s="40" t="inlineStr">
        <is>
          <t>Kaiser</t>
        </is>
      </c>
      <c r="E35" s="48">
        <f>HYPERLINK("https://drive.google.com/file/d/1IVUURpnc9Fvq64m_3K7sPNWRKkcmnfjK/view?usp=drive_link","▶  Watch")</f>
        <v/>
      </c>
      <c r="F35" s="40" t="n"/>
      <c r="G35" s="40" t="inlineStr">
        <is>
          <t>Topic: The High-Risk Newborn &amp; Course Review</t>
        </is>
      </c>
    </row>
    <row r="36" ht="15.75" customHeight="1" s="115">
      <c r="A36" s="37" t="inlineStr">
        <is>
          <t>Module 14</t>
        </is>
      </c>
      <c r="B36" s="37" t="inlineStr">
        <is>
          <t>Day 2</t>
        </is>
      </c>
      <c r="C36" s="40" t="inlineStr">
        <is>
          <t>Spring 2026</t>
        </is>
      </c>
      <c r="D36" s="40" t="inlineStr">
        <is>
          <t>Kaiser</t>
        </is>
      </c>
      <c r="E36" s="48">
        <f>HYPERLINK("https://drive.google.com/file/d/12LFXOcOPwZ40P442l0KmmsbYb3MRnrff/view?usp=drive_link","▶  Watch")</f>
        <v/>
      </c>
      <c r="F36" s="40" t="n"/>
      <c r="G36" s="40" t="inlineStr">
        <is>
          <t>Topic: The High-Risk Newborn &amp; Course Review</t>
        </is>
      </c>
    </row>
    <row r="37" ht="15.75" customHeight="1" s="115">
      <c r="A37" s="63" t="n"/>
      <c r="B37" s="63" t="n"/>
      <c r="C37" s="63" t="n"/>
      <c r="D37" s="63" t="n"/>
      <c r="E37" s="63" t="n"/>
      <c r="F37" s="63" t="n"/>
      <c r="G37" s="63" t="n"/>
    </row>
    <row r="38" ht="15.75" customHeight="1" s="115">
      <c r="A38" s="63" t="n"/>
      <c r="B38" s="63" t="n"/>
      <c r="C38" s="63" t="n"/>
      <c r="D38" s="63" t="n"/>
      <c r="E38" s="63" t="n"/>
      <c r="F38" s="63" t="n"/>
      <c r="G38" s="63" t="n"/>
    </row>
    <row r="39" ht="15.75" customHeight="1" s="115">
      <c r="A39" s="63" t="n"/>
      <c r="B39" s="63" t="n"/>
      <c r="C39" s="63" t="n"/>
      <c r="D39" s="63" t="n"/>
      <c r="E39" s="63" t="n"/>
      <c r="F39" s="63" t="n"/>
      <c r="G39" s="63" t="n"/>
    </row>
    <row r="40" ht="15.75" customHeight="1" s="115">
      <c r="A40" s="63" t="n"/>
      <c r="B40" s="63" t="n"/>
      <c r="C40" s="63" t="n"/>
      <c r="D40" s="63" t="n"/>
      <c r="E40" s="63" t="n"/>
      <c r="F40" s="63" t="n"/>
      <c r="G40" s="63" t="n"/>
    </row>
    <row r="41" ht="15.75" customHeight="1" s="115">
      <c r="A41" s="63" t="n"/>
      <c r="B41" s="63" t="n"/>
      <c r="C41" s="63" t="n"/>
      <c r="D41" s="63" t="n"/>
      <c r="E41" s="63" t="n"/>
      <c r="F41" s="63" t="n"/>
      <c r="G41" s="63" t="n"/>
    </row>
    <row r="42" ht="15.75" customHeight="1" s="115">
      <c r="A42" s="63" t="n"/>
      <c r="B42" s="63" t="n"/>
      <c r="C42" s="63" t="n"/>
      <c r="D42" s="63" t="n"/>
      <c r="E42" s="63" t="n"/>
      <c r="F42" s="63" t="n"/>
      <c r="G42" s="63"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Buhler</t>
        </is>
      </c>
    </row>
    <row r="2">
      <c r="A2" s="7" t="inlineStr">
        <is>
          <t>NUR234</t>
        </is>
      </c>
      <c r="B2" s="10" t="inlineStr">
        <is>
          <t>NUR235</t>
        </is>
      </c>
      <c r="C2" s="10" t="inlineStr">
        <is>
          <t>NUR258</t>
        </is>
      </c>
      <c r="D2" s="12" t="inlineStr">
        <is>
          <t>🏠 START HERE</t>
        </is>
      </c>
      <c r="E2" s="15" t="inlineStr">
        <is>
          <t>📥 Sort me</t>
        </is>
      </c>
      <c r="F2" s="17" t="n"/>
      <c r="G2" s="17" t="n"/>
    </row>
    <row r="3">
      <c r="A3" s="18" t="inlineStr">
        <is>
          <t>Kaiser</t>
        </is>
      </c>
      <c r="B3" s="20" t="inlineStr">
        <is>
          <t>Buhler</t>
        </is>
      </c>
      <c r="C3" s="18" t="inlineStr">
        <is>
          <t>Glesner</t>
        </is>
      </c>
      <c r="D3" s="26" t="inlineStr">
        <is>
          <t>Exams</t>
        </is>
      </c>
      <c r="E3" s="26">
        <f>HYPERLINK('START HERE'!$B$36,"Zoom")</f>
        <v/>
      </c>
      <c r="F3" s="18" t="inlineStr">
        <is>
          <t>Review videos</t>
        </is>
      </c>
      <c r="G3" s="17" t="n"/>
    </row>
    <row r="4">
      <c r="A4" s="17" t="n"/>
      <c r="B4" s="17" t="n"/>
      <c r="C4" s="17" t="n"/>
      <c r="D4" s="17" t="n"/>
      <c r="E4" s="17" t="n"/>
      <c r="F4" s="17" t="n"/>
      <c r="G4" s="17" t="n"/>
    </row>
    <row r="5">
      <c r="A5" s="33" t="inlineStr">
        <is>
          <t>Module</t>
        </is>
      </c>
      <c r="B5" s="33" t="inlineStr">
        <is>
          <t>Day</t>
        </is>
      </c>
      <c r="C5" s="33" t="inlineStr">
        <is>
          <t>Date</t>
        </is>
      </c>
      <c r="D5" s="33" t="inlineStr">
        <is>
          <t>Lecturer</t>
        </is>
      </c>
      <c r="E5" s="33" t="inlineStr">
        <is>
          <t>Recording</t>
        </is>
      </c>
      <c r="F5" s="33" t="inlineStr">
        <is>
          <t>File</t>
        </is>
      </c>
      <c r="G5" s="33" t="inlineStr">
        <is>
          <t>Notes</t>
        </is>
      </c>
    </row>
    <row r="6">
      <c r="A6" s="35" t="inlineStr">
        <is>
          <t>Module 1</t>
        </is>
      </c>
      <c r="B6" s="35" t="inlineStr">
        <is>
          <t>Day 1</t>
        </is>
      </c>
      <c r="C6" s="36" t="inlineStr">
        <is>
          <t>Fall 2026</t>
        </is>
      </c>
      <c r="D6" s="36" t="inlineStr">
        <is>
          <t>Buhler</t>
        </is>
      </c>
      <c r="E6" s="41">
        <f>HYPERLINK("https://drive.google.com/open?id=1u4dmz5cUxg1cKSpzK5QEigVqQdw7ZAgV&amp;usp=drive_fs","▶  Watch")</f>
        <v/>
      </c>
      <c r="F6" s="43" t="inlineStr">
        <is>
          <t>NUR234_Buhler_Wk1_D1.mp4</t>
        </is>
      </c>
      <c r="G6" s="40" t="inlineStr">
        <is>
          <t>Chapter 6</t>
        </is>
      </c>
    </row>
    <row r="7">
      <c r="A7" s="37" t="inlineStr">
        <is>
          <t>Module 1</t>
        </is>
      </c>
      <c r="B7" s="37" t="inlineStr">
        <is>
          <t>Day 2</t>
        </is>
      </c>
      <c r="C7" s="40" t="inlineStr">
        <is>
          <t>Fall 2026</t>
        </is>
      </c>
      <c r="D7" s="40" t="inlineStr">
        <is>
          <t>Buhler</t>
        </is>
      </c>
      <c r="E7" s="48">
        <f>HYPERLINK("https://drive.google.com/file/d/1CnuSelmTyZAZC85GA3VHMHZZQq5ZtB-S/view","▶  Watch")</f>
        <v/>
      </c>
      <c r="F7" s="40" t="inlineStr">
        <is>
          <t>NUR234_Buhler_Wk1_D2.mp4</t>
        </is>
      </c>
      <c r="G7" s="40" t="inlineStr">
        <is>
          <t>Topic: Reproductive Life Planning &amp; Contraception</t>
        </is>
      </c>
    </row>
    <row r="8">
      <c r="A8" s="51" t="inlineStr">
        <is>
          <t>Module 2</t>
        </is>
      </c>
      <c r="B8" s="51" t="inlineStr">
        <is>
          <t>Day 1</t>
        </is>
      </c>
      <c r="C8" s="40" t="inlineStr">
        <is>
          <t>Fall 2026</t>
        </is>
      </c>
      <c r="D8" s="53" t="inlineStr">
        <is>
          <t>Buhler</t>
        </is>
      </c>
      <c r="E8" s="55">
        <f>HYPERLINK("https://drive.google.com/file/d/17VZ8oHKVfrKNkHLMkfalKuIqLrMv_okM/view","▶  Watch")</f>
        <v/>
      </c>
      <c r="F8" s="53" t="inlineStr">
        <is>
          <t>NUR234_Chapter_9_(Source).mp4</t>
        </is>
      </c>
      <c r="G8" s="53" t="inlineStr">
        <is>
          <t>Chapter 9 - placed by chapter order, move the row if it belongs elsewhere</t>
        </is>
      </c>
    </row>
    <row r="9">
      <c r="A9" s="37" t="inlineStr">
        <is>
          <t>Module 2</t>
        </is>
      </c>
      <c r="B9" s="37" t="inlineStr">
        <is>
          <t>Day 2</t>
        </is>
      </c>
      <c r="C9" s="40" t="inlineStr">
        <is>
          <t>Fall 2026</t>
        </is>
      </c>
      <c r="D9" s="40" t="inlineStr">
        <is>
          <t>Buhler</t>
        </is>
      </c>
      <c r="E9" s="56" t="n"/>
      <c r="F9" s="40" t="n"/>
      <c r="G9" s="40" t="n"/>
    </row>
    <row r="10">
      <c r="A10" s="51" t="inlineStr">
        <is>
          <t>Module 3</t>
        </is>
      </c>
      <c r="B10" s="51" t="inlineStr">
        <is>
          <t>Day 1</t>
        </is>
      </c>
      <c r="C10" s="40" t="inlineStr">
        <is>
          <t>Fall 2026</t>
        </is>
      </c>
      <c r="D10" s="53" t="inlineStr">
        <is>
          <t>Buhler</t>
        </is>
      </c>
      <c r="E10" s="55">
        <f>HYPERLINK("https://drive.google.com/file/d/13GSnMwCucMykxi0DP8aGTl_htiXv0mPZ/view","▶  Watch")</f>
        <v/>
      </c>
      <c r="F10" s="53" t="inlineStr">
        <is>
          <t>NUR234_Fall2026_Buhler_WkNA_DayNA_Chapter 10 Psychological and Physiological Changes of Pregnancy.mp4</t>
        </is>
      </c>
      <c r="G10" s="53" t="inlineStr">
        <is>
          <t>Chapter 10 - placed by chapter order, move the row if it belongs elsewhere</t>
        </is>
      </c>
    </row>
    <row r="11">
      <c r="A11" s="37" t="inlineStr">
        <is>
          <t>Module 3</t>
        </is>
      </c>
      <c r="B11" s="37" t="inlineStr">
        <is>
          <t>Day 2</t>
        </is>
      </c>
      <c r="C11" s="40" t="inlineStr">
        <is>
          <t>Fall 2026</t>
        </is>
      </c>
      <c r="D11" s="40" t="inlineStr">
        <is>
          <t>Buhler</t>
        </is>
      </c>
      <c r="E11" s="56" t="n"/>
      <c r="F11" s="40" t="n"/>
      <c r="G11" s="40" t="n"/>
    </row>
    <row r="12">
      <c r="A12" s="51" t="inlineStr">
        <is>
          <t>Module 4</t>
        </is>
      </c>
      <c r="B12" s="51" t="inlineStr">
        <is>
          <t>Day 1</t>
        </is>
      </c>
      <c r="C12" s="40" t="inlineStr">
        <is>
          <t>Fall 2026</t>
        </is>
      </c>
      <c r="D12" s="53" t="inlineStr">
        <is>
          <t>Not named</t>
        </is>
      </c>
      <c r="E12" s="55">
        <f>HYPERLINK("https://drive.google.com/file/d/1-DV8jAn3hFddHFvpr8kgYtyjI9t8QJZi/view","▶  Watch")</f>
        <v/>
      </c>
      <c r="F12" s="53" t="inlineStr">
        <is>
          <t>NUR234_Chapter_11_(Source).mp4</t>
        </is>
      </c>
      <c r="G12" s="53" t="inlineStr">
        <is>
          <t>Chapter 11 - lecturer is not named in the file. Placed by chapter order, move the row if it belongs elsewhere</t>
        </is>
      </c>
    </row>
    <row r="13">
      <c r="A13" s="37" t="inlineStr">
        <is>
          <t>Module 4</t>
        </is>
      </c>
      <c r="B13" s="37" t="inlineStr">
        <is>
          <t>Day 2</t>
        </is>
      </c>
      <c r="C13" s="40" t="inlineStr">
        <is>
          <t>Fall 2026</t>
        </is>
      </c>
      <c r="D13" s="40" t="inlineStr">
        <is>
          <t>Buhler</t>
        </is>
      </c>
      <c r="E13" s="56" t="n"/>
      <c r="F13" s="40" t="n"/>
      <c r="G13" s="40" t="n"/>
    </row>
    <row r="14">
      <c r="A14" s="51" t="inlineStr">
        <is>
          <t>Module 5</t>
        </is>
      </c>
      <c r="B14" s="51" t="inlineStr">
        <is>
          <t>Day 1</t>
        </is>
      </c>
      <c r="C14" s="40" t="inlineStr">
        <is>
          <t>Fall 2026</t>
        </is>
      </c>
      <c r="D14" s="53" t="inlineStr">
        <is>
          <t>Buhler</t>
        </is>
      </c>
      <c r="E14" s="55">
        <f>HYPERLINK("https://drive.google.com/file/d/1HQHKEoo2ntCRU3q8qmQ1y1F3tL6TOkJ2/view","▶  Watch")</f>
        <v/>
      </c>
      <c r="F14" s="53" t="inlineStr">
        <is>
          <t>NUR234_Fall2026_Buhler_Wk05_DayNA_Chapter 12.mp4</t>
        </is>
      </c>
      <c r="G14" s="53" t="inlineStr">
        <is>
          <t>Chapter 12</t>
        </is>
      </c>
    </row>
    <row r="15">
      <c r="A15" s="37" t="inlineStr">
        <is>
          <t>Module 5</t>
        </is>
      </c>
      <c r="B15" s="37" t="inlineStr">
        <is>
          <t>Day 2</t>
        </is>
      </c>
      <c r="C15" s="40" t="inlineStr">
        <is>
          <t>Fall 2026</t>
        </is>
      </c>
      <c r="D15" s="40" t="inlineStr">
        <is>
          <t>Buhler</t>
        </is>
      </c>
      <c r="E15" s="55">
        <f>HYPERLINK("https://drive.google.com/file/d/1z3U5EJf1WVte6o2sK-hdCtuE1Hos0YEj/view","▶  Watch")</f>
        <v/>
      </c>
      <c r="F15" s="53" t="inlineStr">
        <is>
          <t>NUR234_Fall2026_Buhler_Wk05_DayNA_Chapter 13.mp4</t>
        </is>
      </c>
      <c r="G15" s="53" t="inlineStr">
        <is>
          <t>Chapter 13</t>
        </is>
      </c>
    </row>
    <row r="16">
      <c r="A16" s="51" t="inlineStr">
        <is>
          <t>Module 6</t>
        </is>
      </c>
      <c r="B16" s="51" t="inlineStr">
        <is>
          <t>Day 1</t>
        </is>
      </c>
      <c r="C16" s="40" t="inlineStr">
        <is>
          <t>Fall 2026</t>
        </is>
      </c>
      <c r="D16" s="40" t="inlineStr">
        <is>
          <t>Not named</t>
        </is>
      </c>
      <c r="E16" s="55">
        <f>HYPERLINK("https://drive.google.com/file/d/1HvfwKXxW2MAssWfgSmFv9UD6rYShOYoa/view","▶  Watch")</f>
        <v/>
      </c>
      <c r="F16" s="53" t="inlineStr">
        <is>
          <t>NUR234_Fall2026_WkNA_DayNA_Chapter 15.mp4</t>
        </is>
      </c>
      <c r="G16" s="53"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37" t="inlineStr">
        <is>
          <t>Module 6</t>
        </is>
      </c>
      <c r="B17" s="37" t="inlineStr">
        <is>
          <t>Day 2</t>
        </is>
      </c>
      <c r="C17" s="40" t="inlineStr">
        <is>
          <t>Fall 2026</t>
        </is>
      </c>
      <c r="D17" s="40" t="inlineStr">
        <is>
          <t>Buhler</t>
        </is>
      </c>
      <c r="E17" s="56" t="n"/>
      <c r="F17" s="40" t="n"/>
      <c r="G17" s="40" t="n"/>
    </row>
    <row r="18">
      <c r="A18" s="51" t="inlineStr">
        <is>
          <t>Module 7</t>
        </is>
      </c>
      <c r="B18" s="51" t="inlineStr">
        <is>
          <t>Day 1</t>
        </is>
      </c>
      <c r="C18" s="40" t="inlineStr">
        <is>
          <t>Fall 2026</t>
        </is>
      </c>
      <c r="D18" s="53" t="inlineStr">
        <is>
          <t>Buhler</t>
        </is>
      </c>
      <c r="E18" s="55">
        <f>HYPERLINK("https://drive.google.com/file/d/1PIv85W-E3PUKMP_RCmbAdilOOO4FRkAi/view","▶  Watch")</f>
        <v/>
      </c>
      <c r="F18" s="53" t="inlineStr">
        <is>
          <t>NUR234_Fall2026_Buhler_Wk07_DayNA_Chapter 16 Providing Comfort During Labor and Birth.mp4</t>
        </is>
      </c>
      <c r="G18" s="53" t="inlineStr">
        <is>
          <t>Chapter 16 - Providing Comfort During Labor and Birth</t>
        </is>
      </c>
    </row>
    <row r="19">
      <c r="A19" s="37" t="inlineStr">
        <is>
          <t>Module 7</t>
        </is>
      </c>
      <c r="B19" s="37" t="inlineStr">
        <is>
          <t>Day 2</t>
        </is>
      </c>
      <c r="C19" s="40" t="inlineStr">
        <is>
          <t>Fall 2026</t>
        </is>
      </c>
      <c r="D19" s="40" t="inlineStr">
        <is>
          <t>Buhler</t>
        </is>
      </c>
      <c r="E19" s="56" t="n"/>
      <c r="F19" s="40" t="n"/>
      <c r="G19" s="40" t="n"/>
    </row>
    <row r="20">
      <c r="A20" s="51" t="inlineStr">
        <is>
          <t>Module 8</t>
        </is>
      </c>
      <c r="B20" s="51" t="inlineStr">
        <is>
          <t>Day 1</t>
        </is>
      </c>
      <c r="C20" s="40" t="inlineStr">
        <is>
          <t>Fall 2026</t>
        </is>
      </c>
      <c r="D20" s="53" t="inlineStr">
        <is>
          <t>Buhler</t>
        </is>
      </c>
      <c r="E20" s="62" t="n"/>
      <c r="F20" s="53" t="n"/>
      <c r="G20" s="53" t="n"/>
    </row>
    <row r="21" ht="15.75" customHeight="1" s="115">
      <c r="A21" s="51" t="inlineStr">
        <is>
          <t>Module 8</t>
        </is>
      </c>
      <c r="B21" s="51" t="inlineStr">
        <is>
          <t>Day 2</t>
        </is>
      </c>
      <c r="C21" s="40" t="inlineStr">
        <is>
          <t>Fall 2026</t>
        </is>
      </c>
      <c r="D21" s="53" t="inlineStr">
        <is>
          <t>Buhler</t>
        </is>
      </c>
      <c r="E21" s="62" t="n"/>
      <c r="F21" s="53" t="n"/>
      <c r="G21" s="53" t="n"/>
    </row>
    <row r="22" ht="15.75" customHeight="1" s="115">
      <c r="A22" s="51" t="inlineStr">
        <is>
          <t>Module 9</t>
        </is>
      </c>
      <c r="B22" s="51" t="inlineStr">
        <is>
          <t>Day 1</t>
        </is>
      </c>
      <c r="C22" s="40" t="inlineStr">
        <is>
          <t>Fall 2026</t>
        </is>
      </c>
      <c r="D22" s="53" t="inlineStr">
        <is>
          <t>Buhler</t>
        </is>
      </c>
      <c r="E22" s="62" t="n"/>
      <c r="F22" s="53" t="n"/>
      <c r="G22" s="53" t="n"/>
    </row>
    <row r="23" ht="15.75" customHeight="1" s="115">
      <c r="A23" s="37" t="inlineStr">
        <is>
          <t>Module 9</t>
        </is>
      </c>
      <c r="B23" s="37" t="inlineStr">
        <is>
          <t>Day 2</t>
        </is>
      </c>
      <c r="C23" s="40" t="inlineStr">
        <is>
          <t>Fall 2026</t>
        </is>
      </c>
      <c r="D23" s="40" t="inlineStr">
        <is>
          <t>Buhler</t>
        </is>
      </c>
      <c r="E23" s="56" t="n"/>
      <c r="F23" s="40" t="n"/>
      <c r="G23" s="40" t="n"/>
    </row>
    <row r="24" ht="15.75" customHeight="1" s="115">
      <c r="A24" s="51" t="inlineStr">
        <is>
          <t>Module 10</t>
        </is>
      </c>
      <c r="B24" s="51" t="inlineStr">
        <is>
          <t>Day 1</t>
        </is>
      </c>
      <c r="C24" s="40" t="inlineStr">
        <is>
          <t>Fall 2026</t>
        </is>
      </c>
      <c r="D24" s="53" t="inlineStr">
        <is>
          <t>Buhler</t>
        </is>
      </c>
      <c r="E24" s="62" t="n"/>
      <c r="F24" s="53" t="n"/>
      <c r="G24" s="53" t="n"/>
    </row>
    <row r="25" ht="15.75" customHeight="1" s="115">
      <c r="A25" s="37" t="inlineStr">
        <is>
          <t>Module 10</t>
        </is>
      </c>
      <c r="B25" s="37" t="inlineStr">
        <is>
          <t>Day 2</t>
        </is>
      </c>
      <c r="C25" s="40" t="inlineStr">
        <is>
          <t>Fall 2026</t>
        </is>
      </c>
      <c r="D25" s="40" t="inlineStr">
        <is>
          <t>Buhler</t>
        </is>
      </c>
      <c r="E25" s="56" t="n"/>
      <c r="F25" s="40" t="n"/>
      <c r="G25" s="40" t="n"/>
    </row>
    <row r="26" ht="15.75" customHeight="1" s="115">
      <c r="A26" s="51" t="inlineStr">
        <is>
          <t>Module 11</t>
        </is>
      </c>
      <c r="B26" s="51" t="inlineStr">
        <is>
          <t>Day 1</t>
        </is>
      </c>
      <c r="C26" s="40" t="inlineStr">
        <is>
          <t>Fall 2026</t>
        </is>
      </c>
      <c r="D26" s="53" t="inlineStr">
        <is>
          <t>Buhler</t>
        </is>
      </c>
      <c r="E26" s="62" t="n"/>
      <c r="F26" s="53" t="n"/>
      <c r="G26" s="53" t="n"/>
    </row>
    <row r="27" ht="15.75" customHeight="1" s="115">
      <c r="A27" s="37" t="inlineStr">
        <is>
          <t>Module 11</t>
        </is>
      </c>
      <c r="B27" s="37" t="inlineStr">
        <is>
          <t>Day 2</t>
        </is>
      </c>
      <c r="C27" s="40" t="inlineStr">
        <is>
          <t>Fall 2026</t>
        </is>
      </c>
      <c r="D27" s="40" t="inlineStr">
        <is>
          <t>Buhler</t>
        </is>
      </c>
      <c r="E27" s="56" t="n"/>
      <c r="F27" s="40" t="n"/>
      <c r="G27" s="40" t="n"/>
    </row>
    <row r="28" ht="15.75" customHeight="1" s="115">
      <c r="A28" s="51" t="inlineStr">
        <is>
          <t>Module 12</t>
        </is>
      </c>
      <c r="B28" s="51" t="inlineStr">
        <is>
          <t>Day 1</t>
        </is>
      </c>
      <c r="C28" s="40" t="inlineStr">
        <is>
          <t>Fall 2026</t>
        </is>
      </c>
      <c r="D28" s="53" t="inlineStr">
        <is>
          <t>Buhler</t>
        </is>
      </c>
      <c r="E28" s="62" t="n"/>
      <c r="F28" s="53" t="n"/>
      <c r="G28" s="53" t="n"/>
    </row>
    <row r="29" ht="15.75" customHeight="1" s="115">
      <c r="A29" s="37" t="inlineStr">
        <is>
          <t>Module 12</t>
        </is>
      </c>
      <c r="B29" s="37" t="inlineStr">
        <is>
          <t>Day 2</t>
        </is>
      </c>
      <c r="C29" s="40" t="inlineStr">
        <is>
          <t>Fall 2026</t>
        </is>
      </c>
      <c r="D29" s="40" t="inlineStr">
        <is>
          <t>Buhler</t>
        </is>
      </c>
      <c r="E29" s="56" t="n"/>
      <c r="F29" s="40" t="n"/>
      <c r="G29" s="40" t="n"/>
    </row>
    <row r="30" ht="15.75" customHeight="1" s="115">
      <c r="A30" s="51" t="inlineStr">
        <is>
          <t>Module 13</t>
        </is>
      </c>
      <c r="B30" s="51" t="inlineStr">
        <is>
          <t>Day 1</t>
        </is>
      </c>
      <c r="C30" s="40" t="inlineStr">
        <is>
          <t>Fall 2026</t>
        </is>
      </c>
      <c r="D30" s="53" t="inlineStr">
        <is>
          <t>Buhler</t>
        </is>
      </c>
      <c r="E30" s="62" t="n"/>
      <c r="F30" s="53" t="n"/>
      <c r="G30" s="53" t="n"/>
    </row>
    <row r="31" ht="15.75" customHeight="1" s="115">
      <c r="A31" s="37" t="inlineStr">
        <is>
          <t>Module 13</t>
        </is>
      </c>
      <c r="B31" s="37" t="inlineStr">
        <is>
          <t>Day 2</t>
        </is>
      </c>
      <c r="C31" s="40" t="inlineStr">
        <is>
          <t>Fall 2026</t>
        </is>
      </c>
      <c r="D31" s="40" t="inlineStr">
        <is>
          <t>Buhler</t>
        </is>
      </c>
      <c r="E31" s="56" t="n"/>
      <c r="F31" s="40" t="n"/>
      <c r="G31" s="40" t="n"/>
    </row>
    <row r="32" ht="15.75" customHeight="1" s="115">
      <c r="A32" s="37" t="inlineStr">
        <is>
          <t>Module 14</t>
        </is>
      </c>
      <c r="B32" s="37" t="inlineStr">
        <is>
          <t>Day 1</t>
        </is>
      </c>
      <c r="C32" s="40" t="inlineStr">
        <is>
          <t>Fall 2026</t>
        </is>
      </c>
      <c r="D32" s="40" t="inlineStr">
        <is>
          <t>Buhler</t>
        </is>
      </c>
      <c r="E32" s="56" t="n"/>
      <c r="F32" s="40" t="n"/>
      <c r="G32" s="40" t="n"/>
    </row>
    <row r="33" ht="15.75" customHeight="1" s="115">
      <c r="A33" s="37" t="inlineStr">
        <is>
          <t>Module 14</t>
        </is>
      </c>
      <c r="B33" s="37" t="inlineStr">
        <is>
          <t>Day 2</t>
        </is>
      </c>
      <c r="C33" s="40" t="inlineStr">
        <is>
          <t>Fall 2026</t>
        </is>
      </c>
      <c r="D33" s="40" t="inlineStr">
        <is>
          <t>Buhler</t>
        </is>
      </c>
      <c r="E33" s="56" t="n"/>
      <c r="F33" s="40" t="n"/>
      <c r="G33" s="40" t="n"/>
    </row>
    <row r="34" ht="15.75" customHeight="1" s="115">
      <c r="A34" s="63" t="n"/>
      <c r="B34" s="63" t="n"/>
      <c r="C34" s="63" t="n"/>
      <c r="D34" s="63" t="n"/>
      <c r="E34" s="63" t="n"/>
      <c r="F34" s="63" t="n"/>
      <c r="G34" s="63" t="n"/>
    </row>
    <row r="35" ht="15.75" customHeight="1" s="115">
      <c r="A35" s="63" t="n"/>
      <c r="B35" s="63" t="n"/>
      <c r="C35" s="63" t="n"/>
      <c r="D35" s="63" t="n"/>
      <c r="E35" s="63" t="n"/>
      <c r="F35" s="63" t="n"/>
      <c r="G35" s="63" t="n"/>
    </row>
    <row r="36" ht="15.75" customHeight="1" s="115">
      <c r="A36" s="63" t="n"/>
      <c r="B36" s="63" t="n"/>
      <c r="C36" s="63" t="n"/>
      <c r="D36" s="63" t="n"/>
      <c r="E36" s="63" t="n"/>
      <c r="F36" s="63" t="n"/>
      <c r="G36" s="63" t="n"/>
    </row>
    <row r="37" ht="15.75" customHeight="1" s="115">
      <c r="A37" s="63" t="n"/>
      <c r="B37" s="63" t="n"/>
      <c r="C37" s="63" t="n"/>
      <c r="D37" s="63" t="n"/>
      <c r="E37" s="63" t="n"/>
      <c r="F37" s="63" t="n"/>
      <c r="G37" s="63" t="n"/>
    </row>
    <row r="38" ht="15.75" customHeight="1" s="115">
      <c r="A38" s="63" t="n"/>
      <c r="B38" s="63" t="n"/>
      <c r="C38" s="63" t="n"/>
      <c r="D38" s="63" t="n"/>
      <c r="E38" s="63" t="n"/>
      <c r="F38" s="63" t="n"/>
      <c r="G38" s="63" t="n"/>
    </row>
    <row r="39" ht="15.75" customHeight="1" s="115">
      <c r="A39" s="63" t="n"/>
      <c r="B39" s="63" t="n"/>
      <c r="C39" s="63" t="n"/>
      <c r="D39" s="63" t="n"/>
      <c r="E39" s="63" t="n"/>
      <c r="F39" s="63" t="n"/>
      <c r="G39" s="63"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Glesner</t>
        </is>
      </c>
    </row>
    <row r="2">
      <c r="A2" s="7" t="inlineStr">
        <is>
          <t>NUR234</t>
        </is>
      </c>
      <c r="B2" s="10" t="inlineStr">
        <is>
          <t>NUR235</t>
        </is>
      </c>
      <c r="C2" s="10" t="inlineStr">
        <is>
          <t>NUR258</t>
        </is>
      </c>
      <c r="D2" s="12" t="inlineStr">
        <is>
          <t>🏠 START HERE</t>
        </is>
      </c>
      <c r="E2" s="15" t="inlineStr">
        <is>
          <t>📥 Sort me</t>
        </is>
      </c>
      <c r="F2" s="17" t="n"/>
      <c r="G2" s="17" t="n"/>
    </row>
    <row r="3">
      <c r="A3" s="18" t="inlineStr">
        <is>
          <t>Kaiser</t>
        </is>
      </c>
      <c r="B3" s="20" t="inlineStr">
        <is>
          <t>Buhler</t>
        </is>
      </c>
      <c r="C3" s="18" t="inlineStr">
        <is>
          <t>Glesner</t>
        </is>
      </c>
      <c r="D3" s="26" t="inlineStr">
        <is>
          <t>Exams</t>
        </is>
      </c>
      <c r="E3" s="26">
        <f>HYPERLINK('START HERE'!$B$36,"Zoom")</f>
        <v/>
      </c>
      <c r="F3" s="18" t="inlineStr">
        <is>
          <t>Review videos</t>
        </is>
      </c>
      <c r="G3" s="17" t="n"/>
    </row>
    <row r="4">
      <c r="A4" s="17" t="n"/>
      <c r="B4" s="17" t="n"/>
      <c r="C4" s="17" t="n"/>
      <c r="D4" s="17" t="n"/>
      <c r="E4" s="17" t="n"/>
      <c r="F4" s="17" t="n"/>
      <c r="G4" s="17" t="n"/>
    </row>
    <row r="5">
      <c r="A5" s="33" t="inlineStr">
        <is>
          <t>Module</t>
        </is>
      </c>
      <c r="B5" s="33" t="inlineStr">
        <is>
          <t>Day</t>
        </is>
      </c>
      <c r="C5" s="33" t="inlineStr">
        <is>
          <t>Date</t>
        </is>
      </c>
      <c r="D5" s="33" t="inlineStr">
        <is>
          <t>Lecturer</t>
        </is>
      </c>
      <c r="E5" s="33" t="inlineStr">
        <is>
          <t>Recording</t>
        </is>
      </c>
      <c r="F5" s="33" t="inlineStr">
        <is>
          <t>File</t>
        </is>
      </c>
      <c r="G5" s="33" t="inlineStr">
        <is>
          <t>Notes</t>
        </is>
      </c>
    </row>
    <row r="6">
      <c r="A6" s="51" t="inlineStr">
        <is>
          <t>Module 1</t>
        </is>
      </c>
      <c r="B6" s="51" t="inlineStr">
        <is>
          <t>Day 1</t>
        </is>
      </c>
      <c r="C6" s="53" t="inlineStr">
        <is>
          <t>Fall 2026</t>
        </is>
      </c>
      <c r="D6" s="53" t="inlineStr">
        <is>
          <t>Glesner</t>
        </is>
      </c>
      <c r="E6" s="55">
        <f>HYPERLINK("https://drive.google.com/file/d/15RBwcq_izjKd8bkaA19fLfSTZWiWQdIY/view","▶  Watch")</f>
        <v/>
      </c>
      <c r="F6" s="53" t="inlineStr">
        <is>
          <t>Glesner Wk 1.mp4</t>
        </is>
      </c>
      <c r="G6" s="53" t="inlineStr">
        <is>
          <t>Topic: Reproductive Life Planning &amp; Contraception</t>
        </is>
      </c>
    </row>
    <row r="7">
      <c r="A7" s="51" t="inlineStr">
        <is>
          <t>Module 1</t>
        </is>
      </c>
      <c r="B7" s="51" t="inlineStr">
        <is>
          <t>Day 2</t>
        </is>
      </c>
      <c r="C7" s="53" t="inlineStr">
        <is>
          <t>Fall 2026</t>
        </is>
      </c>
      <c r="D7" s="53" t="inlineStr">
        <is>
          <t>Glesner</t>
        </is>
      </c>
      <c r="E7" s="62" t="n"/>
      <c r="F7" s="53" t="n"/>
      <c r="G7" s="53" t="n"/>
    </row>
    <row r="8">
      <c r="A8" s="37" t="inlineStr">
        <is>
          <t>Module 2</t>
        </is>
      </c>
      <c r="B8" s="37" t="inlineStr">
        <is>
          <t>Day 1</t>
        </is>
      </c>
      <c r="C8" s="40" t="inlineStr">
        <is>
          <t>Fall 2026</t>
        </is>
      </c>
      <c r="D8" s="40" t="inlineStr">
        <is>
          <t>Glesner</t>
        </is>
      </c>
      <c r="E8" s="56" t="n"/>
      <c r="F8" s="40" t="n"/>
      <c r="G8" s="40" t="n"/>
    </row>
    <row r="9">
      <c r="A9" s="51" t="inlineStr">
        <is>
          <t>Module 2</t>
        </is>
      </c>
      <c r="B9" s="51" t="inlineStr">
        <is>
          <t>Day 2</t>
        </is>
      </c>
      <c r="C9" s="53" t="inlineStr">
        <is>
          <t>Fall 2026</t>
        </is>
      </c>
      <c r="D9" s="53" t="inlineStr">
        <is>
          <t>Glesner</t>
        </is>
      </c>
      <c r="E9" s="62" t="n"/>
      <c r="F9" s="53" t="n"/>
      <c r="G9" s="53" t="n"/>
    </row>
    <row r="10">
      <c r="A10" s="37" t="inlineStr">
        <is>
          <t>Module 3</t>
        </is>
      </c>
      <c r="B10" s="37" t="inlineStr">
        <is>
          <t>Day 1</t>
        </is>
      </c>
      <c r="C10" s="40" t="inlineStr">
        <is>
          <t>Fall 2026</t>
        </is>
      </c>
      <c r="D10" s="40" t="inlineStr">
        <is>
          <t>Glesner</t>
        </is>
      </c>
      <c r="E10" s="56" t="n"/>
      <c r="F10" s="40" t="n"/>
      <c r="G10" s="40" t="n"/>
    </row>
    <row r="11">
      <c r="A11" s="51" t="inlineStr">
        <is>
          <t>Module 3</t>
        </is>
      </c>
      <c r="B11" s="51" t="inlineStr">
        <is>
          <t>Day 2</t>
        </is>
      </c>
      <c r="C11" s="53" t="inlineStr">
        <is>
          <t>Fall 2026</t>
        </is>
      </c>
      <c r="D11" s="53" t="inlineStr">
        <is>
          <t>Glesner</t>
        </is>
      </c>
      <c r="E11" s="62" t="n"/>
      <c r="F11" s="53" t="n"/>
      <c r="G11" s="53" t="n"/>
    </row>
    <row r="12">
      <c r="A12" s="37" t="inlineStr">
        <is>
          <t>Module 4</t>
        </is>
      </c>
      <c r="B12" s="37" t="inlineStr">
        <is>
          <t>Day 1</t>
        </is>
      </c>
      <c r="C12" s="40" t="inlineStr">
        <is>
          <t>Fall 2026</t>
        </is>
      </c>
      <c r="D12" s="40" t="inlineStr">
        <is>
          <t>Glesner</t>
        </is>
      </c>
      <c r="E12" s="56" t="n"/>
      <c r="F12" s="40" t="n"/>
      <c r="G12" s="40" t="n"/>
    </row>
    <row r="13">
      <c r="A13" s="51" t="inlineStr">
        <is>
          <t>Module 4</t>
        </is>
      </c>
      <c r="B13" s="51" t="inlineStr">
        <is>
          <t>Day 2</t>
        </is>
      </c>
      <c r="C13" s="53" t="inlineStr">
        <is>
          <t>Fall 2026</t>
        </is>
      </c>
      <c r="D13" s="53" t="inlineStr">
        <is>
          <t>Glesner</t>
        </is>
      </c>
      <c r="E13" s="62" t="n"/>
      <c r="F13" s="53" t="n"/>
      <c r="G13" s="53" t="n"/>
    </row>
    <row r="14">
      <c r="A14" s="37" t="inlineStr">
        <is>
          <t>Module 5</t>
        </is>
      </c>
      <c r="B14" s="37" t="inlineStr">
        <is>
          <t>Day 1</t>
        </is>
      </c>
      <c r="C14" s="40" t="inlineStr">
        <is>
          <t>Fall 2026</t>
        </is>
      </c>
      <c r="D14" s="40" t="inlineStr">
        <is>
          <t>Glesner</t>
        </is>
      </c>
      <c r="E14" s="69">
        <f>HYPERLINK("https://drive.google.com/file/d/1qQg4ce98-3BjaaD-n_tYcdZosElOcHq0/view","▶  Watch")</f>
        <v/>
      </c>
      <c r="F14" s="70" t="inlineStr">
        <is>
          <t>NUR234_Fall2026_Glesner_Wk05_DayNA_Module 5 - Nutrition and health promotion in pregnancy (topic from the module number).mp4</t>
        </is>
      </c>
      <c r="G14" s="70" t="inlineStr">
        <is>
          <t>Topic: Nutrition &amp; Health Promotion in Pregnancy</t>
        </is>
      </c>
    </row>
    <row r="15">
      <c r="A15" s="51" t="inlineStr">
        <is>
          <t>Module 5</t>
        </is>
      </c>
      <c r="B15" s="51" t="inlineStr">
        <is>
          <t>Day 2</t>
        </is>
      </c>
      <c r="C15" s="53" t="inlineStr">
        <is>
          <t>Fall 2026</t>
        </is>
      </c>
      <c r="D15" s="53" t="inlineStr">
        <is>
          <t>Glesner</t>
        </is>
      </c>
      <c r="E15" s="62" t="n"/>
      <c r="F15" s="53" t="n"/>
      <c r="G15" s="53" t="n"/>
    </row>
    <row r="16">
      <c r="A16" s="37" t="inlineStr">
        <is>
          <t>Module 6</t>
        </is>
      </c>
      <c r="B16" s="37" t="inlineStr">
        <is>
          <t>Day 1</t>
        </is>
      </c>
      <c r="C16" s="40" t="inlineStr">
        <is>
          <t>Fall 2026</t>
        </is>
      </c>
      <c r="D16" s="40" t="inlineStr">
        <is>
          <t>Glesner</t>
        </is>
      </c>
      <c r="E16" s="56" t="n"/>
      <c r="F16" s="40" t="n"/>
      <c r="G16" s="40" t="n"/>
    </row>
    <row r="17">
      <c r="A17" s="51" t="inlineStr">
        <is>
          <t>Module 6</t>
        </is>
      </c>
      <c r="B17" s="51" t="inlineStr">
        <is>
          <t>Day 2</t>
        </is>
      </c>
      <c r="C17" s="53" t="inlineStr">
        <is>
          <t>Fall 2026</t>
        </is>
      </c>
      <c r="D17" s="53" t="inlineStr">
        <is>
          <t>Glesner</t>
        </is>
      </c>
      <c r="E17" s="62" t="n"/>
      <c r="F17" s="53" t="n"/>
      <c r="G17" s="53" t="n"/>
    </row>
    <row r="18">
      <c r="A18" s="37" t="inlineStr">
        <is>
          <t>Module 7</t>
        </is>
      </c>
      <c r="B18" s="37" t="inlineStr">
        <is>
          <t>Day 1</t>
        </is>
      </c>
      <c r="C18" s="40" t="inlineStr">
        <is>
          <t>Fall 2026</t>
        </is>
      </c>
      <c r="D18" s="40" t="inlineStr">
        <is>
          <t>Glesner</t>
        </is>
      </c>
      <c r="E18" s="56" t="n"/>
      <c r="F18" s="40" t="n"/>
      <c r="G18" s="40" t="n"/>
    </row>
    <row r="19">
      <c r="A19" s="51" t="inlineStr">
        <is>
          <t>Module 7</t>
        </is>
      </c>
      <c r="B19" s="51" t="inlineStr">
        <is>
          <t>Day 2</t>
        </is>
      </c>
      <c r="C19" s="53" t="inlineStr">
        <is>
          <t>Fall 2026</t>
        </is>
      </c>
      <c r="D19" s="53" t="inlineStr">
        <is>
          <t>Glesner</t>
        </is>
      </c>
      <c r="E19" s="62" t="n"/>
      <c r="F19" s="53" t="n"/>
      <c r="G19" s="53" t="n"/>
    </row>
    <row r="20">
      <c r="A20" s="37" t="inlineStr">
        <is>
          <t>Module 8</t>
        </is>
      </c>
      <c r="B20" s="37" t="inlineStr">
        <is>
          <t>Day 1</t>
        </is>
      </c>
      <c r="C20" s="40" t="inlineStr">
        <is>
          <t>Fall 2026</t>
        </is>
      </c>
      <c r="D20" s="40" t="inlineStr">
        <is>
          <t>Glesner</t>
        </is>
      </c>
      <c r="E20" s="56" t="n"/>
      <c r="F20" s="40" t="n"/>
      <c r="G20" s="40" t="n"/>
    </row>
    <row r="21" ht="15.75" customHeight="1" s="115">
      <c r="A21" s="51" t="inlineStr">
        <is>
          <t>Module 8</t>
        </is>
      </c>
      <c r="B21" s="51" t="inlineStr">
        <is>
          <t>Day 2</t>
        </is>
      </c>
      <c r="C21" s="53" t="inlineStr">
        <is>
          <t>Fall 2026</t>
        </is>
      </c>
      <c r="D21" s="53" t="inlineStr">
        <is>
          <t>Glesner</t>
        </is>
      </c>
      <c r="E21" s="62" t="n"/>
      <c r="F21" s="53" t="n"/>
      <c r="G21" s="53" t="n"/>
    </row>
    <row r="22" ht="15.75" customHeight="1" s="115">
      <c r="A22" s="37" t="inlineStr">
        <is>
          <t>Module 9</t>
        </is>
      </c>
      <c r="B22" s="37" t="inlineStr">
        <is>
          <t>Day 1</t>
        </is>
      </c>
      <c r="C22" s="40" t="inlineStr">
        <is>
          <t>Fall 2026</t>
        </is>
      </c>
      <c r="D22" s="40" t="inlineStr">
        <is>
          <t>Glesner</t>
        </is>
      </c>
      <c r="E22" s="56" t="n"/>
      <c r="F22" s="40" t="n"/>
      <c r="G22" s="40" t="n"/>
    </row>
    <row r="23" ht="15.75" customHeight="1" s="115">
      <c r="A23" s="51" t="inlineStr">
        <is>
          <t>Module 9</t>
        </is>
      </c>
      <c r="B23" s="51" t="inlineStr">
        <is>
          <t>Day 2</t>
        </is>
      </c>
      <c r="C23" s="53" t="inlineStr">
        <is>
          <t>Fall 2026</t>
        </is>
      </c>
      <c r="D23" s="53" t="inlineStr">
        <is>
          <t>Glesner</t>
        </is>
      </c>
      <c r="E23" s="62" t="n"/>
      <c r="F23" s="53" t="n"/>
      <c r="G23" s="53" t="n"/>
    </row>
    <row r="24" ht="15.75" customHeight="1" s="115">
      <c r="A24" s="37" t="inlineStr">
        <is>
          <t>Module 10</t>
        </is>
      </c>
      <c r="B24" s="37" t="inlineStr">
        <is>
          <t>Day 1</t>
        </is>
      </c>
      <c r="C24" s="40" t="inlineStr">
        <is>
          <t>Fall 2026</t>
        </is>
      </c>
      <c r="D24" s="40" t="inlineStr">
        <is>
          <t>Glesner</t>
        </is>
      </c>
      <c r="E24" s="56" t="n"/>
      <c r="F24" s="40" t="n"/>
      <c r="G24" s="40" t="n"/>
    </row>
    <row r="25" ht="15.75" customHeight="1" s="115">
      <c r="A25" s="51" t="inlineStr">
        <is>
          <t>Module 10</t>
        </is>
      </c>
      <c r="B25" s="51" t="inlineStr">
        <is>
          <t>Day 2</t>
        </is>
      </c>
      <c r="C25" s="53" t="inlineStr">
        <is>
          <t>Fall 2026</t>
        </is>
      </c>
      <c r="D25" s="53" t="inlineStr">
        <is>
          <t>Glesner</t>
        </is>
      </c>
      <c r="E25" s="62" t="n"/>
      <c r="F25" s="53" t="n"/>
      <c r="G25" s="53" t="n"/>
    </row>
    <row r="26" ht="15.75" customHeight="1" s="115">
      <c r="A26" s="37" t="inlineStr">
        <is>
          <t>Module 11</t>
        </is>
      </c>
      <c r="B26" s="37" t="inlineStr">
        <is>
          <t>Day 1</t>
        </is>
      </c>
      <c r="C26" s="40" t="inlineStr">
        <is>
          <t>Fall 2026</t>
        </is>
      </c>
      <c r="D26" s="40" t="inlineStr">
        <is>
          <t>Glesner</t>
        </is>
      </c>
      <c r="E26" s="56" t="n"/>
      <c r="F26" s="40" t="n"/>
      <c r="G26" s="40" t="n"/>
    </row>
    <row r="27" ht="15.75" customHeight="1" s="115">
      <c r="A27" s="51" t="inlineStr">
        <is>
          <t>Module 11</t>
        </is>
      </c>
      <c r="B27" s="51" t="inlineStr">
        <is>
          <t>Day 2</t>
        </is>
      </c>
      <c r="C27" s="53" t="inlineStr">
        <is>
          <t>Fall 2026</t>
        </is>
      </c>
      <c r="D27" s="53" t="inlineStr">
        <is>
          <t>Glesner</t>
        </is>
      </c>
      <c r="E27" s="62" t="n"/>
      <c r="F27" s="53" t="n"/>
      <c r="G27" s="53" t="n"/>
    </row>
    <row r="28" ht="15.75" customHeight="1" s="115">
      <c r="A28" s="37" t="inlineStr">
        <is>
          <t>Module 12</t>
        </is>
      </c>
      <c r="B28" s="37" t="inlineStr">
        <is>
          <t>Day 1</t>
        </is>
      </c>
      <c r="C28" s="40" t="inlineStr">
        <is>
          <t>Fall 2026</t>
        </is>
      </c>
      <c r="D28" s="40" t="inlineStr">
        <is>
          <t>Glesner</t>
        </is>
      </c>
      <c r="E28" s="56" t="n"/>
      <c r="F28" s="40" t="n"/>
      <c r="G28" s="40" t="n"/>
    </row>
    <row r="29" ht="15.75" customHeight="1" s="115">
      <c r="A29" s="51" t="inlineStr">
        <is>
          <t>Module 12</t>
        </is>
      </c>
      <c r="B29" s="51" t="inlineStr">
        <is>
          <t>Day 2</t>
        </is>
      </c>
      <c r="C29" s="53" t="inlineStr">
        <is>
          <t>Fall 2026</t>
        </is>
      </c>
      <c r="D29" s="53" t="inlineStr">
        <is>
          <t>Glesner</t>
        </is>
      </c>
      <c r="E29" s="62" t="n"/>
      <c r="F29" s="53" t="n"/>
      <c r="G29" s="53" t="n"/>
    </row>
    <row r="30" ht="15.75" customHeight="1" s="115">
      <c r="A30" s="37" t="inlineStr">
        <is>
          <t>Module 13</t>
        </is>
      </c>
      <c r="B30" s="37" t="inlineStr">
        <is>
          <t>Day 1</t>
        </is>
      </c>
      <c r="C30" s="40" t="inlineStr">
        <is>
          <t>Fall 2026</t>
        </is>
      </c>
      <c r="D30" s="40" t="inlineStr">
        <is>
          <t>Glesner</t>
        </is>
      </c>
      <c r="E30" s="56" t="n"/>
      <c r="F30" s="40" t="n"/>
      <c r="G30" s="40" t="n"/>
    </row>
    <row r="31" ht="15.75" customHeight="1" s="115">
      <c r="A31" s="51" t="inlineStr">
        <is>
          <t>Module 13</t>
        </is>
      </c>
      <c r="B31" s="51" t="inlineStr">
        <is>
          <t>Day 2</t>
        </is>
      </c>
      <c r="C31" s="53" t="inlineStr">
        <is>
          <t>Fall 2026</t>
        </is>
      </c>
      <c r="D31" s="53" t="inlineStr">
        <is>
          <t>Glesner</t>
        </is>
      </c>
      <c r="E31" s="62" t="n"/>
      <c r="F31" s="53" t="n"/>
      <c r="G31" s="53" t="n"/>
    </row>
    <row r="32" ht="15.75" customHeight="1" s="115">
      <c r="A32" s="37" t="inlineStr">
        <is>
          <t>Module 14</t>
        </is>
      </c>
      <c r="B32" s="37" t="inlineStr">
        <is>
          <t>Day 1</t>
        </is>
      </c>
      <c r="C32" s="40" t="inlineStr">
        <is>
          <t>Fall 2026</t>
        </is>
      </c>
      <c r="D32" s="40" t="inlineStr">
        <is>
          <t>Glesner</t>
        </is>
      </c>
      <c r="E32" s="56" t="n"/>
      <c r="F32" s="40" t="n"/>
      <c r="G32" s="40" t="n"/>
    </row>
    <row r="33" ht="15.75" customHeight="1" s="115">
      <c r="A33" s="51" t="inlineStr">
        <is>
          <t>Module 14</t>
        </is>
      </c>
      <c r="B33" s="51" t="inlineStr">
        <is>
          <t>Day 2</t>
        </is>
      </c>
      <c r="C33" s="53" t="inlineStr">
        <is>
          <t>Fall 2026</t>
        </is>
      </c>
      <c r="D33" s="53" t="inlineStr">
        <is>
          <t>Glesner</t>
        </is>
      </c>
      <c r="E33" s="62" t="n"/>
      <c r="F33" s="53" t="n"/>
      <c r="G33" s="53" t="n"/>
    </row>
    <row r="34" ht="15.75" customHeight="1" s="115">
      <c r="A34" s="63" t="n"/>
      <c r="B34" s="63" t="n"/>
      <c r="C34" s="63" t="n"/>
      <c r="D34" s="63" t="n"/>
      <c r="E34" s="63" t="n"/>
      <c r="F34" s="63" t="n"/>
      <c r="G34" s="63" t="n"/>
    </row>
    <row r="35" ht="15.75" customHeight="1" s="115">
      <c r="A35" s="63" t="n"/>
      <c r="B35" s="63" t="n"/>
      <c r="C35" s="63" t="n"/>
      <c r="D35" s="63" t="n"/>
      <c r="E35" s="63" t="n"/>
      <c r="F35" s="63" t="n"/>
      <c r="G35" s="63" t="n"/>
    </row>
    <row r="36" ht="15.75" customHeight="1" s="115">
      <c r="A36" s="63" t="n"/>
      <c r="B36" s="63" t="n"/>
      <c r="C36" s="63" t="n"/>
      <c r="D36" s="63" t="n"/>
      <c r="E36" s="63" t="n"/>
      <c r="F36" s="63" t="n"/>
      <c r="G36" s="63" t="n"/>
    </row>
    <row r="37" ht="15.75" customHeight="1" s="115">
      <c r="A37" s="63" t="n"/>
      <c r="B37" s="63" t="n"/>
      <c r="C37" s="63" t="n"/>
      <c r="D37" s="63" t="n"/>
      <c r="E37" s="63" t="n"/>
      <c r="F37" s="63" t="n"/>
      <c r="G37" s="63" t="n"/>
    </row>
    <row r="38" ht="15.75" customHeight="1" s="115">
      <c r="A38" s="63" t="n"/>
      <c r="B38" s="63" t="n"/>
      <c r="C38" s="63" t="n"/>
      <c r="D38" s="63" t="n"/>
      <c r="E38" s="63" t="n"/>
      <c r="F38" s="63" t="n"/>
      <c r="G38" s="63" t="n"/>
    </row>
    <row r="39" ht="15.75" customHeight="1" s="115">
      <c r="A39" s="63" t="n"/>
      <c r="B39" s="63" t="n"/>
      <c r="C39" s="63" t="n"/>
      <c r="D39" s="63" t="n"/>
      <c r="E39" s="63" t="n"/>
      <c r="F39" s="63" t="n"/>
      <c r="G39" s="63"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1" t="inlineStr">
        <is>
          <t>NUR234  ·  Exam Reviews</t>
        </is>
      </c>
    </row>
    <row r="2">
      <c r="A2" s="8" t="inlineStr">
        <is>
          <t>NUR234</t>
        </is>
      </c>
      <c r="B2" s="9" t="inlineStr">
        <is>
          <t>NUR235</t>
        </is>
      </c>
      <c r="C2" s="9" t="inlineStr">
        <is>
          <t>NUR258</t>
        </is>
      </c>
      <c r="D2" s="16" t="inlineStr">
        <is>
          <t>🏠 START HERE</t>
        </is>
      </c>
      <c r="E2" s="15" t="inlineStr">
        <is>
          <t>📥 Sort me</t>
        </is>
      </c>
      <c r="F2" s="71" t="n"/>
      <c r="G2" s="71" t="n"/>
    </row>
    <row r="3">
      <c r="A3" s="18" t="inlineStr">
        <is>
          <t>Kaiser</t>
        </is>
      </c>
      <c r="B3" s="18" t="inlineStr">
        <is>
          <t>Buhler</t>
        </is>
      </c>
      <c r="C3" s="18" t="inlineStr">
        <is>
          <t>Glesner</t>
        </is>
      </c>
      <c r="D3" s="72" t="inlineStr">
        <is>
          <t>Exams</t>
        </is>
      </c>
      <c r="E3" s="26">
        <f>HYPERLINK('START HERE'!$B$36,"Zoom")</f>
        <v/>
      </c>
      <c r="F3" s="18" t="inlineStr">
        <is>
          <t>Review videos</t>
        </is>
      </c>
      <c r="G3" s="17" t="n"/>
    </row>
    <row r="4">
      <c r="A4" s="17" t="n"/>
      <c r="B4" s="17" t="n"/>
      <c r="C4" s="17" t="n"/>
      <c r="D4" s="17" t="n"/>
      <c r="E4" s="17" t="n"/>
      <c r="F4" s="71" t="n"/>
      <c r="G4" s="17" t="n"/>
    </row>
    <row r="5">
      <c r="A5" s="73" t="inlineStr">
        <is>
          <t>Exam</t>
        </is>
      </c>
      <c r="B5" s="73" t="inlineStr">
        <is>
          <t>Date</t>
        </is>
      </c>
      <c r="C5" s="73" t="inlineStr">
        <is>
          <t>Item</t>
        </is>
      </c>
      <c r="D5" s="73" t="inlineStr">
        <is>
          <t>Lecturer</t>
        </is>
      </c>
      <c r="E5" s="73" t="inlineStr">
        <is>
          <t>Type</t>
        </is>
      </c>
      <c r="F5" s="74" t="inlineStr">
        <is>
          <t>Link</t>
        </is>
      </c>
      <c r="G5" s="73" t="inlineStr">
        <is>
          <t>Notes</t>
        </is>
      </c>
    </row>
    <row r="6">
      <c r="A6" s="51" t="inlineStr">
        <is>
          <t>Exam 1</t>
        </is>
      </c>
      <c r="B6" s="51" t="n"/>
      <c r="C6" s="53" t="inlineStr">
        <is>
          <t>Study guide</t>
        </is>
      </c>
      <c r="D6" s="53" t="inlineStr">
        <is>
          <t>Course handout</t>
        </is>
      </c>
      <c r="E6" s="53" t="inlineStr">
        <is>
          <t>PDF</t>
        </is>
      </c>
      <c r="F6" s="75">
        <f>HYPERLINK("https://drive.google.com/file/d/1G-isAusr4xSiEajdswjxRKPg2ZXah-E9/view","📄  Open")</f>
        <v/>
      </c>
      <c r="G6" s="53" t="inlineStr">
        <is>
          <t>Maternal study guide</t>
        </is>
      </c>
    </row>
    <row r="7">
      <c r="A7" s="37" t="inlineStr">
        <is>
          <t>Exam 1</t>
        </is>
      </c>
      <c r="B7" s="37" t="n"/>
      <c r="C7" s="40" t="inlineStr">
        <is>
          <t>Practice questions</t>
        </is>
      </c>
      <c r="D7" s="40" t="inlineStr">
        <is>
          <t>Dr. Renee Hansen</t>
        </is>
      </c>
      <c r="E7" s="40" t="inlineStr">
        <is>
          <t>PDF</t>
        </is>
      </c>
      <c r="F7" s="76">
        <f>HYPERLINK("https://drive.google.com/file/d/18sXhH2IZ8qhFlQThhjENr3rB-P8La9BX/view","📄  Open")</f>
        <v/>
      </c>
      <c r="G7" s="40" t="inlineStr">
        <is>
          <t>Exam prep sessions hosted by Hansen (Student Success Coach)</t>
        </is>
      </c>
    </row>
    <row r="8">
      <c r="A8" s="51" t="inlineStr">
        <is>
          <t>Exam 1</t>
        </is>
      </c>
      <c r="B8" s="51" t="n"/>
      <c r="C8" s="53" t="inlineStr">
        <is>
          <t>Module 1 - Reproductive Life Planning</t>
        </is>
      </c>
      <c r="D8" s="53" t="inlineStr">
        <is>
          <t>Exam prep (LSC)</t>
        </is>
      </c>
      <c r="E8" s="53" t="n"/>
      <c r="F8" s="75">
        <f>HYPERLINK("https://drive.google.com/file/d/1BzJX0H7asjyK1qzOoVAj85MSXLDimJYx/view","▶  Watch")</f>
        <v/>
      </c>
      <c r="G8" s="53" t="inlineStr">
        <is>
          <t>Topic: Module 1 - Reproductive Life Planning</t>
        </is>
      </c>
    </row>
    <row r="9">
      <c r="A9" s="37" t="inlineStr">
        <is>
          <t>Exam 1</t>
        </is>
      </c>
      <c r="B9" s="37" t="n"/>
      <c r="C9" s="40" t="inlineStr">
        <is>
          <t>Module 2 - Normal Pregnancy and Care of the Growing Fetus</t>
        </is>
      </c>
      <c r="D9" s="40" t="inlineStr">
        <is>
          <t>Exam prep (LSC)</t>
        </is>
      </c>
      <c r="E9" s="40" t="n"/>
      <c r="F9" s="76">
        <f>HYPERLINK("https://drive.google.com/file/d/1Bk0lxp-seYQORXcarpIuO88Viox4fuOZ/view","▶  Watch")</f>
        <v/>
      </c>
      <c r="G9" s="40" t="inlineStr">
        <is>
          <t>Topic: Module 2 - Normal Pregnancy and Care of the Growing Fetus</t>
        </is>
      </c>
    </row>
    <row r="10">
      <c r="A10" s="51" t="inlineStr">
        <is>
          <t>Exam 1</t>
        </is>
      </c>
      <c r="B10" s="51" t="n"/>
      <c r="C10" s="53" t="inlineStr">
        <is>
          <t>Module 3 - Physiologic Changes of Pregnancy</t>
        </is>
      </c>
      <c r="D10" s="53" t="inlineStr">
        <is>
          <t>Exam prep (LSC)</t>
        </is>
      </c>
      <c r="E10" s="53" t="n"/>
      <c r="F10" s="75">
        <f>HYPERLINK("https://drive.google.com/file/d/1B4wu9ddK2huKEVy10lawIK1_YhYzO6bS/view","▶  Watch")</f>
        <v/>
      </c>
      <c r="G10" s="53" t="inlineStr">
        <is>
          <t>Topic: Module 3 - Physiologic Changes of Pregnancy</t>
        </is>
      </c>
    </row>
    <row r="11">
      <c r="A11" s="37" t="inlineStr">
        <is>
          <t>Exam 1</t>
        </is>
      </c>
      <c r="B11" s="37" t="n"/>
      <c r="C11" s="40" t="inlineStr">
        <is>
          <t>Module 3 - Psychological Changes of Pregnancy</t>
        </is>
      </c>
      <c r="D11" s="40" t="inlineStr">
        <is>
          <t>Exam prep (LSC)</t>
        </is>
      </c>
      <c r="E11" s="40" t="n"/>
      <c r="F11" s="76">
        <f>HYPERLINK("https://drive.google.com/file/d/15AJVaRpwi7uCi97zYj2Cd01PrGjJ5xTs/view","▶  Watch")</f>
        <v/>
      </c>
      <c r="G11" s="40" t="inlineStr">
        <is>
          <t>Topic: Module 3 - Psychological Changes of Pregnancy</t>
        </is>
      </c>
    </row>
    <row r="12">
      <c r="A12" s="51" t="inlineStr">
        <is>
          <t>Exam 1</t>
        </is>
      </c>
      <c r="B12" s="51" t="n"/>
      <c r="C12" s="53" t="inlineStr">
        <is>
          <t>Module 4 - Assessment of a Pregnant Family</t>
        </is>
      </c>
      <c r="D12" s="53" t="inlineStr">
        <is>
          <t>Exam prep (LSC)</t>
        </is>
      </c>
      <c r="E12" s="53" t="n"/>
      <c r="F12" s="75">
        <f>HYPERLINK("https://drive.google.com/file/d/1IQCgJ3dr5ipTv2VGO7t_8Vd16_cwFRKK/view","▶  Watch")</f>
        <v/>
      </c>
      <c r="G12" s="53" t="inlineStr">
        <is>
          <t>Topic: Module 4 - Assessment of a Pregnant Family</t>
        </is>
      </c>
    </row>
    <row r="13">
      <c r="A13" s="51" t="inlineStr">
        <is>
          <t>Exam 2</t>
        </is>
      </c>
      <c r="B13" s="51" t="n"/>
      <c r="C13" s="53" t="inlineStr">
        <is>
          <t>Module 5 - Prenatal</t>
        </is>
      </c>
      <c r="D13" s="53" t="inlineStr">
        <is>
          <t>Exam prep (LSC)</t>
        </is>
      </c>
      <c r="E13" s="53" t="n"/>
      <c r="F13" s="75">
        <f>HYPERLINK("https://drive.google.com/file/d/1C00mJ7cLrMjmrEFDRQPwrgq8w56Bjj3_/view","▶  Watch")</f>
        <v/>
      </c>
      <c r="G13" s="53" t="inlineStr">
        <is>
          <t>NUR234_Fall2026_LSC_Wk05_DayNA_Prenatal.mp4</t>
        </is>
      </c>
    </row>
    <row r="14">
      <c r="A14" s="51" t="inlineStr">
        <is>
          <t>Exam 2</t>
        </is>
      </c>
      <c r="B14" s="51" t="n"/>
      <c r="C14" s="53" t="inlineStr">
        <is>
          <t>Module 5 - Promoting Maternal Health</t>
        </is>
      </c>
      <c r="D14" s="53" t="inlineStr">
        <is>
          <t>Exam prep (LSC)</t>
        </is>
      </c>
      <c r="E14" s="53" t="n"/>
      <c r="F14" s="75">
        <f>HYPERLINK("https://drive.google.com/file/d/1LCdbszibb4W0yRbF9nLhKKKFeIHTmtug/view","▶  Watch")</f>
        <v/>
      </c>
      <c r="G14" s="53" t="inlineStr">
        <is>
          <t>NUR234_Fall2026_LSC_Wk05_DayNA_Promoting Maternal Health.mp4</t>
        </is>
      </c>
    </row>
    <row r="15">
      <c r="A15" s="51" t="inlineStr">
        <is>
          <t>Exam 2</t>
        </is>
      </c>
      <c r="B15" s="51" t="n"/>
      <c r="C15" s="53" t="inlineStr">
        <is>
          <t>Module 5 - Promoting Fetal Health</t>
        </is>
      </c>
      <c r="D15" s="53" t="inlineStr">
        <is>
          <t>Exam prep (LSC)</t>
        </is>
      </c>
      <c r="E15" s="53" t="n"/>
      <c r="F15" s="75">
        <f>HYPERLINK("https://drive.google.com/file/d/1ZizDdJyPX2SIYbCaVpnN9ncjhNtft7ii/view","▶  Watch")</f>
        <v/>
      </c>
      <c r="G15" s="53" t="inlineStr">
        <is>
          <t>NUR234_Fall2026_LSC_Wk05_DayNA_Promoting Fetal Health.mp4</t>
        </is>
      </c>
    </row>
    <row r="16">
      <c r="A16" s="51" t="inlineStr">
        <is>
          <t>Exam 2</t>
        </is>
      </c>
      <c r="B16" s="51" t="inlineStr">
        <is>
          <t>Fall 2026</t>
        </is>
      </c>
      <c r="C16" s="53" t="inlineStr">
        <is>
          <t>Module 6 - Care of a Family During Labor and Birth</t>
        </is>
      </c>
      <c r="D16" s="53" t="inlineStr">
        <is>
          <t>Exam prep (LSC)</t>
        </is>
      </c>
      <c r="E16" s="53" t="n"/>
      <c r="F16" s="75">
        <f>HYPERLINK("https://drive.google.com/file/d/1upYrXBwo5fWpYW8jlqTg8mS_DqrR1RrN/view","▶  Watch")</f>
        <v/>
      </c>
      <c r="G16" s="53" t="inlineStr">
        <is>
          <t>LSC exam prep, 76:16 on Canvas. Your phone capture of 5 Oct 11:01 PM (545 MB). NUR234_Fall2026_LSC_Wk06_DayNA_Module 6 - Care of a Family During Labor and Birth (exam prep, phone capture 5 Oct).mp4</t>
        </is>
      </c>
    </row>
    <row r="17">
      <c r="A17" s="51" t="inlineStr">
        <is>
          <t>Exam 2</t>
        </is>
      </c>
      <c r="B17" s="51" t="inlineStr">
        <is>
          <t>Fall 2026</t>
        </is>
      </c>
      <c r="C17" s="53" t="inlineStr">
        <is>
          <t>My materials - Tue 6 Oct 2:40 PM labor and birth (PC screen recording, 2.3 GB)</t>
        </is>
      </c>
      <c r="D17" s="53" t="inlineStr">
        <is>
          <t>Not named</t>
        </is>
      </c>
      <c r="E17" s="53" t="n"/>
      <c r="F17" s="75">
        <f>HYPERLINK("https://drive.google.com/file/d/15lwQeA3CG1kxZ3EC8HVENaR9QRodgD4Y/view","▶  Watch")</f>
        <v/>
      </c>
      <c r="G17" s="53" t="inlineStr">
        <is>
          <t>Topic from the speech index (labor, contractions, cervix, oxytocin, decelerations, newborn). Could be a second capture of the Module 6 exam prep or a class lecture - open it and tell me.</t>
        </is>
      </c>
    </row>
    <row r="18">
      <c r="A18" s="37" t="inlineStr">
        <is>
          <t>Exam 3</t>
        </is>
      </c>
      <c r="B18" s="37" t="n"/>
      <c r="C18" s="40" t="n"/>
      <c r="D18" s="40" t="n"/>
      <c r="E18" s="40" t="n"/>
      <c r="F18" s="36" t="n"/>
      <c r="G18" s="40" t="n"/>
    </row>
    <row r="19">
      <c r="A19" s="37" t="inlineStr">
        <is>
          <t>Exam 3</t>
        </is>
      </c>
      <c r="B19" s="37" t="n"/>
      <c r="C19" s="40" t="n"/>
      <c r="D19" s="40" t="n"/>
      <c r="E19" s="40" t="n"/>
      <c r="F19" s="36" t="n"/>
      <c r="G19" s="40" t="n"/>
    </row>
    <row r="20" ht="15.75" customHeight="1" s="115">
      <c r="A20" s="51" t="inlineStr">
        <is>
          <t>FINAL</t>
        </is>
      </c>
      <c r="B20" s="51" t="n"/>
      <c r="C20" s="53" t="n"/>
      <c r="D20" s="53" t="n"/>
      <c r="E20" s="53" t="n"/>
      <c r="F20" s="43" t="n"/>
      <c r="G20" s="53" t="n"/>
    </row>
    <row r="21" ht="15.75" customHeight="1" s="115">
      <c r="A21" s="37" t="inlineStr">
        <is>
          <t>FINAL</t>
        </is>
      </c>
      <c r="B21" s="37" t="n"/>
      <c r="C21" s="40" t="n"/>
      <c r="D21" s="40" t="n"/>
      <c r="E21" s="40" t="n"/>
      <c r="F21" s="36" t="n"/>
      <c r="G21" s="40" t="n"/>
    </row>
    <row r="22" ht="15.75" customHeight="1" s="115">
      <c r="A22" s="51" t="inlineStr">
        <is>
          <t>FINAL</t>
        </is>
      </c>
      <c r="B22" s="51" t="n"/>
      <c r="C22" s="53" t="n"/>
      <c r="D22" s="53" t="inlineStr">
        <is>
          <t>Kaiser</t>
        </is>
      </c>
      <c r="E22" s="53" t="inlineStr">
        <is>
          <t>Video</t>
        </is>
      </c>
      <c r="F22" s="41">
        <f>HYPERLINK("https://drive.google.com/file/d/1osViOBDNkX1DvBYY87Q6e9YPmC2yXvWZ/view","▶  Watch")</f>
        <v/>
      </c>
      <c r="G22" s="53" t="inlineStr">
        <is>
          <t>Kaiser final review.mp4</t>
        </is>
      </c>
    </row>
    <row r="23" ht="15.75" customHeight="1" s="115">
      <c r="A23" s="37" t="inlineStr">
        <is>
          <t>FINAL</t>
        </is>
      </c>
      <c r="B23" s="37" t="n"/>
      <c r="C23" s="40" t="n"/>
      <c r="D23" s="40" t="inlineStr">
        <is>
          <t>Kaiser</t>
        </is>
      </c>
      <c r="E23" s="40" t="inlineStr">
        <is>
          <t>Video</t>
        </is>
      </c>
      <c r="F23" s="47">
        <f>HYPERLINK("https://drive.google.com/file/d/1o5rlqxPFoHyGm38nNnVlNWZFdmCAcwJg/view","▶  Watch")</f>
        <v/>
      </c>
      <c r="G23" s="40" t="inlineStr">
        <is>
          <t>Kaiser final review 2.mp4</t>
        </is>
      </c>
    </row>
    <row r="24" ht="15.75" customHeight="1" s="115">
      <c r="A24" s="51" t="inlineStr">
        <is>
          <t>FINAL</t>
        </is>
      </c>
      <c r="B24" s="53" t="inlineStr">
        <is>
          <t>Summer 2026</t>
        </is>
      </c>
      <c r="C24" s="53" t="inlineStr">
        <is>
          <t>Final exam review - fetal heart rate monitoring and decelerations (6 Aug)</t>
        </is>
      </c>
      <c r="D24" s="53" t="inlineStr">
        <is>
          <t>Kaiser</t>
        </is>
      </c>
      <c r="E24" s="53" t="inlineStr">
        <is>
          <t>Video</t>
        </is>
      </c>
      <c r="F24" s="41">
        <f>HYPERLINK("https://drive.google.com/file/d/1AF4APNVK1nUVKVsDeOE_Mepqj-en-ldM/view","▶  Watch")</f>
        <v/>
      </c>
      <c r="G24" s="53" t="inlineStr">
        <is>
          <t>190 MB. The duplicate copy this row linked before was trashed on 6 Oct.</t>
        </is>
      </c>
    </row>
    <row r="25" ht="15.75" customHeight="1" s="115">
      <c r="A25" s="37" t="inlineStr">
        <is>
          <t>FINAL</t>
        </is>
      </c>
      <c r="B25" s="40" t="inlineStr">
        <is>
          <t>Summer 2026</t>
        </is>
      </c>
      <c r="C25" s="40" t="inlineStr">
        <is>
          <t>Final exam review day 2 - obstetric concepts and exam logistics (7 Aug)</t>
        </is>
      </c>
      <c r="D25" s="40" t="inlineStr">
        <is>
          <t>Kaiser</t>
        </is>
      </c>
      <c r="E25" s="40" t="inlineStr">
        <is>
          <t>Video</t>
        </is>
      </c>
      <c r="F25" s="47">
        <f>HYPERLINK("https://drive.google.com/file/d/10tLIx65hCfOM86q3mZgMt6S33lH0fiIs/view","▶  Watch")</f>
        <v/>
      </c>
      <c r="G25" s="40" t="inlineStr">
        <is>
          <t>237 MB. The duplicate copy this row linked before was trashed on 6 Oct.</t>
        </is>
      </c>
    </row>
    <row r="26" ht="15.75" customHeight="1" s="115">
      <c r="A26" s="37" t="inlineStr">
        <is>
          <t>Exam 2</t>
        </is>
      </c>
      <c r="B26" s="40" t="inlineStr">
        <is>
          <t>Fall 2026</t>
        </is>
      </c>
      <c r="C26" s="40" t="inlineStr">
        <is>
          <t>Module 7 - Providing Comfort During Labor and Birth</t>
        </is>
      </c>
      <c r="D26" s="40" t="inlineStr">
        <is>
          <t>Exam prep (LSC)</t>
        </is>
      </c>
      <c r="E26" s="40" t="inlineStr">
        <is>
          <t>Video</t>
        </is>
      </c>
      <c r="F26" s="47">
        <f>HYPERLINK("https://drive.google.com/file/d/1OND6CFsBlaoVjdanIfzFOYAFrFHlu4qQ/view","▶  Watch")</f>
        <v/>
      </c>
      <c r="G26" s="40" t="inlineStr">
        <is>
          <t>LSC exam prep, 30 Sep session (date on the title slide). Screen recording uploaded 12 Oct.</t>
        </is>
      </c>
    </row>
    <row r="27" ht="15.75" customHeight="1" s="115">
      <c r="A27" s="63" t="n"/>
      <c r="B27" s="63" t="n"/>
      <c r="C27" s="63" t="n"/>
      <c r="D27" s="63" t="n"/>
      <c r="E27" s="63" t="n"/>
      <c r="F27" s="77" t="n"/>
      <c r="G27" s="63" t="n"/>
    </row>
    <row r="28" ht="15.75" customHeight="1" s="115">
      <c r="A28" s="63" t="n"/>
      <c r="B28" s="63" t="n"/>
      <c r="C28" s="63" t="n"/>
      <c r="D28" s="63" t="n"/>
      <c r="E28" s="63" t="n"/>
      <c r="F28" s="77" t="n"/>
      <c r="G28" s="63" t="n"/>
    </row>
    <row r="29" ht="15.75" customHeight="1" s="115">
      <c r="A29" s="63" t="n"/>
      <c r="B29" s="63" t="n"/>
      <c r="C29" s="63" t="n"/>
      <c r="D29" s="63" t="n"/>
      <c r="E29" s="63" t="n"/>
      <c r="F29" s="77" t="n"/>
      <c r="G29" s="63" t="n"/>
    </row>
    <row r="30" ht="15.75" customHeight="1" s="115">
      <c r="A30" s="63" t="n"/>
      <c r="B30" s="63" t="n"/>
      <c r="C30" s="63" t="n"/>
      <c r="D30" s="63" t="n"/>
      <c r="E30" s="63" t="n"/>
      <c r="F30" s="77" t="n"/>
      <c r="G30" s="63" t="n"/>
    </row>
    <row r="31" ht="15.75" customHeight="1" s="115">
      <c r="A31" s="63" t="n"/>
      <c r="B31" s="63" t="n"/>
      <c r="C31" s="63" t="n"/>
      <c r="D31" s="63" t="n"/>
      <c r="E31" s="63" t="n"/>
      <c r="F31" s="77" t="n"/>
      <c r="G31" s="63" t="n"/>
    </row>
    <row r="32" ht="15.75" customHeight="1" s="115">
      <c r="A32" s="5" t="n"/>
      <c r="B32" s="5" t="n"/>
      <c r="C32" s="5" t="n"/>
      <c r="D32" s="5" t="n"/>
      <c r="E32" s="5" t="n"/>
      <c r="F32" s="78" t="n"/>
      <c r="G32" s="5" t="n"/>
    </row>
    <row r="33" ht="15.75" customHeight="1" s="115">
      <c r="A33" s="5" t="n"/>
      <c r="B33" s="5" t="n"/>
      <c r="C33" s="5" t="n"/>
      <c r="D33" s="5" t="n"/>
      <c r="E33" s="5" t="n"/>
      <c r="F33" s="78" t="n"/>
      <c r="G33" s="5" t="n"/>
    </row>
    <row r="34" ht="15.75" customHeight="1" s="115">
      <c r="A34" s="5" t="n"/>
      <c r="B34" s="5" t="n"/>
      <c r="C34" s="5" t="n"/>
      <c r="D34" s="5" t="n"/>
      <c r="E34" s="5" t="n"/>
      <c r="F34" s="78" t="n"/>
      <c r="G34" s="5" t="n"/>
    </row>
    <row r="35" ht="15.75" customHeight="1" s="115">
      <c r="A35" s="5" t="n"/>
      <c r="B35" s="5" t="n"/>
      <c r="C35" s="5" t="n"/>
      <c r="D35" s="5" t="n"/>
      <c r="E35" s="5" t="n"/>
      <c r="F35" s="78" t="n"/>
      <c r="G35" s="5" t="n"/>
    </row>
    <row r="36" ht="15.75" customHeight="1" s="115">
      <c r="A36" s="5" t="n"/>
      <c r="B36" s="5" t="n"/>
      <c r="C36" s="5" t="n"/>
      <c r="D36" s="5" t="n"/>
      <c r="E36" s="5" t="n"/>
      <c r="F36" s="78" t="n"/>
      <c r="G36" s="5" t="n"/>
    </row>
    <row r="37" ht="15.75" customHeight="1" s="115">
      <c r="A37" s="5" t="n"/>
      <c r="B37" s="5" t="n"/>
      <c r="C37" s="5" t="n"/>
      <c r="D37" s="5" t="n"/>
      <c r="E37" s="5" t="n"/>
      <c r="F37" s="78" t="n"/>
      <c r="G37" s="5" t="n"/>
    </row>
    <row r="38" ht="15.75" customHeight="1" s="115">
      <c r="A38" s="5" t="n"/>
      <c r="B38" s="5" t="n"/>
      <c r="C38" s="5" t="n"/>
      <c r="D38" s="5" t="n"/>
      <c r="E38" s="5" t="n"/>
      <c r="F38" s="78" t="n"/>
      <c r="G38" s="5" t="n"/>
    </row>
    <row r="39" ht="15.75" customHeight="1" s="115">
      <c r="A39" s="5" t="n"/>
      <c r="B39" s="5" t="n"/>
      <c r="C39" s="5" t="n"/>
      <c r="D39" s="5" t="n"/>
      <c r="E39" s="5" t="n"/>
      <c r="F39" s="78" t="n"/>
      <c r="G39" s="5" t="n"/>
    </row>
    <row r="40" ht="15.75" customHeight="1" s="115">
      <c r="A40" s="5" t="n"/>
      <c r="B40" s="5" t="n"/>
      <c r="C40" s="5" t="n"/>
      <c r="D40" s="5" t="n"/>
      <c r="E40" s="5" t="n"/>
      <c r="F40" s="78" t="n"/>
      <c r="G40" s="5" t="n"/>
    </row>
    <row r="41" ht="15.75" customHeight="1" s="115">
      <c r="A41" s="5" t="n"/>
      <c r="B41" s="5" t="n"/>
      <c r="C41" s="5" t="n"/>
      <c r="D41" s="5" t="n"/>
      <c r="E41" s="5" t="n"/>
      <c r="F41" s="78" t="n"/>
      <c r="G41" s="5" t="n"/>
    </row>
    <row r="42" ht="15.75" customHeight="1" s="115">
      <c r="A42" s="5" t="n"/>
      <c r="B42" s="5" t="n"/>
      <c r="C42" s="5" t="n"/>
      <c r="D42" s="5" t="n"/>
      <c r="E42" s="5" t="n"/>
      <c r="F42" s="78" t="n"/>
      <c r="G42" s="5" t="n"/>
    </row>
    <row r="43" ht="15.75" customHeight="1" s="115">
      <c r="A43" s="5" t="n"/>
      <c r="B43" s="5" t="n"/>
      <c r="C43" s="5" t="n"/>
      <c r="D43" s="5" t="n"/>
      <c r="E43" s="5" t="n"/>
      <c r="F43" s="78" t="n"/>
      <c r="G43" s="5" t="n"/>
    </row>
    <row r="44" ht="15.75" customHeight="1" s="115">
      <c r="A44" s="5" t="n"/>
      <c r="B44" s="5" t="n"/>
      <c r="C44" s="5" t="n"/>
      <c r="D44" s="5" t="n"/>
      <c r="E44" s="5" t="n"/>
      <c r="F44" s="78" t="n"/>
      <c r="G44" s="5" t="n"/>
    </row>
    <row r="45" ht="15.75" customHeight="1" s="115">
      <c r="A45" s="5" t="n"/>
      <c r="B45" s="5" t="n"/>
      <c r="C45" s="5" t="n"/>
      <c r="D45" s="5" t="n"/>
      <c r="E45" s="5" t="n"/>
      <c r="F45" s="78" t="n"/>
      <c r="G45" s="5" t="n"/>
    </row>
    <row r="46" ht="15.75" customHeight="1" s="115">
      <c r="A46" s="5" t="n"/>
      <c r="B46" s="5" t="n"/>
      <c r="C46" s="5" t="n"/>
      <c r="D46" s="5" t="n"/>
      <c r="E46" s="5" t="n"/>
      <c r="F46" s="78" t="n"/>
      <c r="G46" s="5" t="n"/>
    </row>
    <row r="47" ht="15.75" customHeight="1" s="115">
      <c r="A47" s="5" t="n"/>
      <c r="B47" s="5" t="n"/>
      <c r="C47" s="5" t="n"/>
      <c r="D47" s="5" t="n"/>
      <c r="E47" s="5" t="n"/>
      <c r="F47" s="78" t="n"/>
      <c r="G47" s="5" t="n"/>
    </row>
    <row r="48" ht="15.75" customHeight="1" s="115">
      <c r="A48" s="5" t="n"/>
      <c r="B48" s="5" t="n"/>
      <c r="C48" s="5" t="n"/>
      <c r="D48" s="5" t="n"/>
      <c r="E48" s="5" t="n"/>
      <c r="F48" s="78" t="n"/>
      <c r="G48" s="5" t="n"/>
    </row>
    <row r="49" ht="15.75" customHeight="1" s="115">
      <c r="A49" s="5" t="n"/>
      <c r="B49" s="5" t="n"/>
      <c r="C49" s="5" t="n"/>
      <c r="D49" s="5" t="n"/>
      <c r="E49" s="5" t="n"/>
      <c r="F49" s="78" t="n"/>
      <c r="G49" s="5" t="n"/>
    </row>
    <row r="50" ht="15.75" customHeight="1" s="115">
      <c r="A50" s="5" t="n"/>
      <c r="B50" s="5" t="n"/>
      <c r="C50" s="5" t="n"/>
      <c r="D50" s="5" t="n"/>
      <c r="E50" s="5" t="n"/>
      <c r="F50" s="78" t="n"/>
      <c r="G50" s="5" t="n"/>
    </row>
    <row r="51" ht="15.75" customHeight="1" s="115">
      <c r="A51" s="5" t="n"/>
      <c r="B51" s="5" t="n"/>
      <c r="C51" s="5" t="n"/>
      <c r="D51" s="5" t="n"/>
      <c r="E51" s="5" t="n"/>
      <c r="F51" s="78" t="n"/>
      <c r="G51" s="5" t="n"/>
    </row>
    <row r="52" ht="15.75" customHeight="1" s="115">
      <c r="A52" s="5" t="n"/>
      <c r="B52" s="5" t="n"/>
      <c r="C52" s="5" t="n"/>
      <c r="D52" s="5" t="n"/>
      <c r="E52" s="5" t="n"/>
      <c r="F52" s="78" t="n"/>
      <c r="G52" s="5" t="n"/>
    </row>
    <row r="53" ht="15.75" customHeight="1" s="115">
      <c r="A53" s="5" t="n"/>
      <c r="B53" s="5" t="n"/>
      <c r="C53" s="5" t="n"/>
      <c r="D53" s="5" t="n"/>
      <c r="E53" s="5" t="n"/>
      <c r="F53" s="78" t="n"/>
      <c r="G53" s="5" t="n"/>
    </row>
    <row r="54" ht="15.75" customHeight="1" s="115">
      <c r="A54" s="5" t="n"/>
      <c r="B54" s="5" t="n"/>
      <c r="C54" s="5" t="n"/>
      <c r="D54" s="5" t="n"/>
      <c r="E54" s="5" t="n"/>
      <c r="F54" s="78" t="n"/>
      <c r="G54" s="5" t="n"/>
    </row>
    <row r="55" ht="15.75" customHeight="1" s="115">
      <c r="A55" s="5" t="n"/>
      <c r="B55" s="5" t="n"/>
      <c r="C55" s="5" t="n"/>
      <c r="D55" s="5" t="n"/>
      <c r="E55" s="5" t="n"/>
      <c r="F55" s="78" t="n"/>
      <c r="G55" s="5" t="n"/>
    </row>
    <row r="56" ht="15.75" customHeight="1" s="115">
      <c r="A56" s="5" t="n"/>
      <c r="B56" s="5" t="n"/>
      <c r="C56" s="5" t="n"/>
      <c r="D56" s="5" t="n"/>
      <c r="E56" s="5" t="n"/>
      <c r="F56" s="78" t="n"/>
      <c r="G56" s="5" t="n"/>
    </row>
    <row r="57" ht="15.75" customHeight="1" s="115">
      <c r="A57" s="5" t="n"/>
      <c r="B57" s="5" t="n"/>
      <c r="C57" s="5" t="n"/>
      <c r="D57" s="5" t="n"/>
      <c r="E57" s="5" t="n"/>
      <c r="F57" s="78" t="n"/>
      <c r="G57" s="5" t="n"/>
    </row>
    <row r="58" ht="15.75" customHeight="1" s="115">
      <c r="A58" s="5" t="n"/>
      <c r="B58" s="5" t="n"/>
      <c r="C58" s="5" t="n"/>
      <c r="D58" s="5" t="n"/>
      <c r="E58" s="5" t="n"/>
      <c r="F58" s="78" t="n"/>
      <c r="G58" s="5" t="n"/>
    </row>
    <row r="59" ht="15.75" customHeight="1" s="115">
      <c r="A59" s="5" t="n"/>
      <c r="B59" s="5" t="n"/>
      <c r="C59" s="5" t="n"/>
      <c r="D59" s="5" t="n"/>
      <c r="E59" s="5" t="n"/>
      <c r="F59" s="78" t="n"/>
      <c r="G59" s="5" t="n"/>
    </row>
    <row r="60" ht="15.75" customHeight="1" s="115">
      <c r="A60" s="5" t="n"/>
      <c r="B60" s="5" t="n"/>
      <c r="C60" s="5" t="n"/>
      <c r="D60" s="5" t="n"/>
      <c r="E60" s="5" t="n"/>
      <c r="F60" s="78" t="n"/>
      <c r="G60" s="5" t="n"/>
    </row>
    <row r="61" ht="15.75" customHeight="1" s="115">
      <c r="A61" s="5" t="n"/>
      <c r="B61" s="5" t="n"/>
      <c r="C61" s="5" t="n"/>
      <c r="D61" s="5" t="n"/>
      <c r="E61" s="5" t="n"/>
      <c r="F61" s="78" t="n"/>
      <c r="G61" s="5" t="n"/>
    </row>
    <row r="62" ht="15.75" customHeight="1" s="115">
      <c r="A62" s="5" t="n"/>
      <c r="B62" s="5" t="n"/>
      <c r="C62" s="5" t="n"/>
      <c r="D62" s="5" t="n"/>
      <c r="E62" s="5" t="n"/>
      <c r="F62" s="79" t="n"/>
      <c r="G62" s="5" t="n"/>
    </row>
    <row r="63" ht="15.75" customHeight="1" s="115">
      <c r="A63" s="5" t="n"/>
      <c r="B63" s="5" t="n"/>
      <c r="C63" s="5" t="n"/>
      <c r="D63" s="5" t="n"/>
      <c r="E63" s="5" t="n"/>
      <c r="F63" s="79" t="n"/>
      <c r="G63" s="5" t="n"/>
    </row>
    <row r="64" ht="15.75" customHeight="1" s="115">
      <c r="A64" s="5" t="n"/>
      <c r="B64" s="5" t="n"/>
      <c r="C64" s="5" t="n"/>
      <c r="D64" s="5" t="n"/>
      <c r="E64" s="5" t="n"/>
      <c r="F64" s="79" t="n"/>
      <c r="G64" s="5" t="n"/>
    </row>
    <row r="65" ht="15.75" customHeight="1" s="115">
      <c r="A65" s="5" t="n"/>
      <c r="B65" s="5" t="n"/>
      <c r="C65" s="5" t="n"/>
      <c r="D65" s="5" t="n"/>
      <c r="E65" s="5" t="n"/>
      <c r="F65" s="79" t="n"/>
      <c r="G65" s="5" t="n"/>
    </row>
    <row r="66" ht="15.75" customHeight="1" s="115">
      <c r="A66" s="5" t="n"/>
      <c r="B66" s="5" t="n"/>
      <c r="C66" s="5" t="n"/>
      <c r="D66" s="5" t="n"/>
      <c r="E66" s="5" t="n"/>
      <c r="F66" s="79" t="n"/>
      <c r="G66" s="5" t="n"/>
    </row>
    <row r="67" ht="15.75" customHeight="1" s="115">
      <c r="A67" s="5" t="n"/>
      <c r="B67" s="5" t="n"/>
      <c r="C67" s="5" t="n"/>
      <c r="D67" s="5" t="n"/>
      <c r="E67" s="5" t="n"/>
      <c r="F67" s="79" t="n"/>
      <c r="G67" s="5" t="n"/>
    </row>
    <row r="68" ht="15.75" customHeight="1" s="115">
      <c r="A68" s="5" t="n"/>
      <c r="B68" s="5" t="n"/>
      <c r="C68" s="5" t="n"/>
      <c r="D68" s="5" t="n"/>
      <c r="E68" s="5" t="n"/>
      <c r="F68" s="79" t="n"/>
      <c r="G68" s="5" t="n"/>
    </row>
    <row r="69" ht="15.75" customHeight="1" s="115">
      <c r="A69" s="5" t="n"/>
      <c r="B69" s="5" t="n"/>
      <c r="C69" s="5" t="n"/>
      <c r="D69" s="5" t="n"/>
      <c r="E69" s="5" t="n"/>
      <c r="F69" s="79" t="n"/>
      <c r="G69" s="5" t="n"/>
    </row>
    <row r="70" ht="15.75" customHeight="1" s="115">
      <c r="A70" s="5" t="n"/>
      <c r="B70" s="5" t="n"/>
      <c r="C70" s="5" t="n"/>
      <c r="D70" s="5" t="n"/>
      <c r="E70" s="5" t="n"/>
      <c r="F70" s="79" t="n"/>
      <c r="G70" s="5" t="n"/>
    </row>
    <row r="71" ht="15.75" customHeight="1" s="115">
      <c r="A71" s="5" t="n"/>
      <c r="B71" s="5" t="n"/>
      <c r="C71" s="5" t="n"/>
      <c r="D71" s="5" t="n"/>
      <c r="E71" s="5" t="n"/>
      <c r="F71" s="79" t="n"/>
      <c r="G71" s="5" t="n"/>
    </row>
    <row r="72" ht="15.75" customHeight="1" s="115">
      <c r="A72" s="5" t="n"/>
      <c r="B72" s="5" t="n"/>
      <c r="C72" s="5" t="n"/>
      <c r="D72" s="5" t="n"/>
      <c r="E72" s="5" t="n"/>
      <c r="F72" s="79" t="n"/>
      <c r="G72" s="5" t="n"/>
    </row>
    <row r="73" ht="15.75" customHeight="1" s="115">
      <c r="A73" s="5" t="n"/>
      <c r="B73" s="5" t="n"/>
      <c r="C73" s="5" t="n"/>
      <c r="D73" s="5" t="n"/>
      <c r="E73" s="5" t="n"/>
      <c r="F73" s="79" t="n"/>
      <c r="G73" s="5" t="n"/>
    </row>
    <row r="74" ht="15.75" customHeight="1" s="115">
      <c r="A74" s="5" t="n"/>
      <c r="B74" s="5" t="n"/>
      <c r="C74" s="5" t="n"/>
      <c r="D74" s="5" t="n"/>
      <c r="E74" s="5" t="n"/>
      <c r="F74" s="79" t="n"/>
      <c r="G74" s="5" t="n"/>
    </row>
    <row r="75" ht="15.75" customHeight="1" s="115">
      <c r="A75" s="5" t="n"/>
      <c r="B75" s="5" t="n"/>
      <c r="C75" s="5" t="n"/>
      <c r="D75" s="5" t="n"/>
      <c r="E75" s="5" t="n"/>
      <c r="F75" s="79" t="n"/>
      <c r="G75" s="5" t="n"/>
    </row>
    <row r="76" ht="15.75" customHeight="1" s="115">
      <c r="A76" s="5" t="n"/>
      <c r="B76" s="5" t="n"/>
      <c r="C76" s="5" t="n"/>
      <c r="D76" s="5" t="n"/>
      <c r="E76" s="5" t="n"/>
      <c r="F76" s="79" t="n"/>
      <c r="G76" s="5" t="n"/>
    </row>
    <row r="77" ht="15.75" customHeight="1" s="115">
      <c r="A77" s="5" t="n"/>
      <c r="B77" s="5" t="n"/>
      <c r="C77" s="5" t="n"/>
      <c r="D77" s="5" t="n"/>
      <c r="E77" s="5" t="n"/>
      <c r="F77" s="79" t="n"/>
      <c r="G77" s="5" t="n"/>
    </row>
    <row r="78" ht="15.75" customHeight="1" s="115">
      <c r="A78" s="5" t="n"/>
      <c r="B78" s="5" t="n"/>
      <c r="C78" s="5" t="n"/>
      <c r="D78" s="5" t="n"/>
      <c r="E78" s="5" t="n"/>
      <c r="F78" s="79" t="n"/>
      <c r="G78" s="5" t="n"/>
    </row>
    <row r="79" ht="15.75" customHeight="1" s="115">
      <c r="A79" s="5" t="n"/>
      <c r="B79" s="5" t="n"/>
      <c r="C79" s="5" t="n"/>
      <c r="D79" s="5" t="n"/>
      <c r="E79" s="5" t="n"/>
      <c r="F79" s="79" t="n"/>
      <c r="G79" s="5" t="n"/>
    </row>
    <row r="80" ht="15.75" customHeight="1" s="115">
      <c r="A80" s="5" t="n"/>
      <c r="B80" s="5" t="n"/>
      <c r="C80" s="5" t="n"/>
      <c r="D80" s="5" t="n"/>
      <c r="E80" s="5" t="n"/>
      <c r="F80" s="79" t="n"/>
      <c r="G80" s="5" t="n"/>
    </row>
    <row r="81" ht="15.75" customHeight="1" s="115">
      <c r="A81" s="5" t="n"/>
      <c r="B81" s="5" t="n"/>
      <c r="C81" s="5" t="n"/>
      <c r="D81" s="5" t="n"/>
      <c r="E81" s="5" t="n"/>
      <c r="F81" s="79" t="n"/>
      <c r="G81" s="5" t="n"/>
    </row>
    <row r="82" ht="15.75" customHeight="1" s="115">
      <c r="A82" s="5" t="n"/>
      <c r="B82" s="5" t="n"/>
      <c r="C82" s="5" t="n"/>
      <c r="D82" s="5" t="n"/>
      <c r="E82" s="5" t="n"/>
      <c r="F82" s="79" t="n"/>
      <c r="G82" s="5" t="n"/>
    </row>
    <row r="83" ht="15.75" customHeight="1" s="115">
      <c r="A83" s="5" t="n"/>
      <c r="B83" s="5" t="n"/>
      <c r="C83" s="5" t="n"/>
      <c r="D83" s="5" t="n"/>
      <c r="E83" s="5" t="n"/>
      <c r="F83" s="79" t="n"/>
      <c r="G83" s="5" t="n"/>
    </row>
    <row r="84" ht="15.75" customHeight="1" s="115">
      <c r="A84" s="5" t="n"/>
      <c r="B84" s="5" t="n"/>
      <c r="C84" s="5" t="n"/>
      <c r="D84" s="5" t="n"/>
      <c r="E84" s="5" t="n"/>
      <c r="F84" s="79" t="n"/>
      <c r="G84" s="5" t="n"/>
    </row>
    <row r="85" ht="15.75" customHeight="1" s="115">
      <c r="A85" s="5" t="n"/>
      <c r="B85" s="5" t="n"/>
      <c r="C85" s="5" t="n"/>
      <c r="D85" s="5" t="n"/>
      <c r="E85" s="5" t="n"/>
      <c r="F85" s="79" t="n"/>
      <c r="G85" s="5" t="n"/>
    </row>
    <row r="86" ht="15.75" customHeight="1" s="115">
      <c r="A86" s="5" t="n"/>
      <c r="B86" s="5" t="n"/>
      <c r="C86" s="5" t="n"/>
      <c r="D86" s="5" t="n"/>
      <c r="E86" s="5" t="n"/>
      <c r="F86" s="79" t="n"/>
      <c r="G86" s="5" t="n"/>
    </row>
    <row r="87" ht="15.75" customHeight="1" s="115">
      <c r="A87" s="5" t="n"/>
      <c r="B87" s="5" t="n"/>
      <c r="C87" s="5" t="n"/>
      <c r="D87" s="5" t="n"/>
      <c r="E87" s="5" t="n"/>
      <c r="F87" s="79" t="n"/>
      <c r="G87" s="5" t="n"/>
    </row>
    <row r="88" ht="15.75" customHeight="1" s="115">
      <c r="A88" s="5" t="n"/>
      <c r="B88" s="5" t="n"/>
      <c r="C88" s="5" t="n"/>
      <c r="D88" s="5" t="n"/>
      <c r="E88" s="5" t="n"/>
      <c r="F88" s="79" t="n"/>
      <c r="G88" s="5" t="n"/>
    </row>
    <row r="89" ht="15.75" customHeight="1" s="115">
      <c r="A89" s="5" t="n"/>
      <c r="B89" s="5" t="n"/>
      <c r="C89" s="5" t="n"/>
      <c r="D89" s="5" t="n"/>
      <c r="E89" s="5" t="n"/>
      <c r="F89" s="79" t="n"/>
      <c r="G89" s="5" t="n"/>
    </row>
    <row r="90" ht="15.75" customHeight="1" s="115">
      <c r="A90" s="5" t="n"/>
      <c r="B90" s="5" t="n"/>
      <c r="C90" s="5" t="n"/>
      <c r="D90" s="5" t="n"/>
      <c r="E90" s="5" t="n"/>
      <c r="F90" s="79" t="n"/>
      <c r="G90" s="5" t="n"/>
    </row>
    <row r="91" ht="15.75" customHeight="1" s="115">
      <c r="A91" s="5" t="n"/>
      <c r="B91" s="5" t="n"/>
      <c r="C91" s="5" t="n"/>
      <c r="D91" s="5" t="n"/>
      <c r="E91" s="5" t="n"/>
      <c r="F91" s="79" t="n"/>
      <c r="G91" s="5" t="n"/>
    </row>
    <row r="92" ht="15.75" customHeight="1" s="115">
      <c r="A92" s="5" t="n"/>
      <c r="B92" s="5" t="n"/>
      <c r="C92" s="5" t="n"/>
      <c r="D92" s="5" t="n"/>
      <c r="E92" s="5" t="n"/>
      <c r="F92" s="79" t="n"/>
      <c r="G92" s="5" t="n"/>
    </row>
    <row r="93" ht="15.75" customHeight="1" s="115">
      <c r="A93" s="5" t="n"/>
      <c r="B93" s="5" t="n"/>
      <c r="C93" s="5" t="n"/>
      <c r="D93" s="5" t="n"/>
      <c r="E93" s="5" t="n"/>
      <c r="F93" s="79" t="n"/>
      <c r="G93" s="5" t="n"/>
    </row>
    <row r="94" ht="15.75" customHeight="1" s="115">
      <c r="A94" s="5" t="n"/>
      <c r="B94" s="5" t="n"/>
      <c r="C94" s="5" t="n"/>
      <c r="D94" s="5" t="n"/>
      <c r="E94" s="5" t="n"/>
      <c r="F94" s="79" t="n"/>
      <c r="G94" s="5" t="n"/>
    </row>
    <row r="95" ht="15.75" customHeight="1" s="115">
      <c r="A95" s="5" t="n"/>
      <c r="B95" s="5" t="n"/>
      <c r="C95" s="5" t="n"/>
      <c r="D95" s="5" t="n"/>
      <c r="E95" s="5" t="n"/>
      <c r="F95" s="79" t="n"/>
      <c r="G95" s="5" t="n"/>
    </row>
    <row r="96" ht="15.75" customHeight="1" s="115">
      <c r="A96" s="5" t="n"/>
      <c r="B96" s="5" t="n"/>
      <c r="C96" s="5" t="n"/>
      <c r="D96" s="5" t="n"/>
      <c r="E96" s="5" t="n"/>
      <c r="F96" s="79" t="n"/>
      <c r="G96" s="5" t="n"/>
    </row>
    <row r="97" ht="15.75" customHeight="1" s="115">
      <c r="A97" s="5" t="n"/>
      <c r="B97" s="5" t="n"/>
      <c r="C97" s="5" t="n"/>
      <c r="D97" s="5" t="n"/>
      <c r="E97" s="5" t="n"/>
      <c r="F97" s="79" t="n"/>
      <c r="G97" s="5" t="n"/>
    </row>
    <row r="98" ht="15.75" customHeight="1" s="115">
      <c r="A98" s="5" t="n"/>
      <c r="B98" s="5" t="n"/>
      <c r="C98" s="5" t="n"/>
      <c r="D98" s="5" t="n"/>
      <c r="E98" s="5" t="n"/>
      <c r="F98" s="79" t="n"/>
      <c r="G98" s="5" t="n"/>
    </row>
    <row r="99" ht="15.75" customHeight="1" s="115">
      <c r="A99" s="5" t="n"/>
      <c r="B99" s="5" t="n"/>
      <c r="C99" s="5" t="n"/>
      <c r="D99" s="5" t="n"/>
      <c r="E99" s="5" t="n"/>
      <c r="F99" s="79" t="n"/>
      <c r="G99" s="5" t="n"/>
    </row>
    <row r="100" ht="15.75" customHeight="1" s="115">
      <c r="A100" s="5" t="n"/>
      <c r="B100" s="5" t="n"/>
      <c r="C100" s="5" t="n"/>
      <c r="D100" s="5" t="n"/>
      <c r="E100" s="5" t="n"/>
      <c r="F100" s="79" t="n"/>
      <c r="G100" s="5" t="n"/>
    </row>
    <row r="101" ht="15.75" customHeight="1" s="115">
      <c r="A101" s="5" t="n"/>
      <c r="B101" s="5" t="n"/>
      <c r="C101" s="5" t="n"/>
      <c r="D101" s="5" t="n"/>
      <c r="E101" s="5" t="n"/>
      <c r="F101" s="79" t="n"/>
      <c r="G101" s="5" t="n"/>
    </row>
    <row r="102" ht="15.75" customHeight="1" s="115">
      <c r="A102" s="5" t="n"/>
      <c r="B102" s="5" t="n"/>
      <c r="C102" s="5" t="n"/>
      <c r="D102" s="5" t="n"/>
      <c r="E102" s="5" t="n"/>
      <c r="F102" s="79" t="n"/>
      <c r="G102" s="5" t="n"/>
    </row>
    <row r="103" ht="15.75" customHeight="1" s="115">
      <c r="A103" s="5" t="n"/>
      <c r="B103" s="5" t="n"/>
      <c r="C103" s="5" t="n"/>
      <c r="D103" s="5" t="n"/>
      <c r="E103" s="5" t="n"/>
      <c r="F103" s="79" t="n"/>
      <c r="G103" s="5" t="n"/>
    </row>
    <row r="104" ht="15.75" customHeight="1" s="115">
      <c r="A104" s="5" t="n"/>
      <c r="B104" s="5" t="n"/>
      <c r="C104" s="5" t="n"/>
      <c r="D104" s="5" t="n"/>
      <c r="E104" s="5" t="n"/>
      <c r="F104" s="79" t="n"/>
      <c r="G104" s="5" t="n"/>
    </row>
    <row r="105" ht="15.75" customHeight="1" s="115">
      <c r="A105" s="5" t="n"/>
      <c r="B105" s="5" t="n"/>
      <c r="C105" s="5" t="n"/>
      <c r="D105" s="5" t="n"/>
      <c r="E105" s="5" t="n"/>
      <c r="F105" s="79" t="n"/>
      <c r="G105" s="5" t="n"/>
    </row>
    <row r="106" ht="15.75" customHeight="1" s="115">
      <c r="A106" s="5" t="n"/>
      <c r="B106" s="5" t="n"/>
      <c r="C106" s="5" t="n"/>
      <c r="D106" s="5" t="n"/>
      <c r="E106" s="5" t="n"/>
      <c r="F106" s="79" t="n"/>
      <c r="G106" s="5" t="n"/>
    </row>
    <row r="107" ht="15.75" customHeight="1" s="115">
      <c r="A107" s="5" t="n"/>
      <c r="B107" s="5" t="n"/>
      <c r="C107" s="5" t="n"/>
      <c r="D107" s="5" t="n"/>
      <c r="E107" s="5" t="n"/>
      <c r="F107" s="79" t="n"/>
      <c r="G107" s="5" t="n"/>
    </row>
    <row r="108" ht="15.75" customHeight="1" s="115">
      <c r="A108" s="5" t="n"/>
      <c r="B108" s="5" t="n"/>
      <c r="C108" s="5" t="n"/>
      <c r="D108" s="5" t="n"/>
      <c r="E108" s="5" t="n"/>
      <c r="F108" s="79" t="n"/>
      <c r="G108" s="5" t="n"/>
    </row>
    <row r="109" ht="15.75" customHeight="1" s="115">
      <c r="A109" s="5" t="n"/>
      <c r="B109" s="5" t="n"/>
      <c r="C109" s="5" t="n"/>
      <c r="D109" s="5" t="n"/>
      <c r="E109" s="5" t="n"/>
      <c r="F109" s="79" t="n"/>
      <c r="G109" s="5" t="n"/>
    </row>
    <row r="110" ht="15.75" customHeight="1" s="115">
      <c r="A110" s="5" t="n"/>
      <c r="B110" s="5" t="n"/>
      <c r="C110" s="5" t="n"/>
      <c r="D110" s="5" t="n"/>
      <c r="E110" s="5" t="n"/>
      <c r="F110" s="79" t="n"/>
      <c r="G110" s="5" t="n"/>
    </row>
    <row r="111" ht="15.75" customHeight="1" s="115">
      <c r="A111" s="5" t="n"/>
      <c r="B111" s="5" t="n"/>
      <c r="C111" s="5" t="n"/>
      <c r="D111" s="5" t="n"/>
      <c r="E111" s="5" t="n"/>
      <c r="F111" s="79" t="n"/>
      <c r="G111" s="5" t="n"/>
    </row>
    <row r="112" ht="15.75" customHeight="1" s="115">
      <c r="A112" s="5" t="n"/>
      <c r="B112" s="5" t="n"/>
      <c r="C112" s="5" t="n"/>
      <c r="D112" s="5" t="n"/>
      <c r="E112" s="5" t="n"/>
      <c r="F112" s="79" t="n"/>
      <c r="G112" s="5" t="n"/>
    </row>
    <row r="113" ht="15.75" customHeight="1" s="115">
      <c r="A113" s="5" t="n"/>
      <c r="B113" s="5" t="n"/>
      <c r="C113" s="5" t="n"/>
      <c r="D113" s="5" t="n"/>
      <c r="E113" s="5" t="n"/>
      <c r="F113" s="79" t="n"/>
      <c r="G113" s="5" t="n"/>
    </row>
    <row r="114" ht="15.75" customHeight="1" s="115">
      <c r="A114" s="5" t="n"/>
      <c r="B114" s="5" t="n"/>
      <c r="C114" s="5" t="n"/>
      <c r="D114" s="5" t="n"/>
      <c r="E114" s="5" t="n"/>
      <c r="F114" s="79" t="n"/>
      <c r="G114" s="5" t="n"/>
    </row>
    <row r="115" ht="15.75" customHeight="1" s="115">
      <c r="A115" s="5" t="n"/>
      <c r="B115" s="5" t="n"/>
      <c r="C115" s="5" t="n"/>
      <c r="D115" s="5" t="n"/>
      <c r="E115" s="5" t="n"/>
      <c r="F115" s="79" t="n"/>
      <c r="G115" s="5" t="n"/>
    </row>
    <row r="116" ht="15.75" customHeight="1" s="115">
      <c r="A116" s="5" t="n"/>
      <c r="B116" s="5" t="n"/>
      <c r="C116" s="5" t="n"/>
      <c r="D116" s="5" t="n"/>
      <c r="E116" s="5" t="n"/>
      <c r="F116" s="79" t="n"/>
      <c r="G116" s="5" t="n"/>
    </row>
    <row r="117" ht="15.75" customHeight="1" s="115">
      <c r="A117" s="5" t="n"/>
      <c r="B117" s="5" t="n"/>
      <c r="C117" s="5" t="n"/>
      <c r="D117" s="5" t="n"/>
      <c r="E117" s="5" t="n"/>
      <c r="F117" s="79" t="n"/>
      <c r="G117" s="5" t="n"/>
    </row>
    <row r="118" ht="15.75" customHeight="1" s="115">
      <c r="A118" s="5" t="n"/>
      <c r="B118" s="5" t="n"/>
      <c r="C118" s="5" t="n"/>
      <c r="D118" s="5" t="n"/>
      <c r="E118" s="5" t="n"/>
      <c r="F118" s="79" t="n"/>
      <c r="G118" s="5" t="n"/>
    </row>
    <row r="119" ht="15.75" customHeight="1" s="115">
      <c r="A119" s="5" t="n"/>
      <c r="B119" s="5" t="n"/>
      <c r="C119" s="5" t="n"/>
      <c r="D119" s="5" t="n"/>
      <c r="E119" s="5" t="n"/>
      <c r="F119" s="79" t="n"/>
      <c r="G119" s="5" t="n"/>
    </row>
    <row r="120" ht="15.75" customHeight="1" s="115">
      <c r="A120" s="5" t="n"/>
      <c r="B120" s="5" t="n"/>
      <c r="C120" s="5" t="n"/>
      <c r="D120" s="5" t="n"/>
      <c r="E120" s="5" t="n"/>
      <c r="F120" s="79" t="n"/>
      <c r="G120" s="5" t="n"/>
    </row>
    <row r="121" ht="15.75" customHeight="1" s="115">
      <c r="A121" s="5" t="n"/>
      <c r="B121" s="5" t="n"/>
      <c r="C121" s="5" t="n"/>
      <c r="D121" s="5" t="n"/>
      <c r="E121" s="5" t="n"/>
      <c r="F121" s="79" t="n"/>
      <c r="G121" s="5" t="n"/>
    </row>
    <row r="122" ht="15.75" customHeight="1" s="115">
      <c r="A122" s="5" t="n"/>
      <c r="B122" s="5" t="n"/>
      <c r="C122" s="5" t="n"/>
      <c r="D122" s="5" t="n"/>
      <c r="E122" s="5" t="n"/>
      <c r="F122" s="79" t="n"/>
      <c r="G122" s="5" t="n"/>
    </row>
    <row r="123" ht="15.75" customHeight="1" s="115">
      <c r="A123" s="5" t="n"/>
      <c r="B123" s="5" t="n"/>
      <c r="C123" s="5" t="n"/>
      <c r="D123" s="5" t="n"/>
      <c r="E123" s="5" t="n"/>
      <c r="F123" s="79" t="n"/>
      <c r="G123" s="5" t="n"/>
    </row>
    <row r="124" ht="15.75" customHeight="1" s="115">
      <c r="A124" s="5" t="n"/>
      <c r="B124" s="5" t="n"/>
      <c r="C124" s="5" t="n"/>
      <c r="D124" s="5" t="n"/>
      <c r="E124" s="5" t="n"/>
      <c r="F124" s="79" t="n"/>
      <c r="G124" s="5" t="n"/>
    </row>
    <row r="125" ht="15.75" customHeight="1" s="115">
      <c r="A125" s="5" t="n"/>
      <c r="B125" s="5" t="n"/>
      <c r="C125" s="5" t="n"/>
      <c r="D125" s="5" t="n"/>
      <c r="E125" s="5" t="n"/>
      <c r="F125" s="79" t="n"/>
      <c r="G125" s="5" t="n"/>
    </row>
    <row r="126" ht="15.75" customHeight="1" s="115">
      <c r="A126" s="5" t="n"/>
      <c r="B126" s="5" t="n"/>
      <c r="C126" s="5" t="n"/>
      <c r="D126" s="5" t="n"/>
      <c r="E126" s="5" t="n"/>
      <c r="F126" s="79" t="n"/>
      <c r="G126" s="5" t="n"/>
    </row>
    <row r="127" ht="15.75" customHeight="1" s="115">
      <c r="A127" s="5" t="n"/>
      <c r="B127" s="5" t="n"/>
      <c r="C127" s="5" t="n"/>
      <c r="D127" s="5" t="n"/>
      <c r="E127" s="5" t="n"/>
      <c r="F127" s="79" t="n"/>
      <c r="G127" s="5" t="n"/>
    </row>
    <row r="128" ht="15.75" customHeight="1" s="115">
      <c r="A128" s="5" t="n"/>
      <c r="B128" s="5" t="n"/>
      <c r="C128" s="5" t="n"/>
      <c r="D128" s="5" t="n"/>
      <c r="E128" s="5" t="n"/>
      <c r="F128" s="79" t="n"/>
      <c r="G128" s="5" t="n"/>
    </row>
    <row r="129" ht="15.75" customHeight="1" s="115">
      <c r="A129" s="5" t="n"/>
      <c r="B129" s="5" t="n"/>
      <c r="C129" s="5" t="n"/>
      <c r="D129" s="5" t="n"/>
      <c r="E129" s="5" t="n"/>
      <c r="F129" s="79" t="n"/>
      <c r="G129" s="5" t="n"/>
    </row>
    <row r="130" ht="15.75" customHeight="1" s="115">
      <c r="A130" s="5" t="n"/>
      <c r="B130" s="5" t="n"/>
      <c r="C130" s="5" t="n"/>
      <c r="D130" s="5" t="n"/>
      <c r="E130" s="5" t="n"/>
      <c r="F130" s="79" t="n"/>
      <c r="G130" s="5" t="n"/>
    </row>
    <row r="131" ht="15.75" customHeight="1" s="115">
      <c r="A131" s="5" t="n"/>
      <c r="B131" s="5" t="n"/>
      <c r="C131" s="5" t="n"/>
      <c r="D131" s="5" t="n"/>
      <c r="E131" s="5" t="n"/>
      <c r="F131" s="79" t="n"/>
      <c r="G131" s="5" t="n"/>
    </row>
    <row r="132" ht="15.75" customHeight="1" s="115">
      <c r="A132" s="5" t="n"/>
      <c r="B132" s="5" t="n"/>
      <c r="C132" s="5" t="n"/>
      <c r="D132" s="5" t="n"/>
      <c r="E132" s="5" t="n"/>
      <c r="F132" s="79" t="n"/>
      <c r="G132" s="5" t="n"/>
    </row>
    <row r="133" ht="15.75" customHeight="1" s="115">
      <c r="A133" s="5" t="n"/>
      <c r="B133" s="5" t="n"/>
      <c r="C133" s="5" t="n"/>
      <c r="D133" s="5" t="n"/>
      <c r="E133" s="5" t="n"/>
      <c r="F133" s="79" t="n"/>
      <c r="G133" s="5" t="n"/>
    </row>
    <row r="134" ht="15.75" customHeight="1" s="115">
      <c r="A134" s="5" t="n"/>
      <c r="B134" s="5" t="n"/>
      <c r="C134" s="5" t="n"/>
      <c r="D134" s="5" t="n"/>
      <c r="E134" s="5" t="n"/>
      <c r="F134" s="79" t="n"/>
      <c r="G134" s="5" t="n"/>
    </row>
    <row r="135" ht="15.75" customHeight="1" s="115">
      <c r="A135" s="5" t="n"/>
      <c r="B135" s="5" t="n"/>
      <c r="C135" s="5" t="n"/>
      <c r="D135" s="5" t="n"/>
      <c r="E135" s="5" t="n"/>
      <c r="F135" s="79" t="n"/>
      <c r="G135" s="5" t="n"/>
    </row>
    <row r="136" ht="15.75" customHeight="1" s="115">
      <c r="A136" s="5" t="n"/>
      <c r="B136" s="5" t="n"/>
      <c r="C136" s="5" t="n"/>
      <c r="D136" s="5" t="n"/>
      <c r="E136" s="5" t="n"/>
      <c r="F136" s="79" t="n"/>
      <c r="G136" s="5" t="n"/>
    </row>
    <row r="137" ht="15.75" customHeight="1" s="115">
      <c r="A137" s="5" t="n"/>
      <c r="B137" s="5" t="n"/>
      <c r="C137" s="5" t="n"/>
      <c r="D137" s="5" t="n"/>
      <c r="E137" s="5" t="n"/>
      <c r="F137" s="79" t="n"/>
      <c r="G137" s="5" t="n"/>
    </row>
    <row r="138" ht="15.75" customHeight="1" s="115">
      <c r="A138" s="5" t="n"/>
      <c r="B138" s="5" t="n"/>
      <c r="C138" s="5" t="n"/>
      <c r="D138" s="5" t="n"/>
      <c r="E138" s="5" t="n"/>
      <c r="F138" s="79" t="n"/>
      <c r="G138" s="5" t="n"/>
    </row>
    <row r="139" ht="15.75" customHeight="1" s="115">
      <c r="A139" s="5" t="n"/>
      <c r="B139" s="5" t="n"/>
      <c r="C139" s="5" t="n"/>
      <c r="D139" s="5" t="n"/>
      <c r="E139" s="5" t="n"/>
      <c r="F139" s="79" t="n"/>
      <c r="G139" s="5" t="n"/>
    </row>
    <row r="140" ht="15.75" customHeight="1" s="115">
      <c r="A140" s="5" t="n"/>
      <c r="B140" s="5" t="n"/>
      <c r="C140" s="5" t="n"/>
      <c r="D140" s="5" t="n"/>
      <c r="E140" s="5" t="n"/>
      <c r="F140" s="79" t="n"/>
      <c r="G140" s="5" t="n"/>
    </row>
    <row r="141" ht="15.75" customHeight="1" s="115">
      <c r="A141" s="5" t="n"/>
      <c r="B141" s="5" t="n"/>
      <c r="C141" s="5" t="n"/>
      <c r="D141" s="5" t="n"/>
      <c r="E141" s="5" t="n"/>
      <c r="F141" s="79" t="n"/>
      <c r="G141" s="5" t="n"/>
    </row>
    <row r="142" ht="15.75" customHeight="1" s="115">
      <c r="A142" s="5" t="n"/>
      <c r="B142" s="5" t="n"/>
      <c r="C142" s="5" t="n"/>
      <c r="D142" s="5" t="n"/>
      <c r="E142" s="5" t="n"/>
      <c r="F142" s="79" t="n"/>
      <c r="G142" s="5" t="n"/>
    </row>
    <row r="143" ht="15.75" customHeight="1" s="115">
      <c r="A143" s="5" t="n"/>
      <c r="B143" s="5" t="n"/>
      <c r="C143" s="5" t="n"/>
      <c r="D143" s="5" t="n"/>
      <c r="E143" s="5" t="n"/>
      <c r="F143" s="79" t="n"/>
      <c r="G143" s="5" t="n"/>
    </row>
    <row r="144" ht="15.75" customHeight="1" s="115">
      <c r="A144" s="5" t="n"/>
      <c r="B144" s="5" t="n"/>
      <c r="C144" s="5" t="n"/>
      <c r="D144" s="5" t="n"/>
      <c r="E144" s="5" t="n"/>
      <c r="F144" s="79" t="n"/>
      <c r="G144" s="5" t="n"/>
    </row>
    <row r="145" ht="15.75" customHeight="1" s="115">
      <c r="A145" s="5" t="n"/>
      <c r="B145" s="5" t="n"/>
      <c r="C145" s="5" t="n"/>
      <c r="D145" s="5" t="n"/>
      <c r="E145" s="5" t="n"/>
      <c r="F145" s="79" t="n"/>
      <c r="G145" s="5" t="n"/>
    </row>
    <row r="146" ht="15.75" customHeight="1" s="115">
      <c r="A146" s="5" t="n"/>
      <c r="B146" s="5" t="n"/>
      <c r="C146" s="5" t="n"/>
      <c r="D146" s="5" t="n"/>
      <c r="E146" s="5" t="n"/>
      <c r="F146" s="79" t="n"/>
      <c r="G146" s="5" t="n"/>
    </row>
    <row r="147" ht="15.75" customHeight="1" s="115">
      <c r="A147" s="5" t="n"/>
      <c r="B147" s="5" t="n"/>
      <c r="C147" s="5" t="n"/>
      <c r="D147" s="5" t="n"/>
      <c r="E147" s="5" t="n"/>
      <c r="F147" s="79" t="n"/>
      <c r="G147" s="5" t="n"/>
    </row>
    <row r="148" ht="15.75" customHeight="1" s="115">
      <c r="A148" s="5" t="n"/>
      <c r="B148" s="5" t="n"/>
      <c r="C148" s="5" t="n"/>
      <c r="D148" s="5" t="n"/>
      <c r="E148" s="5" t="n"/>
      <c r="F148" s="79" t="n"/>
      <c r="G148" s="5" t="n"/>
    </row>
    <row r="149" ht="15.75" customHeight="1" s="115">
      <c r="A149" s="5" t="n"/>
      <c r="B149" s="5" t="n"/>
      <c r="C149" s="5" t="n"/>
      <c r="D149" s="5" t="n"/>
      <c r="E149" s="5" t="n"/>
      <c r="F149" s="79" t="n"/>
      <c r="G149" s="5" t="n"/>
    </row>
    <row r="150" ht="15.75" customHeight="1" s="115">
      <c r="A150" s="5" t="n"/>
      <c r="B150" s="5" t="n"/>
      <c r="C150" s="5" t="n"/>
      <c r="D150" s="5" t="n"/>
      <c r="E150" s="5" t="n"/>
      <c r="F150" s="79" t="n"/>
      <c r="G150" s="5" t="n"/>
    </row>
    <row r="151" ht="15.75" customHeight="1" s="115">
      <c r="A151" s="5" t="n"/>
      <c r="B151" s="5" t="n"/>
      <c r="C151" s="5" t="n"/>
      <c r="D151" s="5" t="n"/>
      <c r="E151" s="5" t="n"/>
      <c r="F151" s="79" t="n"/>
      <c r="G151" s="5" t="n"/>
    </row>
    <row r="152" ht="15.75" customHeight="1" s="115">
      <c r="A152" s="5" t="n"/>
      <c r="B152" s="5" t="n"/>
      <c r="C152" s="5" t="n"/>
      <c r="D152" s="5" t="n"/>
      <c r="E152" s="5" t="n"/>
      <c r="F152" s="79" t="n"/>
      <c r="G152" s="5" t="n"/>
    </row>
    <row r="153" ht="15.75" customHeight="1" s="115">
      <c r="A153" s="5" t="n"/>
      <c r="B153" s="5" t="n"/>
      <c r="C153" s="5" t="n"/>
      <c r="D153" s="5" t="n"/>
      <c r="E153" s="5" t="n"/>
      <c r="F153" s="79" t="n"/>
      <c r="G153" s="5" t="n"/>
    </row>
    <row r="154" ht="15.75" customHeight="1" s="115">
      <c r="A154" s="5" t="n"/>
      <c r="B154" s="5" t="n"/>
      <c r="C154" s="5" t="n"/>
      <c r="D154" s="5" t="n"/>
      <c r="E154" s="5" t="n"/>
      <c r="F154" s="79" t="n"/>
      <c r="G154" s="5" t="n"/>
    </row>
    <row r="155" ht="15.75" customHeight="1" s="115">
      <c r="A155" s="5" t="n"/>
      <c r="B155" s="5" t="n"/>
      <c r="C155" s="5" t="n"/>
      <c r="D155" s="5" t="n"/>
      <c r="E155" s="5" t="n"/>
      <c r="F155" s="79" t="n"/>
      <c r="G155" s="5" t="n"/>
    </row>
    <row r="156" ht="15.75" customHeight="1" s="115">
      <c r="A156" s="5" t="n"/>
      <c r="B156" s="5" t="n"/>
      <c r="C156" s="5" t="n"/>
      <c r="D156" s="5" t="n"/>
      <c r="E156" s="5" t="n"/>
      <c r="F156" s="79" t="n"/>
      <c r="G156" s="5" t="n"/>
    </row>
    <row r="157" ht="15.75" customHeight="1" s="115">
      <c r="A157" s="5" t="n"/>
      <c r="B157" s="5" t="n"/>
      <c r="C157" s="5" t="n"/>
      <c r="D157" s="5" t="n"/>
      <c r="E157" s="5" t="n"/>
      <c r="F157" s="79" t="n"/>
      <c r="G157" s="5" t="n"/>
    </row>
    <row r="158" ht="15.75" customHeight="1" s="115">
      <c r="A158" s="5" t="n"/>
      <c r="B158" s="5" t="n"/>
      <c r="C158" s="5" t="n"/>
      <c r="D158" s="5" t="n"/>
      <c r="E158" s="5" t="n"/>
      <c r="F158" s="79" t="n"/>
      <c r="G158" s="5" t="n"/>
    </row>
    <row r="159" ht="15.75" customHeight="1" s="115">
      <c r="A159" s="5" t="n"/>
      <c r="B159" s="5" t="n"/>
      <c r="C159" s="5" t="n"/>
      <c r="D159" s="5" t="n"/>
      <c r="E159" s="5" t="n"/>
      <c r="F159" s="79" t="n"/>
      <c r="G159" s="5" t="n"/>
    </row>
    <row r="160" ht="15.75" customHeight="1" s="115">
      <c r="A160" s="5" t="n"/>
      <c r="B160" s="5" t="n"/>
      <c r="C160" s="5" t="n"/>
      <c r="D160" s="5" t="n"/>
      <c r="E160" s="5" t="n"/>
      <c r="F160" s="79" t="n"/>
      <c r="G160" s="5" t="n"/>
    </row>
    <row r="161" ht="15.75" customHeight="1" s="115">
      <c r="A161" s="5" t="n"/>
      <c r="B161" s="5" t="n"/>
      <c r="C161" s="5" t="n"/>
      <c r="D161" s="5" t="n"/>
      <c r="E161" s="5" t="n"/>
      <c r="F161" s="79" t="n"/>
      <c r="G161" s="5" t="n"/>
    </row>
    <row r="162" ht="15.75" customHeight="1" s="115">
      <c r="A162" s="5" t="n"/>
      <c r="B162" s="5" t="n"/>
      <c r="C162" s="5" t="n"/>
      <c r="D162" s="5" t="n"/>
      <c r="E162" s="5" t="n"/>
      <c r="F162" s="79" t="n"/>
      <c r="G162" s="5" t="n"/>
    </row>
    <row r="163" ht="15.75" customHeight="1" s="115">
      <c r="A163" s="5" t="n"/>
      <c r="B163" s="5" t="n"/>
      <c r="C163" s="5" t="n"/>
      <c r="D163" s="5" t="n"/>
      <c r="E163" s="5" t="n"/>
      <c r="F163" s="79" t="n"/>
      <c r="G163" s="5" t="n"/>
    </row>
    <row r="164" ht="15.75" customHeight="1" s="115">
      <c r="A164" s="5" t="n"/>
      <c r="B164" s="5" t="n"/>
      <c r="C164" s="5" t="n"/>
      <c r="D164" s="5" t="n"/>
      <c r="E164" s="5" t="n"/>
      <c r="F164" s="79" t="n"/>
      <c r="G164" s="5" t="n"/>
    </row>
    <row r="165" ht="15.75" customHeight="1" s="115">
      <c r="A165" s="5" t="n"/>
      <c r="B165" s="5" t="n"/>
      <c r="C165" s="5" t="n"/>
      <c r="D165" s="5" t="n"/>
      <c r="E165" s="5" t="n"/>
      <c r="F165" s="79" t="n"/>
      <c r="G165" s="5" t="n"/>
    </row>
    <row r="166" ht="15.75" customHeight="1" s="115">
      <c r="A166" s="5" t="n"/>
      <c r="B166" s="5" t="n"/>
      <c r="C166" s="5" t="n"/>
      <c r="D166" s="5" t="n"/>
      <c r="E166" s="5" t="n"/>
      <c r="F166" s="79" t="n"/>
      <c r="G166" s="5" t="n"/>
    </row>
    <row r="167" ht="15.75" customHeight="1" s="115">
      <c r="A167" s="5" t="n"/>
      <c r="B167" s="5" t="n"/>
      <c r="C167" s="5" t="n"/>
      <c r="D167" s="5" t="n"/>
      <c r="E167" s="5" t="n"/>
      <c r="F167" s="79" t="n"/>
      <c r="G167" s="5" t="n"/>
    </row>
    <row r="168" ht="15.75" customHeight="1" s="115">
      <c r="A168" s="5" t="n"/>
      <c r="B168" s="5" t="n"/>
      <c r="C168" s="5" t="n"/>
      <c r="D168" s="5" t="n"/>
      <c r="E168" s="5" t="n"/>
      <c r="F168" s="79" t="n"/>
      <c r="G168" s="5" t="n"/>
    </row>
    <row r="169" ht="15.75" customHeight="1" s="115">
      <c r="A169" s="5" t="n"/>
      <c r="B169" s="5" t="n"/>
      <c r="C169" s="5" t="n"/>
      <c r="D169" s="5" t="n"/>
      <c r="E169" s="5" t="n"/>
      <c r="F169" s="79" t="n"/>
      <c r="G169" s="5" t="n"/>
    </row>
    <row r="170" ht="15.75" customHeight="1" s="115">
      <c r="A170" s="5" t="n"/>
      <c r="B170" s="5" t="n"/>
      <c r="C170" s="5" t="n"/>
      <c r="D170" s="5" t="n"/>
      <c r="E170" s="5" t="n"/>
      <c r="F170" s="79" t="n"/>
      <c r="G170" s="5" t="n"/>
    </row>
    <row r="171" ht="15.75" customHeight="1" s="115">
      <c r="A171" s="5" t="n"/>
      <c r="B171" s="5" t="n"/>
      <c r="C171" s="5" t="n"/>
      <c r="D171" s="5" t="n"/>
      <c r="E171" s="5" t="n"/>
      <c r="F171" s="79" t="n"/>
      <c r="G171" s="5" t="n"/>
    </row>
    <row r="172" ht="15.75" customHeight="1" s="115">
      <c r="A172" s="5" t="n"/>
      <c r="B172" s="5" t="n"/>
      <c r="C172" s="5" t="n"/>
      <c r="D172" s="5" t="n"/>
      <c r="E172" s="5" t="n"/>
      <c r="F172" s="79" t="n"/>
      <c r="G172" s="5" t="n"/>
    </row>
    <row r="173" ht="15.75" customHeight="1" s="115">
      <c r="A173" s="5" t="n"/>
      <c r="B173" s="5" t="n"/>
      <c r="C173" s="5" t="n"/>
      <c r="D173" s="5" t="n"/>
      <c r="E173" s="5" t="n"/>
      <c r="F173" s="79" t="n"/>
      <c r="G173" s="5" t="n"/>
    </row>
    <row r="174" ht="15.75" customHeight="1" s="115">
      <c r="A174" s="5" t="n"/>
      <c r="B174" s="5" t="n"/>
      <c r="C174" s="5" t="n"/>
      <c r="D174" s="5" t="n"/>
      <c r="E174" s="5" t="n"/>
      <c r="F174" s="79" t="n"/>
      <c r="G174" s="5" t="n"/>
    </row>
    <row r="175" ht="15.75" customHeight="1" s="115">
      <c r="A175" s="5" t="n"/>
      <c r="B175" s="5" t="n"/>
      <c r="C175" s="5" t="n"/>
      <c r="D175" s="5" t="n"/>
      <c r="E175" s="5" t="n"/>
      <c r="F175" s="79" t="n"/>
      <c r="G175" s="5" t="n"/>
    </row>
    <row r="176" ht="15.75" customHeight="1" s="115">
      <c r="A176" s="5" t="n"/>
      <c r="B176" s="5" t="n"/>
      <c r="C176" s="5" t="n"/>
      <c r="D176" s="5" t="n"/>
      <c r="E176" s="5" t="n"/>
      <c r="F176" s="79" t="n"/>
      <c r="G176" s="5" t="n"/>
    </row>
    <row r="177" ht="15.75" customHeight="1" s="115">
      <c r="A177" s="5" t="n"/>
      <c r="B177" s="5" t="n"/>
      <c r="C177" s="5" t="n"/>
      <c r="D177" s="5" t="n"/>
      <c r="E177" s="5" t="n"/>
      <c r="F177" s="79" t="n"/>
      <c r="G177" s="5" t="n"/>
    </row>
    <row r="178" ht="15.75" customHeight="1" s="115">
      <c r="A178" s="5" t="n"/>
      <c r="B178" s="5" t="n"/>
      <c r="C178" s="5" t="n"/>
      <c r="D178" s="5" t="n"/>
      <c r="E178" s="5" t="n"/>
      <c r="F178" s="79" t="n"/>
      <c r="G178" s="5" t="n"/>
    </row>
    <row r="179" ht="15.75" customHeight="1" s="115">
      <c r="A179" s="5" t="n"/>
      <c r="B179" s="5" t="n"/>
      <c r="C179" s="5" t="n"/>
      <c r="D179" s="5" t="n"/>
      <c r="E179" s="5" t="n"/>
      <c r="F179" s="79" t="n"/>
      <c r="G179" s="5" t="n"/>
    </row>
    <row r="180" ht="15.75" customHeight="1" s="115">
      <c r="A180" s="5" t="n"/>
      <c r="B180" s="5" t="n"/>
      <c r="C180" s="5" t="n"/>
      <c r="D180" s="5" t="n"/>
      <c r="E180" s="5" t="n"/>
      <c r="F180" s="79" t="n"/>
      <c r="G180" s="5" t="n"/>
    </row>
    <row r="181" ht="15.75" customHeight="1" s="115">
      <c r="A181" s="5" t="n"/>
      <c r="B181" s="5" t="n"/>
      <c r="C181" s="5" t="n"/>
      <c r="D181" s="5" t="n"/>
      <c r="E181" s="5" t="n"/>
      <c r="F181" s="79" t="n"/>
      <c r="G181" s="5" t="n"/>
    </row>
    <row r="182" ht="15.75" customHeight="1" s="115">
      <c r="A182" s="5" t="n"/>
      <c r="B182" s="5" t="n"/>
      <c r="C182" s="5" t="n"/>
      <c r="D182" s="5" t="n"/>
      <c r="E182" s="5" t="n"/>
      <c r="F182" s="79" t="n"/>
      <c r="G182" s="5" t="n"/>
    </row>
    <row r="183" ht="15.75" customHeight="1" s="115">
      <c r="A183" s="5" t="n"/>
      <c r="B183" s="5" t="n"/>
      <c r="C183" s="5" t="n"/>
      <c r="D183" s="5" t="n"/>
      <c r="E183" s="5" t="n"/>
      <c r="F183" s="79" t="n"/>
      <c r="G183" s="5" t="n"/>
    </row>
    <row r="184" ht="15.75" customHeight="1" s="115">
      <c r="A184" s="5" t="n"/>
      <c r="B184" s="5" t="n"/>
      <c r="C184" s="5" t="n"/>
      <c r="D184" s="5" t="n"/>
      <c r="E184" s="5" t="n"/>
      <c r="F184" s="79" t="n"/>
      <c r="G184" s="5" t="n"/>
    </row>
    <row r="185" ht="15.75" customHeight="1" s="115">
      <c r="A185" s="5" t="n"/>
      <c r="B185" s="5" t="n"/>
      <c r="C185" s="5" t="n"/>
      <c r="D185" s="5" t="n"/>
      <c r="E185" s="5" t="n"/>
      <c r="F185" s="79" t="n"/>
      <c r="G185" s="5" t="n"/>
    </row>
    <row r="186" ht="15.75" customHeight="1" s="115">
      <c r="A186" s="5" t="n"/>
      <c r="B186" s="5" t="n"/>
      <c r="C186" s="5" t="n"/>
      <c r="D186" s="5" t="n"/>
      <c r="E186" s="5" t="n"/>
      <c r="F186" s="79" t="n"/>
      <c r="G186" s="5" t="n"/>
    </row>
    <row r="187" ht="15.75" customHeight="1" s="115">
      <c r="A187" s="5" t="n"/>
      <c r="B187" s="5" t="n"/>
      <c r="C187" s="5" t="n"/>
      <c r="D187" s="5" t="n"/>
      <c r="E187" s="5" t="n"/>
      <c r="F187" s="79" t="n"/>
      <c r="G187" s="5" t="n"/>
    </row>
    <row r="188" ht="15.75" customHeight="1" s="115">
      <c r="A188" s="5" t="n"/>
      <c r="B188" s="5" t="n"/>
      <c r="C188" s="5" t="n"/>
      <c r="D188" s="5" t="n"/>
      <c r="E188" s="5" t="n"/>
      <c r="F188" s="79" t="n"/>
      <c r="G188" s="5" t="n"/>
    </row>
    <row r="189" ht="15.75" customHeight="1" s="115">
      <c r="A189" s="5" t="n"/>
      <c r="B189" s="5" t="n"/>
      <c r="C189" s="5" t="n"/>
      <c r="D189" s="5" t="n"/>
      <c r="E189" s="5" t="n"/>
      <c r="F189" s="79" t="n"/>
      <c r="G189" s="5" t="n"/>
    </row>
    <row r="190" ht="15.75" customHeight="1" s="115">
      <c r="A190" s="5" t="n"/>
      <c r="B190" s="5" t="n"/>
      <c r="C190" s="5" t="n"/>
      <c r="D190" s="5" t="n"/>
      <c r="E190" s="5" t="n"/>
      <c r="F190" s="79" t="n"/>
      <c r="G190" s="5" t="n"/>
    </row>
    <row r="191" ht="15.75" customHeight="1" s="115">
      <c r="A191" s="5" t="n"/>
      <c r="B191" s="5" t="n"/>
      <c r="C191" s="5" t="n"/>
      <c r="D191" s="5" t="n"/>
      <c r="E191" s="5" t="n"/>
      <c r="F191" s="79" t="n"/>
      <c r="G191" s="5" t="n"/>
    </row>
    <row r="192" ht="15.75" customHeight="1" s="115">
      <c r="A192" s="5" t="n"/>
      <c r="B192" s="5" t="n"/>
      <c r="C192" s="5" t="n"/>
      <c r="D192" s="5" t="n"/>
      <c r="E192" s="5" t="n"/>
      <c r="F192" s="79" t="n"/>
      <c r="G192" s="5" t="n"/>
    </row>
    <row r="193" ht="15.75" customHeight="1" s="115">
      <c r="A193" s="5" t="n"/>
      <c r="B193" s="5" t="n"/>
      <c r="C193" s="5" t="n"/>
      <c r="D193" s="5" t="n"/>
      <c r="E193" s="5" t="n"/>
      <c r="F193" s="79" t="n"/>
      <c r="G193" s="5" t="n"/>
    </row>
    <row r="194" ht="15.75" customHeight="1" s="115">
      <c r="A194" s="5" t="n"/>
      <c r="B194" s="5" t="n"/>
      <c r="C194" s="5" t="n"/>
      <c r="D194" s="5" t="n"/>
      <c r="E194" s="5" t="n"/>
      <c r="F194" s="79" t="n"/>
      <c r="G194" s="5" t="n"/>
    </row>
    <row r="195" ht="15.75" customHeight="1" s="115">
      <c r="A195" s="5" t="n"/>
      <c r="B195" s="5" t="n"/>
      <c r="C195" s="5" t="n"/>
      <c r="D195" s="5" t="n"/>
      <c r="E195" s="5" t="n"/>
      <c r="F195" s="79" t="n"/>
      <c r="G195" s="5" t="n"/>
    </row>
    <row r="196" ht="15.75" customHeight="1" s="115">
      <c r="A196" s="5" t="n"/>
      <c r="B196" s="5" t="n"/>
      <c r="C196" s="5" t="n"/>
      <c r="D196" s="5" t="n"/>
      <c r="E196" s="5" t="n"/>
      <c r="F196" s="79" t="n"/>
      <c r="G196" s="5" t="n"/>
    </row>
    <row r="197" ht="15.75" customHeight="1" s="115">
      <c r="A197" s="5" t="n"/>
      <c r="B197" s="5" t="n"/>
      <c r="C197" s="5" t="n"/>
      <c r="D197" s="5" t="n"/>
      <c r="E197" s="5" t="n"/>
      <c r="F197" s="79" t="n"/>
      <c r="G197" s="5" t="n"/>
    </row>
    <row r="198" ht="15.75" customHeight="1" s="115">
      <c r="A198" s="5" t="n"/>
      <c r="B198" s="5" t="n"/>
      <c r="C198" s="5" t="n"/>
      <c r="D198" s="5" t="n"/>
      <c r="E198" s="5" t="n"/>
      <c r="F198" s="79" t="n"/>
      <c r="G198" s="5" t="n"/>
    </row>
    <row r="199" ht="15.75" customHeight="1" s="115">
      <c r="A199" s="5" t="n"/>
      <c r="B199" s="5" t="n"/>
      <c r="C199" s="5" t="n"/>
      <c r="D199" s="5" t="n"/>
      <c r="E199" s="5" t="n"/>
      <c r="F199" s="79" t="n"/>
      <c r="G199" s="5" t="n"/>
    </row>
    <row r="200" ht="15.75" customHeight="1" s="115">
      <c r="A200" s="5" t="n"/>
      <c r="B200" s="5" t="n"/>
      <c r="C200" s="5" t="n"/>
      <c r="D200" s="5" t="n"/>
      <c r="E200" s="5" t="n"/>
      <c r="F200" s="79" t="n"/>
      <c r="G200" s="5" t="n"/>
    </row>
    <row r="201" ht="15.75" customHeight="1" s="115">
      <c r="A201" s="5" t="n"/>
      <c r="B201" s="5" t="n"/>
      <c r="C201" s="5" t="n"/>
      <c r="D201" s="5" t="n"/>
      <c r="E201" s="5" t="n"/>
      <c r="F201" s="79" t="n"/>
      <c r="G201" s="5" t="n"/>
    </row>
    <row r="202" ht="15.75" customHeight="1" s="115">
      <c r="A202" s="5" t="n"/>
      <c r="B202" s="5" t="n"/>
      <c r="C202" s="5" t="n"/>
      <c r="D202" s="5" t="n"/>
      <c r="E202" s="5" t="n"/>
      <c r="F202" s="79" t="n"/>
      <c r="G202" s="5" t="n"/>
    </row>
    <row r="203" ht="15.75" customHeight="1" s="115">
      <c r="A203" s="5" t="n"/>
      <c r="B203" s="5" t="n"/>
      <c r="C203" s="5" t="n"/>
      <c r="D203" s="5" t="n"/>
      <c r="E203" s="5" t="n"/>
      <c r="F203" s="79" t="n"/>
      <c r="G203" s="5" t="n"/>
    </row>
    <row r="204" ht="15.75" customHeight="1" s="115">
      <c r="A204" s="5" t="n"/>
      <c r="B204" s="5" t="n"/>
      <c r="C204" s="5" t="n"/>
      <c r="D204" s="5" t="n"/>
      <c r="E204" s="5" t="n"/>
      <c r="F204" s="79" t="n"/>
      <c r="G204" s="5" t="n"/>
    </row>
    <row r="205" ht="15.75" customHeight="1" s="115">
      <c r="A205" s="5" t="n"/>
      <c r="B205" s="5" t="n"/>
      <c r="C205" s="5" t="n"/>
      <c r="D205" s="5" t="n"/>
      <c r="E205" s="5" t="n"/>
      <c r="F205" s="79" t="n"/>
      <c r="G205" s="5" t="n"/>
    </row>
    <row r="206" ht="15.75" customHeight="1" s="115">
      <c r="A206" s="5" t="n"/>
      <c r="B206" s="5" t="n"/>
      <c r="C206" s="5" t="n"/>
      <c r="D206" s="5" t="n"/>
      <c r="E206" s="5" t="n"/>
      <c r="F206" s="79" t="n"/>
      <c r="G206" s="5" t="n"/>
    </row>
    <row r="207" ht="15.75" customHeight="1" s="115">
      <c r="A207" s="5" t="n"/>
      <c r="B207" s="5" t="n"/>
      <c r="C207" s="5" t="n"/>
      <c r="D207" s="5" t="n"/>
      <c r="E207" s="5" t="n"/>
      <c r="F207" s="79" t="n"/>
      <c r="G207" s="5" t="n"/>
    </row>
    <row r="208" ht="15.75" customHeight="1" s="115">
      <c r="A208" s="5" t="n"/>
      <c r="B208" s="5" t="n"/>
      <c r="C208" s="5" t="n"/>
      <c r="D208" s="5" t="n"/>
      <c r="E208" s="5" t="n"/>
      <c r="F208" s="79" t="n"/>
      <c r="G208" s="5" t="n"/>
    </row>
    <row r="209" ht="15.75" customHeight="1" s="115">
      <c r="A209" s="5" t="n"/>
      <c r="B209" s="5" t="n"/>
      <c r="C209" s="5" t="n"/>
      <c r="D209" s="5" t="n"/>
      <c r="E209" s="5" t="n"/>
      <c r="F209" s="79" t="n"/>
      <c r="G209" s="5" t="n"/>
    </row>
    <row r="210" ht="15.75" customHeight="1" s="115">
      <c r="A210" s="5" t="n"/>
      <c r="B210" s="5" t="n"/>
      <c r="C210" s="5" t="n"/>
      <c r="D210" s="5" t="n"/>
      <c r="E210" s="5" t="n"/>
      <c r="F210" s="79" t="n"/>
      <c r="G210" s="5" t="n"/>
    </row>
    <row r="211" ht="15.75" customHeight="1" s="115">
      <c r="A211" s="5" t="n"/>
      <c r="B211" s="5" t="n"/>
      <c r="C211" s="5" t="n"/>
      <c r="D211" s="5" t="n"/>
      <c r="E211" s="5" t="n"/>
      <c r="F211" s="79" t="n"/>
      <c r="G211" s="5" t="n"/>
    </row>
    <row r="212" ht="15.75" customHeight="1" s="115">
      <c r="A212" s="5" t="n"/>
      <c r="B212" s="5" t="n"/>
      <c r="C212" s="5" t="n"/>
      <c r="D212" s="5" t="n"/>
      <c r="E212" s="5" t="n"/>
      <c r="F212" s="79" t="n"/>
      <c r="G212" s="5" t="n"/>
    </row>
    <row r="213" ht="15.75" customHeight="1" s="115">
      <c r="A213" s="5" t="n"/>
      <c r="B213" s="5" t="n"/>
      <c r="C213" s="5" t="n"/>
      <c r="D213" s="5" t="n"/>
      <c r="E213" s="5" t="n"/>
      <c r="F213" s="79" t="n"/>
      <c r="G213" s="5" t="n"/>
    </row>
    <row r="214" ht="15.75" customHeight="1" s="115">
      <c r="A214" s="5" t="n"/>
      <c r="B214" s="5" t="n"/>
      <c r="C214" s="5" t="n"/>
      <c r="D214" s="5" t="n"/>
      <c r="E214" s="5" t="n"/>
      <c r="F214" s="79" t="n"/>
      <c r="G214" s="5" t="n"/>
    </row>
    <row r="215" ht="15.75" customHeight="1" s="115">
      <c r="A215" s="5" t="n"/>
      <c r="B215" s="5" t="n"/>
      <c r="C215" s="5" t="n"/>
      <c r="D215" s="5" t="n"/>
      <c r="E215" s="5" t="n"/>
      <c r="F215" s="79" t="n"/>
      <c r="G215" s="5" t="n"/>
    </row>
    <row r="216" ht="15.75" customHeight="1" s="115">
      <c r="A216" s="5" t="n"/>
      <c r="B216" s="5" t="n"/>
      <c r="C216" s="5" t="n"/>
      <c r="D216" s="5" t="n"/>
      <c r="E216" s="5" t="n"/>
      <c r="F216" s="79" t="n"/>
      <c r="G216" s="5" t="n"/>
    </row>
    <row r="217" ht="15.75" customHeight="1" s="115">
      <c r="A217" s="5" t="n"/>
      <c r="B217" s="5" t="n"/>
      <c r="C217" s="5" t="n"/>
      <c r="D217" s="5" t="n"/>
      <c r="E217" s="5" t="n"/>
      <c r="F217" s="79" t="n"/>
      <c r="G217" s="5" t="n"/>
    </row>
    <row r="218" ht="15.75" customHeight="1" s="115">
      <c r="A218" s="5" t="n"/>
      <c r="B218" s="5" t="n"/>
      <c r="C218" s="5" t="n"/>
      <c r="D218" s="5" t="n"/>
      <c r="E218" s="5" t="n"/>
      <c r="F218" s="79" t="n"/>
      <c r="G218" s="5" t="n"/>
    </row>
    <row r="219" ht="15.75" customHeight="1" s="115">
      <c r="A219" s="5" t="n"/>
      <c r="B219" s="5" t="n"/>
      <c r="C219" s="5" t="n"/>
      <c r="D219" s="5" t="n"/>
      <c r="E219" s="5" t="n"/>
      <c r="F219" s="79" t="n"/>
      <c r="G219" s="5" t="n"/>
    </row>
    <row r="220" ht="15.75" customHeight="1" s="115">
      <c r="A220" s="5" t="n"/>
      <c r="B220" s="5" t="n"/>
      <c r="C220" s="5" t="n"/>
      <c r="D220" s="5" t="n"/>
      <c r="E220" s="5" t="n"/>
      <c r="F220" s="79" t="n"/>
      <c r="G220" s="5" t="n"/>
    </row>
    <row r="221" ht="15.75" customHeight="1" s="115">
      <c r="A221" s="5" t="n"/>
      <c r="B221" s="5" t="n"/>
      <c r="C221" s="5" t="n"/>
      <c r="D221" s="5" t="n"/>
      <c r="E221" s="5" t="n"/>
      <c r="F221" s="79" t="n"/>
      <c r="G221" s="5" t="n"/>
    </row>
    <row r="222" ht="15.75" customHeight="1" s="115">
      <c r="A222" s="5" t="n"/>
      <c r="B222" s="5" t="n"/>
      <c r="C222" s="5" t="n"/>
      <c r="D222" s="5" t="n"/>
      <c r="E222" s="5" t="n"/>
      <c r="F222" s="79" t="n"/>
      <c r="G222" s="5" t="n"/>
    </row>
    <row r="223" ht="15.75" customHeight="1" s="115">
      <c r="A223" s="5" t="n"/>
      <c r="B223" s="5" t="n"/>
      <c r="C223" s="5" t="n"/>
      <c r="D223" s="5" t="n"/>
      <c r="E223" s="5" t="n"/>
      <c r="F223" s="79" t="n"/>
      <c r="G223" s="5" t="n"/>
    </row>
    <row r="224" ht="15.75" customHeight="1" s="115">
      <c r="A224" s="5" t="n"/>
      <c r="B224" s="5" t="n"/>
      <c r="C224" s="5" t="n"/>
      <c r="D224" s="5" t="n"/>
      <c r="E224" s="5" t="n"/>
      <c r="F224" s="79" t="n"/>
      <c r="G224" s="5" t="n"/>
    </row>
    <row r="225" ht="15.75" customHeight="1" s="115">
      <c r="A225" s="5" t="n"/>
      <c r="B225" s="5" t="n"/>
      <c r="C225" s="5" t="n"/>
      <c r="D225" s="5" t="n"/>
      <c r="E225" s="5" t="n"/>
      <c r="F225" s="79"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 t="inlineStr">
        <is>
          <t>NUR234  ·  Review videos (SimpleNursing, LevelUpRN)</t>
        </is>
      </c>
    </row>
    <row r="2">
      <c r="A2" s="7" t="inlineStr">
        <is>
          <t>NUR234</t>
        </is>
      </c>
      <c r="B2" s="10" t="inlineStr">
        <is>
          <t>NUR235</t>
        </is>
      </c>
      <c r="C2" s="10" t="inlineStr">
        <is>
          <t>NUR258</t>
        </is>
      </c>
      <c r="D2" s="12" t="inlineStr">
        <is>
          <t>🏠 START HERE</t>
        </is>
      </c>
      <c r="E2" s="15" t="inlineStr">
        <is>
          <t>📥 Sort me</t>
        </is>
      </c>
      <c r="F2" s="17" t="n"/>
      <c r="G2" s="17" t="n"/>
    </row>
    <row r="3">
      <c r="A3" s="18" t="inlineStr">
        <is>
          <t>Kaiser</t>
        </is>
      </c>
      <c r="B3" s="18" t="inlineStr">
        <is>
          <t>Buhler</t>
        </is>
      </c>
      <c r="C3" s="18" t="inlineStr">
        <is>
          <t>Glesner</t>
        </is>
      </c>
      <c r="D3" s="18" t="inlineStr">
        <is>
          <t>Exams</t>
        </is>
      </c>
      <c r="E3" s="18">
        <f>HYPERLINK('START HERE'!$B$36,"Zoom")</f>
        <v/>
      </c>
      <c r="F3" s="20" t="inlineStr">
        <is>
          <t>Review videos</t>
        </is>
      </c>
      <c r="G3" s="17" t="n"/>
    </row>
    <row r="4">
      <c r="A4" s="17" t="n"/>
      <c r="B4" s="17" t="n"/>
      <c r="C4" s="17" t="n"/>
      <c r="D4" s="17" t="n"/>
      <c r="E4" s="17" t="n"/>
      <c r="F4" s="17" t="n"/>
      <c r="G4" s="17" t="n"/>
    </row>
    <row r="5">
      <c r="A5" s="33" t="inlineStr">
        <is>
          <t>Module</t>
        </is>
      </c>
      <c r="B5" s="33" t="inlineStr">
        <is>
          <t>Day</t>
        </is>
      </c>
      <c r="C5" s="33" t="inlineStr">
        <is>
          <t>Date</t>
        </is>
      </c>
      <c r="D5" s="33" t="inlineStr">
        <is>
          <t>Lecturer</t>
        </is>
      </c>
      <c r="E5" s="33" t="inlineStr">
        <is>
          <t>Recording</t>
        </is>
      </c>
      <c r="F5" s="33" t="inlineStr">
        <is>
          <t>File</t>
        </is>
      </c>
      <c r="G5" s="33" t="inlineStr">
        <is>
          <t>Notes</t>
        </is>
      </c>
    </row>
    <row r="6">
      <c r="A6" s="37" t="inlineStr">
        <is>
          <t>Module 4</t>
        </is>
      </c>
      <c r="B6" s="37" t="n"/>
      <c r="C6" s="40" t="inlineStr">
        <is>
          <t>Fall 2026</t>
        </is>
      </c>
      <c r="D6" s="40" t="inlineStr">
        <is>
          <t>SimpleNursing</t>
        </is>
      </c>
      <c r="E6" s="48">
        <f>HYPERLINK("https://drive.google.com/file/d/1pgU5LoYTYvekWGEAVDc_FM2V9a9vZt3R/view","▶  Watch")</f>
        <v/>
      </c>
      <c r="F6" s="40" t="inlineStr">
        <is>
          <t>NUR234_Fall2026_SimpleNursing_Wk04_DayNA_Prenatal.mp4</t>
        </is>
      </c>
      <c r="G6" s="40" t="inlineStr">
        <is>
          <t>Prenatal</t>
        </is>
      </c>
    </row>
    <row r="7">
      <c r="A7" s="37" t="inlineStr">
        <is>
          <t>Module 4</t>
        </is>
      </c>
      <c r="B7" s="37" t="n"/>
      <c r="C7" s="40" t="inlineStr">
        <is>
          <t>Fall 2026</t>
        </is>
      </c>
      <c r="D7" s="40" t="inlineStr">
        <is>
          <t>LevelUpRN</t>
        </is>
      </c>
      <c r="E7" s="48">
        <f>HYPERLINK("https://drive.google.com/file/d/15yBK_X6MeGMRWjqwMyAbB5HKeTWhp6HD/view","▶  Watch")</f>
        <v/>
      </c>
      <c r="F7" s="40" t="inlineStr">
        <is>
          <t>NUR234_Fall2026_LevelUpRN_Wk04_DayNA_Pregnancy assessment.mp4</t>
        </is>
      </c>
      <c r="G7" s="40" t="inlineStr">
        <is>
          <t>Pregnancy assessment (signs of pregnancy), 16 min</t>
        </is>
      </c>
    </row>
    <row r="8">
      <c r="A8" s="37" t="inlineStr">
        <is>
          <t>Module 6</t>
        </is>
      </c>
      <c r="B8" s="37" t="n"/>
      <c r="C8" s="40" t="inlineStr">
        <is>
          <t>Fall 2026</t>
        </is>
      </c>
      <c r="D8" s="40" t="inlineStr">
        <is>
          <t>Unknown (phone screen recording)</t>
        </is>
      </c>
      <c r="E8" s="48">
        <f>HYPERLINK("https://drive.google.com/file/d/1Dwm50ylx3yz3EJ0-N0SvmogUF0yAlUqQ/view","▶  Watch")</f>
        <v/>
      </c>
      <c r="F8" s="40" t="inlineStr">
        <is>
          <t>NUR234_Fall2026_Unknown_Wk06_DayNA_Labor and birth through postpartum - long review (topic from the speech index).mp4</t>
        </is>
      </c>
      <c r="G8" s="40" t="inlineStr">
        <is>
          <t>Labor and birth through postpartum - long review, 13 Oct (topic from the speech index)</t>
        </is>
      </c>
    </row>
    <row r="9">
      <c r="A9" s="37" t="inlineStr">
        <is>
          <t>Module 6</t>
        </is>
      </c>
      <c r="B9" s="37" t="n"/>
      <c r="C9" s="40" t="inlineStr">
        <is>
          <t>Fall 2026</t>
        </is>
      </c>
      <c r="D9" s="40" t="inlineStr">
        <is>
          <t>Unknown (phone screen recording)</t>
        </is>
      </c>
      <c r="E9" s="48">
        <f>HYPERLINK("https://drive.google.com/file/d/1Xp6_wp80JrWMVY9e_xGbJXNq6Z3MxWJE/view","▶  Watch")</f>
        <v/>
      </c>
      <c r="F9" s="40" t="inlineStr">
        <is>
          <t>NUR234_Fall2026_Unknown_Wk06_DayNA_Stages of labor - short clip (topic from the speech index).mp4</t>
        </is>
      </c>
      <c r="G9" s="40" t="inlineStr">
        <is>
          <t>Stages of labor - short clip (topic from the speech index)</t>
        </is>
      </c>
    </row>
    <row r="10">
      <c r="A10" s="37" t="inlineStr">
        <is>
          <t>Module 7</t>
        </is>
      </c>
      <c r="B10" s="37" t="n"/>
      <c r="C10" s="40" t="inlineStr">
        <is>
          <t>Fall 2026</t>
        </is>
      </c>
      <c r="D10" s="40" t="inlineStr">
        <is>
          <t>Unknown (phone screen recording)</t>
        </is>
      </c>
      <c r="E10" s="48">
        <f>HYPERLINK("https://drive.google.com/file/d/1IoL267vfSN-P_Qj-gcKphpQjz0xIdieX/view","▶  Watch")</f>
        <v/>
      </c>
      <c r="F10" s="40" t="inlineStr">
        <is>
          <t>NUR234_Fall2026_Unknown_Wk07_DayNA_Labor comfort and epidural analgesia (topic from the speech index).mp4</t>
        </is>
      </c>
      <c r="G10" s="40" t="inlineStr">
        <is>
          <t>Labor comfort and epidural analgesia (topic from the speech index)</t>
        </is>
      </c>
    </row>
    <row r="11">
      <c r="A11" s="37" t="inlineStr">
        <is>
          <t>Module 7</t>
        </is>
      </c>
      <c r="B11" s="37" t="n"/>
      <c r="C11" s="40" t="inlineStr">
        <is>
          <t>Fall 2026</t>
        </is>
      </c>
      <c r="D11" s="40" t="inlineStr">
        <is>
          <t>Unknown (phone screen recording)</t>
        </is>
      </c>
      <c r="E11" s="48">
        <f>HYPERLINK("https://drive.google.com/file/d/13OolTf_iJ-_ALn0BVFwxRFac838sZsTB/view","▶  Watch")</f>
        <v/>
      </c>
      <c r="F11" s="40" t="inlineStr">
        <is>
          <t>NUR234_Fall2026_Unknown_Wk07_DayNA_Labor - decelerations and epidural, into postpartum (topic from the speech index).mp4</t>
        </is>
      </c>
      <c r="G11" s="40" t="inlineStr">
        <is>
          <t>Labor - decelerations and epidural, into postpartum (topic from the speech index)</t>
        </is>
      </c>
    </row>
    <row r="12">
      <c r="A12" s="37" t="inlineStr">
        <is>
          <t>Module 10</t>
        </is>
      </c>
      <c r="B12" s="37" t="n"/>
      <c r="C12" s="40" t="inlineStr">
        <is>
          <t>Fall 2026</t>
        </is>
      </c>
      <c r="D12" s="40" t="inlineStr">
        <is>
          <t>Unknown (phone screen recording)</t>
        </is>
      </c>
      <c r="E12" s="48">
        <f>HYPERLINK("https://drive.google.com/file/d/1j6dNqG8xues184G5jE2QUj5tCIHQzknT/view","▶  Watch")</f>
        <v/>
      </c>
      <c r="F12" s="40" t="inlineStr">
        <is>
          <t>NUR234_Fall2026_Unknown_Wk10_DayNA_Labor complications - cord and hemorrhage (topic from the speech index).mp4</t>
        </is>
      </c>
      <c r="G12" s="40" t="inlineStr">
        <is>
          <t>Labor complications - cord and hemorrhage (topic from the speech index)</t>
        </is>
      </c>
    </row>
    <row r="13">
      <c r="A13" s="37" t="inlineStr">
        <is>
          <t>Module 10</t>
        </is>
      </c>
      <c r="B13" s="37" t="n"/>
      <c r="C13" s="40" t="inlineStr">
        <is>
          <t>Fall 2026</t>
        </is>
      </c>
      <c r="D13" s="40" t="inlineStr">
        <is>
          <t>Unknown (phone screen recording)</t>
        </is>
      </c>
      <c r="E13" s="48">
        <f>HYPERLINK("https://drive.google.com/file/d/1lHL8EV4Begdl4Zqngs3okBa-97ZJobZr/view","▶  Watch")</f>
        <v/>
      </c>
      <c r="F13" s="40" t="inlineStr">
        <is>
          <t>NUR234_Fall2026_Unknown_Wk10_DayNA_Preterm labor, PROM, magnesium and steroids (topic from the speech index).mp4</t>
        </is>
      </c>
      <c r="G13" s="40" t="inlineStr">
        <is>
          <t>Preterm labor, PROM, magnesium and steroids (topic from the speech index)</t>
        </is>
      </c>
    </row>
    <row r="14">
      <c r="A14" s="37" t="inlineStr">
        <is>
          <t>Module 10</t>
        </is>
      </c>
      <c r="B14" s="37" t="n"/>
      <c r="C14" s="40" t="inlineStr">
        <is>
          <t>Fall 2026</t>
        </is>
      </c>
      <c r="D14" s="40" t="inlineStr">
        <is>
          <t>Unknown (phone screen recording)</t>
        </is>
      </c>
      <c r="E14" s="48">
        <f>HYPERLINK("https://drive.google.com/file/d/15j79_TUzZoaDp-Ag766C-0crr7W7jLJ_/view","▶  Watch")</f>
        <v/>
      </c>
      <c r="F14" s="40" t="inlineStr">
        <is>
          <t>NUR234_Fall2026_Unknown_Wk10_DayNA_PROM, preterm labor and induction (topic from the speech index).mp4</t>
        </is>
      </c>
      <c r="G14" s="40" t="inlineStr">
        <is>
          <t>PROM, preterm labor and induction (topic from the speech index)</t>
        </is>
      </c>
    </row>
    <row r="15">
      <c r="A15" s="37" t="inlineStr">
        <is>
          <t>Module 11</t>
        </is>
      </c>
      <c r="B15" s="37" t="n"/>
      <c r="C15" s="40" t="inlineStr">
        <is>
          <t>Fall 2026</t>
        </is>
      </c>
      <c r="D15" s="40" t="inlineStr">
        <is>
          <t>SimpleNursing</t>
        </is>
      </c>
      <c r="E15" s="48">
        <f>HYPERLINK("https://drive.google.com/file/d/1hqFdx6DfX1FNsug1FdXKFebdLC4zZTrb/view","▶  Watch")</f>
        <v/>
      </c>
      <c r="F15" s="40" t="inlineStr">
        <is>
          <t>NUR234_Fall2026_SimpleNursing_Wk11_DayNA_Postpartum.mp4</t>
        </is>
      </c>
      <c r="G15" s="40" t="inlineStr">
        <is>
          <t>Postpartum</t>
        </is>
      </c>
    </row>
    <row r="16">
      <c r="A16" s="37" t="inlineStr">
        <is>
          <t>Module 11</t>
        </is>
      </c>
      <c r="B16" s="37" t="n"/>
      <c r="C16" s="40" t="inlineStr">
        <is>
          <t>Fall 2026</t>
        </is>
      </c>
      <c r="D16" s="40" t="inlineStr">
        <is>
          <t>SimpleNursing</t>
        </is>
      </c>
      <c r="E16" s="48">
        <f>HYPERLINK("https://drive.google.com/file/d/1lCViTFE-CQHkPl_uGvYD8wetuimhHK_H/view","▶  Watch")</f>
        <v/>
      </c>
      <c r="F16" s="40" t="inlineStr">
        <is>
          <t>NUR234_Fall2026_SimpleNursing_Wk11_DayNA_Postpartum hemorrhage - may be a second recording of the SN Postpartum video (topic from the speech index).mp4</t>
        </is>
      </c>
      <c r="G16" s="40" t="inlineStr">
        <is>
          <t>Postpartum hemorrhage - may repeat the Postpartum video (topic from the speech index)</t>
        </is>
      </c>
    </row>
    <row r="17">
      <c r="A17" s="37" t="inlineStr">
        <is>
          <t>Module 11</t>
        </is>
      </c>
      <c r="B17" s="37" t="n"/>
      <c r="C17" s="40" t="inlineStr">
        <is>
          <t>Fall 2026</t>
        </is>
      </c>
      <c r="D17" s="40" t="inlineStr">
        <is>
          <t>Unknown (phone screen recording)</t>
        </is>
      </c>
      <c r="E17" s="48">
        <f>HYPERLINK("https://drive.google.com/file/d/1cLgtL-Hul0dvxCPtgG9ZpQVjaBNqoIP9/view","▶  Watch")</f>
        <v/>
      </c>
      <c r="F17" s="40" t="inlineStr">
        <is>
          <t>NUR234_Fall2026_Unknown_Wk11_DayNA_Labor through postpartum and newborn - long review (topic from the speech index).mp4</t>
        </is>
      </c>
      <c r="G17" s="40" t="inlineStr">
        <is>
          <t>Labor through postpartum and newborn - long review, 13 Oct (topic from the speech index)</t>
        </is>
      </c>
    </row>
    <row r="18">
      <c r="A18" s="37" t="inlineStr">
        <is>
          <t>Module 12</t>
        </is>
      </c>
      <c r="B18" s="37" t="n"/>
      <c r="C18" s="40" t="inlineStr">
        <is>
          <t>Fall 2026</t>
        </is>
      </c>
      <c r="D18" s="40" t="inlineStr">
        <is>
          <t>SimpleNursing</t>
        </is>
      </c>
      <c r="E18" s="48">
        <f>HYPERLINK("https://drive.google.com/file/d/1l5inYotFOxhEOwvsRSncGTmku7GByYKv/view","▶  Watch")</f>
        <v/>
      </c>
      <c r="F18" s="40" t="inlineStr">
        <is>
          <t>NUR234_Fall2026_SimpleNursing_Wk12_DayNA_Newborn assessment and breastfeeding (topic from the speech index).mp4</t>
        </is>
      </c>
      <c r="G18" s="40" t="inlineStr">
        <is>
          <t>Newborn assessment and breastfeeding (topic from the speech index)</t>
        </is>
      </c>
    </row>
    <row r="19">
      <c r="A19" s="37" t="inlineStr">
        <is>
          <t>Module 12</t>
        </is>
      </c>
      <c r="B19" s="37" t="n"/>
      <c r="C19" s="40" t="inlineStr">
        <is>
          <t>Fall 2026</t>
        </is>
      </c>
      <c r="D19" s="40" t="inlineStr">
        <is>
          <t>Unknown (phone screen recording)</t>
        </is>
      </c>
      <c r="E19" s="48">
        <f>HYPERLINK("https://drive.google.com/file/d/1Y_1xWzwdinS7RCrfBEEs47yUyj7_AZfF/view","▶  Watch")</f>
        <v/>
      </c>
      <c r="F19" s="40" t="inlineStr">
        <is>
          <t>NUR234_Fall2026_Unknown_Wk12_DayNA_Newborn care - circumcision (topic from the speech index).mp4</t>
        </is>
      </c>
      <c r="G19" s="40" t="inlineStr">
        <is>
          <t>Newborn care - circumcision (topic from the speech index)</t>
        </is>
      </c>
    </row>
    <row r="20">
      <c r="A20" s="37" t="inlineStr">
        <is>
          <t>Module 12</t>
        </is>
      </c>
      <c r="B20" s="37" t="n"/>
      <c r="C20" s="40" t="inlineStr">
        <is>
          <t>Fall 2026</t>
        </is>
      </c>
      <c r="D20" s="40" t="inlineStr">
        <is>
          <t>Unknown (phone screen recording)</t>
        </is>
      </c>
      <c r="E20" s="48">
        <f>HYPERLINK("https://drive.google.com/file/d/1Xw8W4M3TOLJimC7O_70LIj_6B2lxNPvn/view","▶  Watch")</f>
        <v/>
      </c>
      <c r="F20" s="40" t="inlineStr">
        <is>
          <t>NUR234_Fall2026_Unknown_Wk12_DayNA_Newborn - short clip (topic from the speech index).mp4</t>
        </is>
      </c>
      <c r="G20" s="40" t="inlineStr">
        <is>
          <t>Newborn - short clip (topic from the speech index)</t>
        </is>
      </c>
    </row>
    <row r="21" ht="15.75" customHeight="1" s="115">
      <c r="A21" s="37" t="inlineStr">
        <is>
          <t>Module 13</t>
        </is>
      </c>
      <c r="B21" s="37" t="n"/>
      <c r="C21" s="40" t="inlineStr">
        <is>
          <t>Fall 2026</t>
        </is>
      </c>
      <c r="D21" s="40" t="inlineStr">
        <is>
          <t>Unknown (phone screen recording)</t>
        </is>
      </c>
      <c r="E21" s="48">
        <f>HYPERLINK("https://drive.google.com/file/d/1QtlaEToar2eiKv3807xb1JJySdHOwLDF/view","▶  Watch")</f>
        <v/>
      </c>
      <c r="F21" s="40" t="inlineStr">
        <is>
          <t>NUR234_Fall2026_Unknown_Wk13_DayNA_Newborn feeding and nutrition (topic from the speech index).mp4</t>
        </is>
      </c>
      <c r="G21" s="40" t="inlineStr">
        <is>
          <t>Newborn feeding and nutrition (topic from the speech index)</t>
        </is>
      </c>
    </row>
    <row r="22" ht="15.75" customHeight="1" s="115">
      <c r="A22" s="37" t="inlineStr">
        <is>
          <t>Module 14</t>
        </is>
      </c>
      <c r="B22" s="37" t="n"/>
      <c r="C22" s="40" t="inlineStr">
        <is>
          <t>Fall 2026</t>
        </is>
      </c>
      <c r="D22" s="40" t="inlineStr">
        <is>
          <t>SimpleNursing</t>
        </is>
      </c>
      <c r="E22" s="48">
        <f>HYPERLINK("https://drive.google.com/file/d/1f_zRVwX1ESPiNw9NP_EnJ0Aua03stm3G/view","▶  Watch")</f>
        <v/>
      </c>
      <c r="F22" s="40" t="inlineStr">
        <is>
          <t>NUR234_Fall2026_SimpleNursing_Wk14_DayNA_High-risk newborn - jaundice and hypoglycemia (topic from the speech index).mp4</t>
        </is>
      </c>
      <c r="G22" s="40" t="inlineStr">
        <is>
          <t>High-risk newborn - jaundice and hypoglycemia (topic from the speech index)</t>
        </is>
      </c>
    </row>
    <row r="23" ht="15.75" customHeight="1" s="115">
      <c r="A23" s="37" t="inlineStr">
        <is>
          <t>Module 14</t>
        </is>
      </c>
      <c r="B23" s="37" t="n"/>
      <c r="C23" s="40" t="inlineStr">
        <is>
          <t>Fall 2026</t>
        </is>
      </c>
      <c r="D23" s="40" t="inlineStr">
        <is>
          <t>Unknown (phone screen recording)</t>
        </is>
      </c>
      <c r="E23" s="48">
        <f>HYPERLINK("https://drive.google.com/file/d/1PYtV-0SRsk62ByK-ISfXw_F4zn4m6vvm/view","▶  Watch")</f>
        <v/>
      </c>
      <c r="F23" s="40" t="inlineStr">
        <is>
          <t>NUR234_Fall2026_Unknown_Wk14_DayNA_Newborn jaundice, hypoglycemia and breastfeeding (topic from the speech index).mp4</t>
        </is>
      </c>
      <c r="G23" s="40" t="inlineStr">
        <is>
          <t>Newborn jaundice, hypoglycemia and breastfeeding (topic from the speech index)</t>
        </is>
      </c>
    </row>
    <row r="24" ht="15.75" customHeight="1" s="115">
      <c r="A24" s="37" t="n"/>
      <c r="B24" s="37" t="n"/>
      <c r="C24" s="40" t="n"/>
      <c r="D24" s="40" t="n"/>
      <c r="E24" s="56" t="n"/>
      <c r="F24" s="40" t="n"/>
      <c r="G24" s="40" t="n"/>
    </row>
    <row r="25" ht="15.75" customHeight="1" s="115">
      <c r="A25" s="51" t="n"/>
      <c r="B25" s="51" t="n"/>
      <c r="C25" s="53" t="n"/>
      <c r="D25" s="53" t="n"/>
      <c r="E25" s="62" t="n"/>
      <c r="F25" s="53" t="n"/>
      <c r="G25" s="53" t="n"/>
    </row>
    <row r="26" ht="15.75" customHeight="1" s="115">
      <c r="A26" s="37" t="n"/>
      <c r="B26" s="37" t="n"/>
      <c r="C26" s="40" t="n"/>
      <c r="D26" s="40" t="n"/>
      <c r="E26" s="56" t="n"/>
      <c r="F26" s="40" t="n"/>
      <c r="G26" s="40" t="n"/>
    </row>
    <row r="27" ht="15.75" customHeight="1" s="115">
      <c r="A27" s="51" t="n"/>
      <c r="B27" s="51" t="n"/>
      <c r="C27" s="53" t="n"/>
      <c r="D27" s="53" t="n"/>
      <c r="E27" s="62" t="n"/>
      <c r="F27" s="53" t="n"/>
      <c r="G27" s="53" t="n"/>
    </row>
    <row r="28" ht="15.75" customHeight="1" s="115">
      <c r="A28" s="37" t="n"/>
      <c r="B28" s="37" t="n"/>
      <c r="C28" s="40" t="n"/>
      <c r="D28" s="40" t="n"/>
      <c r="E28" s="56" t="n"/>
      <c r="F28" s="40" t="n"/>
      <c r="G28" s="40" t="n"/>
    </row>
    <row r="29" ht="15.75" customHeight="1" s="115">
      <c r="A29" s="51" t="n"/>
      <c r="B29" s="51" t="n"/>
      <c r="C29" s="53" t="n"/>
      <c r="D29" s="53" t="n"/>
      <c r="E29" s="62" t="n"/>
      <c r="F29" s="53" t="n"/>
      <c r="G29" s="53" t="n"/>
    </row>
    <row r="30" ht="15.75" customHeight="1" s="115">
      <c r="A30" s="37" t="n"/>
      <c r="B30" s="37" t="n"/>
      <c r="C30" s="40" t="n"/>
      <c r="D30" s="40" t="n"/>
      <c r="E30" s="56" t="n"/>
      <c r="F30" s="40" t="n"/>
      <c r="G30" s="40" t="n"/>
    </row>
    <row r="31" ht="15.75" customHeight="1" s="115">
      <c r="A31" s="51" t="n"/>
      <c r="B31" s="51" t="n"/>
      <c r="C31" s="53" t="n"/>
      <c r="D31" s="53" t="n"/>
      <c r="E31" s="62" t="n"/>
      <c r="F31" s="53" t="n"/>
      <c r="G31" s="53" t="n"/>
    </row>
    <row r="32" ht="15.75" customHeight="1" s="115">
      <c r="A32" s="37" t="n"/>
      <c r="B32" s="37" t="n"/>
      <c r="C32" s="40" t="n"/>
      <c r="D32" s="40" t="n"/>
      <c r="E32" s="56" t="n"/>
      <c r="F32" s="40" t="n"/>
      <c r="G32" s="40" t="n"/>
    </row>
    <row r="33" ht="15.75" customHeight="1" s="115">
      <c r="A33" s="51" t="n"/>
      <c r="B33" s="51" t="n"/>
      <c r="C33" s="53" t="n"/>
      <c r="D33" s="53" t="n"/>
      <c r="E33" s="62" t="n"/>
      <c r="F33" s="53" t="n"/>
      <c r="G33" s="53" t="n"/>
    </row>
    <row r="34" ht="15.75" customHeight="1" s="115">
      <c r="A34" s="63" t="n"/>
      <c r="B34" s="63" t="n"/>
      <c r="C34" s="63" t="n"/>
      <c r="D34" s="63" t="n"/>
      <c r="E34" s="63" t="n"/>
      <c r="F34" s="63" t="n"/>
      <c r="G34" s="63" t="n"/>
    </row>
    <row r="35" ht="15.75" customHeight="1" s="115">
      <c r="A35" s="63" t="n"/>
      <c r="B35" s="63" t="n"/>
      <c r="C35" s="63" t="n"/>
      <c r="D35" s="63" t="n"/>
      <c r="E35" s="63" t="n"/>
      <c r="F35" s="63" t="n"/>
      <c r="G35" s="63" t="n"/>
    </row>
    <row r="36" ht="15.75" customHeight="1" s="115">
      <c r="A36" s="63" t="n"/>
      <c r="B36" s="63" t="n"/>
      <c r="C36" s="63" t="n"/>
      <c r="D36" s="63" t="n"/>
      <c r="E36" s="63" t="n"/>
      <c r="F36" s="63" t="n"/>
      <c r="G36" s="63" t="n"/>
    </row>
    <row r="37" ht="15.75" customHeight="1" s="115">
      <c r="A37" s="63" t="n"/>
      <c r="B37" s="63" t="n"/>
      <c r="C37" s="63" t="n"/>
      <c r="D37" s="63" t="n"/>
      <c r="E37" s="63" t="n"/>
      <c r="F37" s="63" t="n"/>
      <c r="G37" s="63" t="n"/>
    </row>
    <row r="38" ht="15.75" customHeight="1" s="115">
      <c r="A38" s="63" t="n"/>
      <c r="B38" s="63" t="n"/>
      <c r="C38" s="63" t="n"/>
      <c r="D38" s="63" t="n"/>
      <c r="E38" s="63" t="n"/>
      <c r="F38" s="63" t="n"/>
      <c r="G38" s="63" t="n"/>
    </row>
    <row r="39" ht="15.75" customHeight="1" s="115">
      <c r="A39" s="63" t="n"/>
      <c r="B39" s="63" t="n"/>
      <c r="C39" s="63" t="n"/>
      <c r="D39" s="63" t="n"/>
      <c r="E39" s="63" t="n"/>
      <c r="F39" s="63" t="n"/>
      <c r="G39" s="63"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0"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9" t="inlineStr">
        <is>
          <t>NUR234</t>
        </is>
      </c>
      <c r="B2" s="11" t="inlineStr">
        <is>
          <t>NUR235</t>
        </is>
      </c>
      <c r="C2" s="9" t="inlineStr">
        <is>
          <t>NUR258</t>
        </is>
      </c>
      <c r="D2" s="16" t="inlineStr">
        <is>
          <t>🏠 START HERE</t>
        </is>
      </c>
      <c r="E2" s="15" t="inlineStr">
        <is>
          <t>📥 Sort me</t>
        </is>
      </c>
      <c r="F2" s="17" t="n"/>
      <c r="G2" s="17" t="n"/>
      <c r="H2" s="5" t="n"/>
      <c r="I2" s="5" t="n"/>
      <c r="J2" s="5" t="n"/>
      <c r="K2" s="5" t="n"/>
      <c r="L2" s="5" t="n"/>
      <c r="M2" s="5" t="n"/>
      <c r="N2" s="5" t="n"/>
      <c r="O2" s="5" t="n"/>
      <c r="P2" s="5" t="n"/>
      <c r="Q2" s="5" t="n"/>
      <c r="R2" s="5" t="n"/>
      <c r="S2" s="5" t="n"/>
      <c r="T2" s="5" t="n"/>
      <c r="U2" s="5" t="n"/>
      <c r="V2" s="5" t="n"/>
      <c r="W2" s="5" t="n"/>
      <c r="X2" s="5" t="n"/>
      <c r="Y2" s="5" t="n"/>
      <c r="Z2" s="5" t="n"/>
    </row>
    <row r="3">
      <c r="A3" s="18" t="inlineStr">
        <is>
          <t>Fadell</t>
        </is>
      </c>
      <c r="B3" s="18" t="inlineStr">
        <is>
          <t>Fuller</t>
        </is>
      </c>
      <c r="C3" s="18" t="inlineStr">
        <is>
          <t>Exam Reviews</t>
        </is>
      </c>
      <c r="D3" s="18" t="n"/>
      <c r="E3" s="26">
        <f>HYPERLINK('START HERE'!$B$36,"Zoom")</f>
        <v/>
      </c>
      <c r="F3" s="18" t="inlineStr">
        <is>
          <t>Review videos</t>
        </is>
      </c>
      <c r="G3" s="17"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7" t="n"/>
      <c r="B4" s="17" t="n"/>
      <c r="C4" s="17" t="n"/>
      <c r="D4" s="17" t="n"/>
      <c r="E4" s="17" t="n"/>
      <c r="F4" s="17" t="n"/>
      <c r="G4" s="17" t="n"/>
      <c r="H4" s="5" t="n"/>
      <c r="I4" s="5" t="n"/>
      <c r="J4" s="5" t="n"/>
      <c r="K4" s="5" t="n"/>
      <c r="L4" s="5" t="n"/>
      <c r="M4" s="5" t="n"/>
      <c r="N4" s="5" t="n"/>
      <c r="O4" s="5" t="n"/>
      <c r="P4" s="5" t="n"/>
      <c r="Q4" s="5" t="n"/>
      <c r="R4" s="5" t="n"/>
      <c r="S4" s="5" t="n"/>
      <c r="T4" s="5" t="n"/>
      <c r="U4" s="5" t="n"/>
      <c r="V4" s="5" t="n"/>
      <c r="W4" s="5" t="n"/>
      <c r="X4" s="5" t="n"/>
      <c r="Y4" s="5" t="n"/>
      <c r="Z4" s="5" t="n"/>
    </row>
    <row r="5">
      <c r="A5" s="81" t="inlineStr">
        <is>
          <t>Module</t>
        </is>
      </c>
      <c r="B5" s="81" t="inlineStr">
        <is>
          <t>Day</t>
        </is>
      </c>
      <c r="C5" s="81" t="inlineStr">
        <is>
          <t>Date</t>
        </is>
      </c>
      <c r="D5" s="81" t="inlineStr">
        <is>
          <t>Lecturer</t>
        </is>
      </c>
      <c r="E5" s="81" t="inlineStr">
        <is>
          <t>Recording</t>
        </is>
      </c>
      <c r="F5" s="81" t="inlineStr">
        <is>
          <t>File</t>
        </is>
      </c>
      <c r="G5" s="81" t="inlineStr">
        <is>
          <t>Notes</t>
        </is>
      </c>
      <c r="H5" s="5" t="n"/>
      <c r="I5" s="5" t="n"/>
      <c r="J5" s="5" t="n"/>
      <c r="K5" s="5" t="n"/>
      <c r="L5" s="5" t="n"/>
      <c r="M5" s="5" t="n"/>
      <c r="N5" s="5" t="n"/>
      <c r="O5" s="5" t="n"/>
      <c r="P5" s="5" t="n"/>
      <c r="Q5" s="5" t="n"/>
      <c r="R5" s="5" t="n"/>
      <c r="S5" s="5" t="n"/>
      <c r="T5" s="5" t="n"/>
      <c r="U5" s="5" t="n"/>
      <c r="V5" s="5" t="n"/>
      <c r="W5" s="5" t="n"/>
      <c r="X5" s="5" t="n"/>
      <c r="Y5" s="5" t="n"/>
      <c r="Z5" s="5" t="n"/>
    </row>
    <row r="6">
      <c r="A6" s="82" t="inlineStr">
        <is>
          <t>Module 1</t>
        </is>
      </c>
      <c r="B6" s="82" t="inlineStr">
        <is>
          <t>Day 1</t>
        </is>
      </c>
      <c r="C6" s="83" t="inlineStr">
        <is>
          <t>Spring 2026</t>
        </is>
      </c>
      <c r="D6" s="83" t="inlineStr">
        <is>
          <t>Fadell</t>
        </is>
      </c>
      <c r="E6" s="84">
        <f>HYPERLINK("https://drive.google.com/file/d/1pdrIxvRlTvmP6KratKznradt22HLDzo1/view","▶  Watch")</f>
        <v/>
      </c>
      <c r="F6" s="83" t="inlineStr">
        <is>
          <t>NUR235 M1d1.mp4</t>
        </is>
      </c>
      <c r="G6" s="83"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85" t="inlineStr">
        <is>
          <t>Module 1</t>
        </is>
      </c>
      <c r="B7" s="85" t="inlineStr">
        <is>
          <t>Day 2</t>
        </is>
      </c>
      <c r="C7" s="83" t="inlineStr">
        <is>
          <t>Spring 2026</t>
        </is>
      </c>
      <c r="D7" s="86" t="inlineStr">
        <is>
          <t>Fadell</t>
        </is>
      </c>
      <c r="E7" s="87">
        <f>HYPERLINK("https://drive.google.com/file/d/16CuSniyXHzQ9ZFqCLcKE3p5Q4Q5oeyxS/view","▶  Watch")</f>
        <v/>
      </c>
      <c r="F7" s="86" t="inlineStr">
        <is>
          <t>NUR235 M1d2.mp4</t>
        </is>
      </c>
      <c r="G7" s="86"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82" t="inlineStr">
        <is>
          <t>Module 2</t>
        </is>
      </c>
      <c r="B8" s="82" t="inlineStr">
        <is>
          <t>Day 1</t>
        </is>
      </c>
      <c r="C8" s="83" t="inlineStr">
        <is>
          <t>Spring 2026</t>
        </is>
      </c>
      <c r="D8" s="83" t="inlineStr">
        <is>
          <t>Fadell</t>
        </is>
      </c>
      <c r="E8" s="84">
        <f>HYPERLINK("https://drive.google.com/file/d/1Q5517-Mrq2k7R3wP0PxYutd5G6FPN9cx/view","▶  Watch")</f>
        <v/>
      </c>
      <c r="F8" s="83" t="inlineStr">
        <is>
          <t>NUR235 M2d1.mp4</t>
        </is>
      </c>
      <c r="G8" s="88"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85" t="inlineStr">
        <is>
          <t>Module 2</t>
        </is>
      </c>
      <c r="B9" s="85" t="inlineStr">
        <is>
          <t>Day 2</t>
        </is>
      </c>
      <c r="C9" s="83" t="inlineStr">
        <is>
          <t>Spring 2026</t>
        </is>
      </c>
      <c r="D9" s="86" t="inlineStr">
        <is>
          <t>Fadell</t>
        </is>
      </c>
      <c r="E9" s="87">
        <f>HYPERLINK("https://drive.google.com/file/d/1QGoHeK_bKBeYzZq4vorX8dX8ZWt03EUh/view","▶  Watch")</f>
        <v/>
      </c>
      <c r="F9" s="86" t="inlineStr">
        <is>
          <t>NUR235 M2d2.mp4</t>
        </is>
      </c>
      <c r="G9" s="86"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82" t="inlineStr">
        <is>
          <t>Module 3</t>
        </is>
      </c>
      <c r="B10" s="82" t="inlineStr">
        <is>
          <t>Day 1</t>
        </is>
      </c>
      <c r="C10" s="83" t="inlineStr">
        <is>
          <t>Spring 2026</t>
        </is>
      </c>
      <c r="D10" s="83" t="inlineStr">
        <is>
          <t>Fadell</t>
        </is>
      </c>
      <c r="E10" s="84">
        <f>HYPERLINK("https://drive.google.com/file/d/14JFpgO_aAbyd7-U8h2MQg0daKpNZ76Zo/view","▶  Watch")</f>
        <v/>
      </c>
      <c r="F10" s="83" t="inlineStr">
        <is>
          <t>NUR235 M3d1.mp4</t>
        </is>
      </c>
      <c r="G10" s="83"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85" t="inlineStr">
        <is>
          <t>Module 3</t>
        </is>
      </c>
      <c r="B11" s="85" t="inlineStr">
        <is>
          <t>Day 2</t>
        </is>
      </c>
      <c r="C11" s="83" t="inlineStr">
        <is>
          <t>Spring 2026</t>
        </is>
      </c>
      <c r="D11" s="86" t="inlineStr">
        <is>
          <t>Fadell</t>
        </is>
      </c>
      <c r="E11" s="87">
        <f>HYPERLINK("https://drive.google.com/file/d/1k1EZ2L6NQIZhAcEQWpdLBFOIhAzVUMuV/view","▶  Watch")</f>
        <v/>
      </c>
      <c r="F11" s="86" t="inlineStr">
        <is>
          <t>NUR235 M3d2.mp4</t>
        </is>
      </c>
      <c r="G11" s="86"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82" t="inlineStr">
        <is>
          <t>Module 4</t>
        </is>
      </c>
      <c r="B12" s="82" t="inlineStr">
        <is>
          <t>Day 1</t>
        </is>
      </c>
      <c r="C12" s="83" t="inlineStr">
        <is>
          <t>Spring 2026</t>
        </is>
      </c>
      <c r="D12" s="83" t="inlineStr">
        <is>
          <t>Fadell</t>
        </is>
      </c>
      <c r="E12" s="84">
        <f>HYPERLINK("https://drive.google.com/file/d/1b5bege6Dfibd8Ep1josxjnccr0sqen9l/view","▶  Watch")</f>
        <v/>
      </c>
      <c r="F12" s="83" t="inlineStr">
        <is>
          <t>NUR235 M4d1.mp4</t>
        </is>
      </c>
      <c r="G12" s="83"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85" t="inlineStr">
        <is>
          <t>Module 4</t>
        </is>
      </c>
      <c r="B13" s="85" t="inlineStr">
        <is>
          <t>Day 2</t>
        </is>
      </c>
      <c r="C13" s="83" t="inlineStr">
        <is>
          <t>Spring 2026</t>
        </is>
      </c>
      <c r="D13" s="86" t="inlineStr">
        <is>
          <t>Fadell</t>
        </is>
      </c>
      <c r="E13" s="87">
        <f>HYPERLINK("https://drive.google.com/file/d/1pbfj4UN1PY9frn9xIKc394A_wJkYLkgq/view","▶  Watch")</f>
        <v/>
      </c>
      <c r="F13" s="86" t="inlineStr">
        <is>
          <t>NUR235 M4d2.mp4</t>
        </is>
      </c>
      <c r="G13" s="86"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82" t="inlineStr">
        <is>
          <t>Module 5</t>
        </is>
      </c>
      <c r="B14" s="82" t="inlineStr">
        <is>
          <t>Day 1</t>
        </is>
      </c>
      <c r="C14" s="83" t="inlineStr">
        <is>
          <t>Spring 2026</t>
        </is>
      </c>
      <c r="D14" s="83" t="inlineStr">
        <is>
          <t>Fadell</t>
        </is>
      </c>
      <c r="E14" s="84">
        <f>HYPERLINK("https://drive.google.com/file/d/1kwB7srewINjZ8iX9yoFK8dBuH3_n41Qz/view","▶  Watch")</f>
        <v/>
      </c>
      <c r="F14" s="83" t="inlineStr">
        <is>
          <t>NUR235 M5d1.mp4</t>
        </is>
      </c>
      <c r="G14" s="83"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85" t="inlineStr">
        <is>
          <t>Module 5</t>
        </is>
      </c>
      <c r="B15" s="85" t="inlineStr">
        <is>
          <t>Day 2</t>
        </is>
      </c>
      <c r="C15" s="83" t="inlineStr">
        <is>
          <t>Spring 2026</t>
        </is>
      </c>
      <c r="D15" s="86" t="inlineStr">
        <is>
          <t>Fadell</t>
        </is>
      </c>
      <c r="E15" s="87">
        <f>HYPERLINK("https://drive.google.com/file/d/1Gm7nRAm5aRuW3FfYXVDtq8acaYaeaadN/view","▶  Watch")</f>
        <v/>
      </c>
      <c r="F15" s="86" t="inlineStr">
        <is>
          <t>NUR235 M5d2.mp4</t>
        </is>
      </c>
      <c r="G15" s="86"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5">
      <c r="A16" s="82" t="inlineStr">
        <is>
          <t>Module 6</t>
        </is>
      </c>
      <c r="B16" s="82" t="inlineStr">
        <is>
          <t>Day 1</t>
        </is>
      </c>
      <c r="C16" s="83" t="inlineStr">
        <is>
          <t>Spring 2026</t>
        </is>
      </c>
      <c r="D16" s="83" t="inlineStr">
        <is>
          <t>Fadell</t>
        </is>
      </c>
      <c r="E16" s="84">
        <f>HYPERLINK("https://drive.google.com/file/d/1oBOb2A9oL_AyWlu27fJovaWgvJ2uh8BP/view","▶  Watch")</f>
        <v/>
      </c>
      <c r="F16" s="83" t="inlineStr">
        <is>
          <t>NUR235 M6d1.mp4</t>
        </is>
      </c>
      <c r="G16" s="83"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5">
      <c r="A17" s="85" t="inlineStr">
        <is>
          <t>Module 6</t>
        </is>
      </c>
      <c r="B17" s="85" t="inlineStr">
        <is>
          <t>Day 2</t>
        </is>
      </c>
      <c r="C17" s="83" t="inlineStr">
        <is>
          <t>Spring 2026</t>
        </is>
      </c>
      <c r="D17" s="86" t="inlineStr">
        <is>
          <t>Fadell</t>
        </is>
      </c>
      <c r="E17" s="87">
        <f>HYPERLINK("https://drive.google.com/file/d/1-cj742kGJJpy4aS0qcDwSAPrgN9b-EBi/view","▶  Watch")</f>
        <v/>
      </c>
      <c r="F17" s="86" t="inlineStr">
        <is>
          <t>NUR235 M6d2.mp4</t>
        </is>
      </c>
      <c r="G17" s="86"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5">
      <c r="A18" s="82" t="inlineStr">
        <is>
          <t>Module 7</t>
        </is>
      </c>
      <c r="B18" s="82" t="inlineStr">
        <is>
          <t>Day 1</t>
        </is>
      </c>
      <c r="C18" s="83" t="inlineStr">
        <is>
          <t>Spring 2026</t>
        </is>
      </c>
      <c r="D18" s="83" t="inlineStr">
        <is>
          <t>Fadell</t>
        </is>
      </c>
      <c r="E18" s="84">
        <f>HYPERLINK("https://drive.google.com/file/d/1qQMvemEiqmBOftgCnu0DbmTReiY9jQ6Z/view","▶  Watch")</f>
        <v/>
      </c>
      <c r="F18" s="83" t="inlineStr">
        <is>
          <t>NUR235 M7d1.mp4</t>
        </is>
      </c>
      <c r="G18" s="83"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5">
      <c r="A19" s="85" t="inlineStr">
        <is>
          <t>Module 7</t>
        </is>
      </c>
      <c r="B19" s="85" t="inlineStr">
        <is>
          <t>Day 2</t>
        </is>
      </c>
      <c r="C19" s="83" t="inlineStr">
        <is>
          <t>Spring 2026</t>
        </is>
      </c>
      <c r="D19" s="86" t="inlineStr">
        <is>
          <t>Fadell</t>
        </is>
      </c>
      <c r="E19" s="87">
        <f>HYPERLINK("https://drive.google.com/file/d/1MyPdbWpWRub7BfbX4l2laIuFgfTbkU1A/view","▶  Watch")</f>
        <v/>
      </c>
      <c r="F19" s="86" t="inlineStr">
        <is>
          <t>NUR235 M7d2.mp4</t>
        </is>
      </c>
      <c r="G19" s="86"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5">
      <c r="A20" s="82" t="inlineStr">
        <is>
          <t>Module 8</t>
        </is>
      </c>
      <c r="B20" s="82" t="inlineStr">
        <is>
          <t>Day 1</t>
        </is>
      </c>
      <c r="C20" s="83" t="inlineStr">
        <is>
          <t>Spring 2026</t>
        </is>
      </c>
      <c r="D20" s="83" t="inlineStr">
        <is>
          <t>Fadell</t>
        </is>
      </c>
      <c r="E20" s="84">
        <f>HYPERLINK("https://drive.google.com/file/d/1r6A_uGiCKxkRitxZHuHmA6zLzKanD4ir/view","▶  Watch")</f>
        <v/>
      </c>
      <c r="F20" s="83" t="inlineStr">
        <is>
          <t>NUR235 M8d1.mp4</t>
        </is>
      </c>
      <c r="G20" s="83"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5">
      <c r="A21" s="85" t="inlineStr">
        <is>
          <t>Module 8</t>
        </is>
      </c>
      <c r="B21" s="85" t="inlineStr">
        <is>
          <t>Day 2</t>
        </is>
      </c>
      <c r="C21" s="83" t="inlineStr">
        <is>
          <t>Spring 2026</t>
        </is>
      </c>
      <c r="D21" s="86" t="inlineStr">
        <is>
          <t>Fadell</t>
        </is>
      </c>
      <c r="E21" s="87">
        <f>HYPERLINK("https://drive.google.com/file/d/1wg2iUowJw1j_3I6HhBUtsWiOp0nEpRfl/view","▶  Watch")</f>
        <v/>
      </c>
      <c r="F21" s="86" t="inlineStr">
        <is>
          <t>NUR235 M8d2.mp4</t>
        </is>
      </c>
      <c r="G21" s="86"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5">
      <c r="A22" s="82" t="inlineStr">
        <is>
          <t>Module 9</t>
        </is>
      </c>
      <c r="B22" s="82" t="inlineStr">
        <is>
          <t>Day 1</t>
        </is>
      </c>
      <c r="C22" s="83" t="inlineStr">
        <is>
          <t>Spring 2026</t>
        </is>
      </c>
      <c r="D22" s="83" t="inlineStr">
        <is>
          <t>Fadell</t>
        </is>
      </c>
      <c r="E22" s="84">
        <f>HYPERLINK("https://drive.google.com/file/d/1tf4BrUHxHQhTZhu8Vf8l4IvIt1PjQvJw/view","▶  Watch")</f>
        <v/>
      </c>
      <c r="F22" s="83" t="inlineStr">
        <is>
          <t>NUR235 M9d1.mp4</t>
        </is>
      </c>
      <c r="G22" s="83"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5">
      <c r="A23" s="85" t="inlineStr">
        <is>
          <t>Module 9</t>
        </is>
      </c>
      <c r="B23" s="85" t="inlineStr">
        <is>
          <t>Day 2</t>
        </is>
      </c>
      <c r="C23" s="83" t="inlineStr">
        <is>
          <t>Spring 2026</t>
        </is>
      </c>
      <c r="D23" s="86" t="inlineStr">
        <is>
          <t>Fadell</t>
        </is>
      </c>
      <c r="E23" s="87">
        <f>HYPERLINK("https://drive.google.com/file/d/1_mWuyKEdd8H2uFXBB6wKuMxXVY_XWxKL/view","▶  Watch")</f>
        <v/>
      </c>
      <c r="F23" s="86" t="inlineStr">
        <is>
          <t>NUR235 M9d2.mp4</t>
        </is>
      </c>
      <c r="G23" s="86"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5">
      <c r="A24" s="82" t="inlineStr">
        <is>
          <t>Module 10</t>
        </is>
      </c>
      <c r="B24" s="82" t="inlineStr">
        <is>
          <t>Day 1</t>
        </is>
      </c>
      <c r="C24" s="83" t="inlineStr">
        <is>
          <t>Spring 2026</t>
        </is>
      </c>
      <c r="D24" s="83" t="inlineStr">
        <is>
          <t>Fadell</t>
        </is>
      </c>
      <c r="E24" s="84">
        <f>HYPERLINK("https://drive.google.com/file/d/1qNKdQOx07nNIYi8b7Xa5Jq-WQHM1m9Dv/view","▶  Watch")</f>
        <v/>
      </c>
      <c r="F24" s="83" t="inlineStr">
        <is>
          <t>NUR235 M10d1.mp4</t>
        </is>
      </c>
      <c r="G24" s="83"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5">
      <c r="A25" s="85" t="inlineStr">
        <is>
          <t>Module 10</t>
        </is>
      </c>
      <c r="B25" s="85" t="inlineStr">
        <is>
          <t>Day 2</t>
        </is>
      </c>
      <c r="C25" s="83" t="inlineStr">
        <is>
          <t>Spring 2026</t>
        </is>
      </c>
      <c r="D25" s="86" t="inlineStr">
        <is>
          <t>Fadell</t>
        </is>
      </c>
      <c r="E25" s="87">
        <f>HYPERLINK("https://drive.google.com/file/d/1rp_QqODgVYxyyc0oRtgYWHDEw_WbZVXp/view","▶  Watch")</f>
        <v/>
      </c>
      <c r="F25" s="86" t="inlineStr">
        <is>
          <t>NUR235 M10d2.mp4</t>
        </is>
      </c>
      <c r="G25" s="86"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5">
      <c r="A26" s="82" t="inlineStr">
        <is>
          <t>Module 11</t>
        </is>
      </c>
      <c r="B26" s="82" t="inlineStr">
        <is>
          <t>Day 1</t>
        </is>
      </c>
      <c r="C26" s="83" t="inlineStr">
        <is>
          <t>Spring 2026</t>
        </is>
      </c>
      <c r="D26" s="83" t="inlineStr">
        <is>
          <t>Fadell</t>
        </is>
      </c>
      <c r="E26" s="84">
        <f>HYPERLINK("https://drive.google.com/file/d/1nNvAV6DNOEi-TYkpk6W6YMbNMdhEThQG/view","▶  Watch")</f>
        <v/>
      </c>
      <c r="F26" s="83" t="inlineStr">
        <is>
          <t>NUR235 M11d1.mp4</t>
        </is>
      </c>
      <c r="G26" s="83"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5">
      <c r="A27" s="85" t="inlineStr">
        <is>
          <t>Module 11</t>
        </is>
      </c>
      <c r="B27" s="85" t="inlineStr">
        <is>
          <t>Day 2</t>
        </is>
      </c>
      <c r="C27" s="83" t="inlineStr">
        <is>
          <t>Spring 2026</t>
        </is>
      </c>
      <c r="D27" s="86" t="inlineStr">
        <is>
          <t>Fadell</t>
        </is>
      </c>
      <c r="E27" s="87">
        <f>HYPERLINK("https://drive.google.com/file/d/1EHnsY3ZF-i5_2B2iQwCfhMnBr9e57G4X/view","▶  Watch")</f>
        <v/>
      </c>
      <c r="F27" s="86" t="inlineStr">
        <is>
          <t>NUR235 M11d2.mp4</t>
        </is>
      </c>
      <c r="G27" s="86"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5">
      <c r="A28" s="82" t="inlineStr">
        <is>
          <t>Module 12</t>
        </is>
      </c>
      <c r="B28" s="82" t="inlineStr">
        <is>
          <t>Day 1</t>
        </is>
      </c>
      <c r="C28" s="83" t="inlineStr">
        <is>
          <t>Spring 2026</t>
        </is>
      </c>
      <c r="D28" s="83" t="inlineStr">
        <is>
          <t>Fadell</t>
        </is>
      </c>
      <c r="E28" s="84">
        <f>HYPERLINK("https://drive.google.com/file/d/1AEBfWcK7bCeZpj11ndmTYUdt9P_0AiuP/view","▶  Watch")</f>
        <v/>
      </c>
      <c r="F28" s="83" t="inlineStr">
        <is>
          <t>NUR235 M12d1.mp4</t>
        </is>
      </c>
      <c r="G28" s="83"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5">
      <c r="A29" s="85" t="inlineStr">
        <is>
          <t>Module 12</t>
        </is>
      </c>
      <c r="B29" s="85" t="inlineStr">
        <is>
          <t>Day 2</t>
        </is>
      </c>
      <c r="C29" s="83" t="inlineStr">
        <is>
          <t>Spring 2026</t>
        </is>
      </c>
      <c r="D29" s="86" t="inlineStr">
        <is>
          <t>Fadell</t>
        </is>
      </c>
      <c r="E29" s="87">
        <f>HYPERLINK("https://drive.google.com/file/d/1gotI7xgoH5xvWNyZfCTLevKg4FZ29tDH/view","▶  Watch")</f>
        <v/>
      </c>
      <c r="F29" s="86" t="inlineStr">
        <is>
          <t>NUR235 M12d2.mp4</t>
        </is>
      </c>
      <c r="G29" s="86"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5">
      <c r="A30" s="82" t="inlineStr">
        <is>
          <t>Module 13</t>
        </is>
      </c>
      <c r="B30" s="82" t="inlineStr">
        <is>
          <t>Day 1</t>
        </is>
      </c>
      <c r="C30" s="83" t="inlineStr">
        <is>
          <t>Spring 2026</t>
        </is>
      </c>
      <c r="D30" s="83" t="inlineStr">
        <is>
          <t>Fadell</t>
        </is>
      </c>
      <c r="E30" s="84">
        <f>HYPERLINK("https://drive.google.com/file/d/1rhpS77OIMEqr6sA63U0xa-HomMkKMa-V/view","▶  Watch")</f>
        <v/>
      </c>
      <c r="F30" s="83" t="inlineStr">
        <is>
          <t>NUR235 M13d1.mp4</t>
        </is>
      </c>
      <c r="G30" s="83"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5">
      <c r="A31" s="85" t="inlineStr">
        <is>
          <t>Module 13</t>
        </is>
      </c>
      <c r="B31" s="85" t="inlineStr">
        <is>
          <t>Day 2</t>
        </is>
      </c>
      <c r="C31" s="83" t="inlineStr">
        <is>
          <t>Spring 2026</t>
        </is>
      </c>
      <c r="D31" s="86" t="inlineStr">
        <is>
          <t>Fadell</t>
        </is>
      </c>
      <c r="E31" s="87">
        <f>HYPERLINK("https://drive.google.com/file/d/11NU0OBr1x-oT03jwejIFgD4mUQ7KhmtM/view","▶  Watch")</f>
        <v/>
      </c>
      <c r="F31" s="86" t="inlineStr">
        <is>
          <t>NUR235 M13d2.mp4</t>
        </is>
      </c>
      <c r="G31" s="86"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5">
      <c r="A32" s="85" t="inlineStr">
        <is>
          <t>Module 14</t>
        </is>
      </c>
      <c r="B32" s="85" t="inlineStr">
        <is>
          <t>Day 1</t>
        </is>
      </c>
      <c r="C32" s="83" t="inlineStr">
        <is>
          <t>Spring 2026</t>
        </is>
      </c>
      <c r="D32" s="86" t="inlineStr">
        <is>
          <t>Fadell</t>
        </is>
      </c>
      <c r="E32" s="87">
        <f>HYPERLINK("https://drive.google.com/file/d/1Xd7riWCGJ-FYd7Jt2c7Q50Hz92ww5hpw/view","▶  Watch")</f>
        <v/>
      </c>
      <c r="F32" s="86" t="n"/>
      <c r="G32" s="86"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5">
      <c r="A33" s="85" t="inlineStr">
        <is>
          <t>Module 14</t>
        </is>
      </c>
      <c r="B33" s="85" t="inlineStr">
        <is>
          <t>Day 2</t>
        </is>
      </c>
      <c r="C33" s="83" t="inlineStr">
        <is>
          <t>Spring 2026</t>
        </is>
      </c>
      <c r="D33" s="86" t="inlineStr">
        <is>
          <t>Fadell</t>
        </is>
      </c>
      <c r="E33" s="86" t="n"/>
      <c r="F33" s="86" t="n"/>
      <c r="G33" s="86"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5">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5">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5">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5">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5">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5">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5">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5">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5">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5">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5">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5">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5">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5">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5">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5">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5">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5">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5">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5">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5">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5">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5">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5">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5">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5">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5">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5">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5">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5">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5">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5">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5">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5">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5">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5">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5">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5">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5">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5">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5">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5">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5">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5">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5">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5">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5">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5">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5">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5">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5">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5">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5">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5">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5">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5">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5">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5">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5">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5">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5">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5">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5">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5">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5">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5">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5">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5">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5">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5">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5">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5">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5">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5">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5">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5">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5">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5">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5">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5">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5">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5">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5">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5">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5">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5">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5">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5">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5">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5">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5">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5">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5">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5">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5">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5">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5">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5">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5">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5">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5">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5">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5">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5">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5">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5">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5">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5">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5">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5">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5">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5">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5">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5">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5">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5">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5">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5">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5">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5">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5">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5">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5">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5">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5">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5">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5">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5">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5">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5">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5">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5">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5">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5">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5">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5">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5">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5">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5">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5">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5">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5">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5">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5">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5">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5">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5">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5">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5">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5">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5">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5">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5">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5">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5">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5">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5">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5">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5">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5">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5">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5">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5">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5">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5">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5">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5">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5">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5">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5">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5">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5">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5">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5">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5">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5">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5">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5">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5">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5">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5">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5">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5">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5">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5">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5">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5">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5">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5">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5">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5">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5">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5">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5">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5">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5">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5">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5">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5">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5">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Fuller</t>
        </is>
      </c>
    </row>
    <row r="2">
      <c r="A2" s="9" t="inlineStr">
        <is>
          <t>NUR234</t>
        </is>
      </c>
      <c r="B2" s="11" t="inlineStr">
        <is>
          <t>NUR235</t>
        </is>
      </c>
      <c r="C2" s="9" t="inlineStr">
        <is>
          <t>NUR258</t>
        </is>
      </c>
      <c r="D2" s="16" t="inlineStr">
        <is>
          <t>🏠 START HERE</t>
        </is>
      </c>
      <c r="E2" s="15" t="inlineStr">
        <is>
          <t>📥 Sort me</t>
        </is>
      </c>
      <c r="F2" s="17" t="n"/>
      <c r="G2" s="17" t="n"/>
    </row>
    <row r="3">
      <c r="A3" s="18" t="inlineStr">
        <is>
          <t>Fadell</t>
        </is>
      </c>
      <c r="B3" s="18" t="inlineStr">
        <is>
          <t>Fuller</t>
        </is>
      </c>
      <c r="C3" s="18" t="inlineStr">
        <is>
          <t>Exam Reviews</t>
        </is>
      </c>
      <c r="D3" s="18" t="n"/>
      <c r="E3" s="26">
        <f>HYPERLINK('START HERE'!$B$36,"Zoom")</f>
        <v/>
      </c>
      <c r="F3" s="18" t="inlineStr">
        <is>
          <t>Review videos</t>
        </is>
      </c>
      <c r="G3" s="17" t="inlineStr">
        <is>
          <t>Fuller teaches this Fall 2026 cohort and runs one lecture a week. Fadell is a different lecturer - last cohort’s Spring 2026 Day 1 / Day 2 recordings are on the Fadell tab.</t>
        </is>
      </c>
    </row>
    <row r="4">
      <c r="A4" s="17" t="n"/>
      <c r="B4" s="17" t="n"/>
      <c r="C4" s="17" t="n"/>
      <c r="D4" s="17" t="n"/>
      <c r="E4" s="17" t="n"/>
      <c r="F4" s="17" t="n"/>
      <c r="G4" s="17"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inlineStr">
        <is>
          <t>Weekly lecture</t>
        </is>
      </c>
      <c r="C6" s="83" t="inlineStr">
        <is>
          <t>Fall 2026</t>
        </is>
      </c>
      <c r="D6" s="83" t="inlineStr">
        <is>
          <t>Fuller</t>
        </is>
      </c>
      <c r="E6" s="84">
        <f>HYPERLINK("https://drive.google.com/file/d/1GlaHvD23YFvTD18u35eRDP7UPtDT4rzC/view","▶  Watch")</f>
        <v/>
      </c>
      <c r="F6" s="83" t="inlineStr">
        <is>
          <t>Fuller M1.mp4</t>
        </is>
      </c>
      <c r="G6" s="83" t="inlineStr">
        <is>
          <t>Intro to pediatric nursing. Also filed as NUR235_Fall2026_Fuller_Wk01 in the NUR 235 videos folder</t>
        </is>
      </c>
    </row>
    <row r="7">
      <c r="A7" s="82" t="inlineStr">
        <is>
          <t>Module 1</t>
        </is>
      </c>
      <c r="B7" s="82" t="inlineStr">
        <is>
          <t>Module recording</t>
        </is>
      </c>
      <c r="C7" s="83" t="inlineStr">
        <is>
          <t>Fall 2026</t>
        </is>
      </c>
      <c r="D7" s="83" t="inlineStr">
        <is>
          <t>Fuller</t>
        </is>
      </c>
      <c r="E7" s="84">
        <f>HYPERLINK("https://drive.google.com/file/d/15dl0VLLa6YnG3voHKOp-LPls4SIQHGSw/view","▶  Watch")</f>
        <v/>
      </c>
      <c r="F7" s="83" t="inlineStr">
        <is>
          <t>NUR235_Fall2026_Fuller_Wk01_DayNA_Welcome to Pediatrics - asynchronous intro.mp4</t>
        </is>
      </c>
      <c r="G7" s="83" t="inlineStr">
        <is>
          <t>Welcome to Pediatrics - asynchronous intro (17 MB). Fuller's asynchronous module recording from Canvas (you confirmed the speaker on 6 Oct). Drive name: NUR235_Fall2026_Fuller_Wk01_DayNA_Welcome to Pediatrics - asynchronous intro.mp4</t>
        </is>
      </c>
    </row>
    <row r="8">
      <c r="A8" s="82" t="inlineStr">
        <is>
          <t>Module 1</t>
        </is>
      </c>
      <c r="B8" s="82" t="inlineStr">
        <is>
          <t>Module recording</t>
        </is>
      </c>
      <c r="C8" s="83" t="inlineStr">
        <is>
          <t>Fall 2026</t>
        </is>
      </c>
      <c r="D8" s="83" t="inlineStr">
        <is>
          <t>Fuller</t>
        </is>
      </c>
      <c r="E8" s="84">
        <f>HYPERLINK("https://drive.google.com/file/d/1fJLn19IQy4UrXQyJPa1NC6NoDHvC73Ja/view","▶  Watch")</f>
        <v/>
      </c>
      <c r="F8" s="83" t="inlineStr">
        <is>
          <t>NUR235_Fall2026_Fuller_Wk01_DayNA_Hospitalization of the child.mp4</t>
        </is>
      </c>
      <c r="G8" s="83" t="inlineStr">
        <is>
          <t>Hospitalization of the child. Fuller's asynchronous module recording from Canvas (you confirmed the speaker on 6 Oct). Drive name: NUR235_Fall2026_Fuller_Wk01_DayNA_Hospitalization of the child.mp4</t>
        </is>
      </c>
    </row>
    <row r="9">
      <c r="A9" s="85" t="inlineStr">
        <is>
          <t>Module 2</t>
        </is>
      </c>
      <c r="B9" s="85" t="inlineStr">
        <is>
          <t>Weekly lecture</t>
        </is>
      </c>
      <c r="C9" s="83" t="inlineStr">
        <is>
          <t>Fall 2026</t>
        </is>
      </c>
      <c r="D9" s="86" t="inlineStr">
        <is>
          <t>Fuller</t>
        </is>
      </c>
      <c r="E9" s="87">
        <f>HYPERLINK("https://drive.google.com/file/d/1LlXr19xnRaDRvh2CaY0NTa5m33OeLVNw/view","▶  Watch")</f>
        <v/>
      </c>
      <c r="F9" s="86" t="inlineStr">
        <is>
          <t>NUR235_Fall2026_Fuller_Wk02_DayNA_Week 2 Check-In.mp4</t>
        </is>
      </c>
      <c r="G9" s="86"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3"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115">
      <c r="A11" s="82" t="inlineStr">
        <is>
          <t>Module 3</t>
        </is>
      </c>
      <c r="B11" s="85" t="inlineStr">
        <is>
          <t>Day 2</t>
        </is>
      </c>
      <c r="C11" s="83" t="inlineStr">
        <is>
          <t>Fall 2026</t>
        </is>
      </c>
      <c r="D11" s="83" t="inlineStr">
        <is>
          <t>Fuller</t>
        </is>
      </c>
      <c r="E11" s="87">
        <f>HYPERLINK("https://drive.google.com/file/d/1RjXD0xUWwGcmDpw7ZUi0zt7dieR3uJpd/view","▶  Watch")</f>
        <v/>
      </c>
      <c r="F11" s="86" t="inlineStr">
        <is>
          <t>NUR235_Fall2026_Fuller_Wk03_Day2_Nursing care of the toddler and preschooler.mp4</t>
        </is>
      </c>
      <c r="G11"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2" t="inlineStr">
        <is>
          <t>Module 3</t>
        </is>
      </c>
      <c r="B12" s="85" t="inlineStr">
        <is>
          <t>Module recording</t>
        </is>
      </c>
      <c r="C12" s="83" t="inlineStr">
        <is>
          <t>Fall 2026</t>
        </is>
      </c>
      <c r="D12" s="83" t="inlineStr">
        <is>
          <t>Fuller</t>
        </is>
      </c>
      <c r="E12" s="87">
        <f>HYPERLINK("https://drive.google.com/file/d/1tOcKhZCsw3oc69Qp6xf5DqfMuYK58FyP/view","▶  Watch")</f>
        <v/>
      </c>
      <c r="F12" s="86" t="inlineStr">
        <is>
          <t>NUR235_Fall2026_Fuller_Wk03_DayNA_Nursing care of the toddler and preschooler.mp4</t>
        </is>
      </c>
      <c r="G12" s="86"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2" t="inlineStr">
        <is>
          <t>Module 4</t>
        </is>
      </c>
      <c r="B13" s="82" t="inlineStr">
        <is>
          <t>Module recording</t>
        </is>
      </c>
      <c r="C13" s="83" t="inlineStr">
        <is>
          <t>Fall 2026</t>
        </is>
      </c>
      <c r="D13" s="83" t="inlineStr">
        <is>
          <t>Fuller</t>
        </is>
      </c>
      <c r="E13" s="84">
        <f>HYPERLINK("https://drive.google.com/file/d/1yKIp1Ax7rc6hq5SdtPg0eF5OQfgt65jS/view","▶  Watch")</f>
        <v/>
      </c>
      <c r="F13" s="83" t="inlineStr">
        <is>
          <t>NUR235_Fall2026_Fuller_Wk04_DayNA_School-age and adolescent.mp4</t>
        </is>
      </c>
      <c r="G13" s="88" t="inlineStr">
        <is>
          <t>School-age and adolescent. Fuller's asynchronous module recording from Canvas (you confirmed the speaker on 6 Oct). Drive name: NUR235_Fall2026_Fuller_Wk04_DayNA_School-age and adolescent.mp4</t>
        </is>
      </c>
    </row>
    <row r="14" ht="15.75" customHeight="1" s="115">
      <c r="A14" s="85" t="inlineStr">
        <is>
          <t>Module 5</t>
        </is>
      </c>
      <c r="B14" s="85" t="inlineStr">
        <is>
          <t>Module recording</t>
        </is>
      </c>
      <c r="C14" s="83" t="inlineStr">
        <is>
          <t>Fall 2026</t>
        </is>
      </c>
      <c r="D14" s="86" t="inlineStr">
        <is>
          <t>Fuller</t>
        </is>
      </c>
      <c r="E14" s="87">
        <f>HYPERLINK("https://drive.google.com/file/d/1s2XIaXweDh5t0QGPkm-FArc_8CH0iaPK/view","▶  Watch")</f>
        <v/>
      </c>
      <c r="F14" s="86" t="inlineStr">
        <is>
          <t>NUR235_Fall2026_Fuller_Wk05_DayNA_Hematology and childhood neoplasms.mp4</t>
        </is>
      </c>
      <c r="G14" s="86" t="inlineStr">
        <is>
          <t>Hematology and childhood neoplasms. Fuller's asynchronous module recording from Canvas (you confirmed the speaker on 6 Oct). Drive name: NUR235_Fall2026_Fuller_Wk05_DayNA_Hematology and childhood neoplasms.mp4</t>
        </is>
      </c>
    </row>
    <row r="15" ht="15.75" customHeight="1" s="115">
      <c r="A15" s="85" t="inlineStr">
        <is>
          <t>Module 6</t>
        </is>
      </c>
      <c r="B15" s="85" t="inlineStr">
        <is>
          <t>Module recording</t>
        </is>
      </c>
      <c r="C15" s="83" t="inlineStr">
        <is>
          <t>Fall 2026</t>
        </is>
      </c>
      <c r="D15" s="86" t="inlineStr">
        <is>
          <t>Fuller</t>
        </is>
      </c>
      <c r="E15" s="87">
        <f>HYPERLINK("https://drive.google.com/file/d/1D874qmiQiZH5lta1iGvjYgZuw89Ap8Hv/view","▶  Watch")</f>
        <v/>
      </c>
      <c r="F15" s="86" t="inlineStr">
        <is>
          <t>NUR235_Fall2026_Fuller_Wk06_DayNA_Immune and infectious disorders.mp4</t>
        </is>
      </c>
      <c r="G15" s="86" t="inlineStr">
        <is>
          <t>Immune and infectious disorders. Fuller's asynchronous module recording from Canvas (you confirmed the speaker on 6 Oct). Drive name: NUR235_Fall2026_Fuller_Wk06_DayNA_Immune and infectious disorders.mp4</t>
        </is>
      </c>
    </row>
    <row r="16" ht="15.75" customHeight="1" s="115">
      <c r="A16" s="82" t="inlineStr">
        <is>
          <t>Module 7</t>
        </is>
      </c>
      <c r="B16" s="82" t="inlineStr">
        <is>
          <t>Module recording</t>
        </is>
      </c>
      <c r="C16" s="83" t="inlineStr">
        <is>
          <t>Fall 2026</t>
        </is>
      </c>
      <c r="D16" s="83" t="inlineStr">
        <is>
          <t>Fuller</t>
        </is>
      </c>
      <c r="E16" s="84">
        <f>HYPERLINK("https://drive.google.com/file/d/1jR3en5teZqX5G5iW1lLpJjqkuuBU5Go1/view","▶  Watch")</f>
        <v/>
      </c>
      <c r="F16" s="83" t="inlineStr">
        <is>
          <t>NUR235_Fall2026_Fuller_Wk07_DayNA_Neurologic and neuromuscular.mp4</t>
        </is>
      </c>
      <c r="G16" s="83" t="inlineStr">
        <is>
          <t>Neurologic and neuromuscular. Fuller's asynchronous module recording from Canvas (you confirmed the speaker on 6 Oct). Drive name: NUR235_Fall2026_Fuller_Wk07_DayNA_Neurologic and neuromuscular.mp4</t>
        </is>
      </c>
    </row>
    <row r="17" ht="15.75" customHeight="1" s="115">
      <c r="A17" s="85" t="inlineStr">
        <is>
          <t>Module 8</t>
        </is>
      </c>
      <c r="B17" s="85" t="inlineStr">
        <is>
          <t>Module recording</t>
        </is>
      </c>
      <c r="C17" s="83" t="inlineStr">
        <is>
          <t>Fall 2026</t>
        </is>
      </c>
      <c r="D17" s="86" t="inlineStr">
        <is>
          <t>Fuller</t>
        </is>
      </c>
      <c r="E17" s="87">
        <f>HYPERLINK("https://drive.google.com/file/d/1swgiP1NKBL7E7FD08zoBzhX_ZiDsVBam/view","▶  Watch")</f>
        <v/>
      </c>
      <c r="F17" s="86" t="inlineStr">
        <is>
          <t>NUR235_Fall2026_Fuller_Wk08_DayNA_Respiratory.mp4</t>
        </is>
      </c>
      <c r="G17" s="86" t="inlineStr">
        <is>
          <t>Respiratory. Fuller's asynchronous module recording from Canvas (you confirmed the speaker on 6 Oct). Drive name: NUR235_Fall2026_Fuller_Wk08_DayNA_Respiratory.mp4</t>
        </is>
      </c>
    </row>
    <row r="18" ht="15.75" customHeight="1" s="115">
      <c r="A18" s="82" t="inlineStr">
        <is>
          <t>Module 9</t>
        </is>
      </c>
      <c r="B18" s="82" t="inlineStr">
        <is>
          <t>Module recording</t>
        </is>
      </c>
      <c r="C18" s="83" t="inlineStr">
        <is>
          <t>Fall 2026</t>
        </is>
      </c>
      <c r="D18" s="83" t="inlineStr">
        <is>
          <t>Fuller</t>
        </is>
      </c>
      <c r="E18" s="84">
        <f>HYPERLINK("https://drive.google.com/file/d/1AifHN2lCUw2D1ALY7zSTL1e-4SweDFOZ/view","▶  Watch")</f>
        <v/>
      </c>
      <c r="F18" s="83" t="inlineStr">
        <is>
          <t>NUR235_Fall2026_Fuller_Wk09_DayNA_Cardiac.mp4</t>
        </is>
      </c>
      <c r="G18" s="83" t="inlineStr">
        <is>
          <t>Cardiac. Fuller's asynchronous module recording from Canvas (you confirmed the speaker on 6 Oct). Drive name: NUR235_Fall2026_Fuller_Wk09_DayNA_Cardiac.mp4</t>
        </is>
      </c>
    </row>
    <row r="19" ht="15.75" customHeight="1" s="115">
      <c r="A19" s="82" t="inlineStr">
        <is>
          <t>Module 9</t>
        </is>
      </c>
      <c r="B19" s="82" t="inlineStr">
        <is>
          <t>Module recording</t>
        </is>
      </c>
      <c r="C19" s="83" t="inlineStr">
        <is>
          <t>Fall 2026</t>
        </is>
      </c>
      <c r="D19" s="83" t="inlineStr">
        <is>
          <t>Not named</t>
        </is>
      </c>
      <c r="E19" s="84">
        <f>HYPERLINK("https://drive.google.com/file/d/1dSjkJUDsUbKUwG7Hp9bX7pwpfvjjHMEX/view","▶  Watch")</f>
        <v/>
      </c>
      <c r="F19" s="83" t="inlineStr">
        <is>
          <t>NUR235_Fall2026_Unknown_Wk09_DayNA_Laying the Foundation for CHD - congenital heart disease (topic from the title and speech index).mp4</t>
        </is>
      </c>
      <c r="G19" s="8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2" t="inlineStr">
        <is>
          <t>Module 10</t>
        </is>
      </c>
      <c r="B20" s="82" t="inlineStr">
        <is>
          <t>Module recording</t>
        </is>
      </c>
      <c r="C20" s="83" t="inlineStr">
        <is>
          <t>Fall 2026</t>
        </is>
      </c>
      <c r="D20" s="83" t="inlineStr">
        <is>
          <t>Fuller</t>
        </is>
      </c>
      <c r="E20" s="84">
        <f>HYPERLINK("https://drive.google.com/file/d/16EwUYszRhsvigOAsEeVYTPSjMaT_rU-o/view","▶  Watch")</f>
        <v/>
      </c>
      <c r="F20" s="83" t="inlineStr">
        <is>
          <t>NUR235_Fall2026_Fuller_Wk10_DayNA_Musculoskeletal.mp4</t>
        </is>
      </c>
      <c r="G20" s="83" t="inlineStr">
        <is>
          <t>Musculoskeletal. Fuller's asynchronous module recording from Canvas (you confirmed the speaker on 6 Oct). Drive name: NUR235_Fall2026_Fuller_Wk10_DayNA_Musculoskeletal.mp4</t>
        </is>
      </c>
    </row>
    <row r="21" ht="15.75" customHeight="1" s="115">
      <c r="A21" s="85" t="inlineStr">
        <is>
          <t>Module 11</t>
        </is>
      </c>
      <c r="B21" s="85" t="inlineStr">
        <is>
          <t>Module recording</t>
        </is>
      </c>
      <c r="C21" s="83" t="inlineStr">
        <is>
          <t>Fall 2026</t>
        </is>
      </c>
      <c r="D21" s="86" t="inlineStr">
        <is>
          <t>Fuller</t>
        </is>
      </c>
      <c r="E21" s="87">
        <f>HYPERLINK("https://drive.google.com/file/d/133wvGtArpMkxl4khAoNhoauyza9hWRvo/view","▶  Watch")</f>
        <v/>
      </c>
      <c r="F21" s="86" t="inlineStr">
        <is>
          <t>NUR235_Fall2026_Fuller_Wk11_DayNA_Endocrine and metabolic.mp4</t>
        </is>
      </c>
      <c r="G21" s="86" t="inlineStr">
        <is>
          <t>Endocrine and metabolic. Fuller's asynchronous module recording from Canvas (you confirmed the speaker on 6 Oct). Drive name: NUR235_Fall2026_Fuller_Wk11_DayNA_Endocrine and metabolic.mp4</t>
        </is>
      </c>
    </row>
    <row r="22" ht="15.75" customHeight="1" s="115">
      <c r="A22" s="82" t="inlineStr">
        <is>
          <t>Module 12</t>
        </is>
      </c>
      <c r="B22" s="82" t="inlineStr">
        <is>
          <t>Module recording</t>
        </is>
      </c>
      <c r="C22" s="83" t="inlineStr">
        <is>
          <t>Fall 2026</t>
        </is>
      </c>
      <c r="D22" s="83" t="inlineStr">
        <is>
          <t>Fuller</t>
        </is>
      </c>
      <c r="E22" s="84">
        <f>HYPERLINK("https://drive.google.com/file/d/1kqvvmD470PE4FpYVJuWQyjF_jkmS0qIa/view","▶  Watch")</f>
        <v/>
      </c>
      <c r="F22" s="83" t="inlineStr">
        <is>
          <t>NUR235_Fall2026_Fuller_Wk12_DayNA_Gastrointestinal.mp4</t>
        </is>
      </c>
      <c r="G22" s="88" t="inlineStr">
        <is>
          <t>Gastrointestinal. Fuller's asynchronous module recording from Canvas (you confirmed the speaker on 6 Oct). Drive name: NUR235_Fall2026_Fuller_Wk12_DayNA_Gastrointestinal.mp4</t>
        </is>
      </c>
    </row>
    <row r="23" ht="15.75" customHeight="1" s="115">
      <c r="A23" s="82" t="inlineStr">
        <is>
          <t>Module 13</t>
        </is>
      </c>
      <c r="B23" s="82" t="inlineStr">
        <is>
          <t>Module recording</t>
        </is>
      </c>
      <c r="C23" s="83" t="inlineStr">
        <is>
          <t>Fall 2026</t>
        </is>
      </c>
      <c r="D23" s="83" t="inlineStr">
        <is>
          <t>Fuller</t>
        </is>
      </c>
      <c r="E23" s="84">
        <f>HYPERLINK("https://drive.google.com/file/d/1-BkPOxpFIbj2aeyDnLvIS87yyEX4_wsw/view","▶  Watch")</f>
        <v/>
      </c>
      <c r="F23" s="83" t="inlineStr">
        <is>
          <t>NUR235_Fall2026_Fuller_Wk13_DayNA_Renal and genitourinary.mp4</t>
        </is>
      </c>
      <c r="G23" s="83" t="inlineStr">
        <is>
          <t>Renal and genitourinary. Fuller's asynchronous module recording from Canvas (you confirmed the speaker on 6 Oct). Drive name: NUR235_Fall2026_Fuller_Wk13_DayNA_Renal and genitourinary.mp4</t>
        </is>
      </c>
    </row>
    <row r="24" ht="15.75" customHeight="1" s="115">
      <c r="A24" s="85" t="inlineStr">
        <is>
          <t>Module 14</t>
        </is>
      </c>
      <c r="B24" s="85" t="inlineStr">
        <is>
          <t>Module recording</t>
        </is>
      </c>
      <c r="C24" s="83" t="inlineStr">
        <is>
          <t>Fall 2026</t>
        </is>
      </c>
      <c r="D24" s="86" t="inlineStr">
        <is>
          <t>Fuller</t>
        </is>
      </c>
      <c r="E24" s="87">
        <f>HYPERLINK("https://drive.google.com/file/d/1pvRIoJTyknef4TVk57Ajdng5oGCH5EHt/view","▶  Watch")</f>
        <v/>
      </c>
      <c r="F24" s="86" t="inlineStr">
        <is>
          <t>NUR235_Fall2026_Fuller_Wk14_DayNA_Final exam prep.mp4</t>
        </is>
      </c>
      <c r="G24" s="86" t="inlineStr">
        <is>
          <t>Final exam prep. Fuller's asynchronous module recording from Canvas (you confirmed the speaker on 6 Oct). Drive name: NUR235_Fall2026_Fuller_Wk14_DayNA_Final exam prep.mp4</t>
        </is>
      </c>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0" t="inlineStr">
        <is>
          <t>NUR235  ·  Exam Reviews</t>
        </is>
      </c>
      <c r="F1" s="5" t="n"/>
      <c r="G1" s="5" t="n"/>
    </row>
    <row r="2">
      <c r="A2" s="9" t="inlineStr">
        <is>
          <t>NUR234</t>
        </is>
      </c>
      <c r="B2" s="11" t="inlineStr">
        <is>
          <t>NUR235</t>
        </is>
      </c>
      <c r="C2" s="9" t="inlineStr">
        <is>
          <t>NUR258</t>
        </is>
      </c>
      <c r="D2" s="16" t="inlineStr">
        <is>
          <t>🏠 START HERE</t>
        </is>
      </c>
      <c r="E2" s="15" t="inlineStr">
        <is>
          <t>📥 Sort me</t>
        </is>
      </c>
      <c r="F2" s="5" t="n"/>
      <c r="G2" s="5" t="n"/>
    </row>
    <row r="3">
      <c r="A3" s="18" t="inlineStr">
        <is>
          <t>Fadell</t>
        </is>
      </c>
      <c r="B3" s="18" t="inlineStr">
        <is>
          <t>Fuller</t>
        </is>
      </c>
      <c r="C3" s="18" t="inlineStr">
        <is>
          <t>Exam Reviews</t>
        </is>
      </c>
      <c r="D3" s="18" t="n"/>
      <c r="E3" s="26">
        <f>HYPERLINK('START HERE'!$B$36,"Zoom")</f>
        <v/>
      </c>
      <c r="F3" s="18" t="inlineStr">
        <is>
          <t>Review videos</t>
        </is>
      </c>
      <c r="G3" s="5" t="n"/>
    </row>
    <row r="4">
      <c r="A4" s="17" t="n"/>
      <c r="B4" s="17" t="n"/>
      <c r="C4" s="17" t="n"/>
      <c r="D4" s="17" t="n"/>
      <c r="E4" s="17" t="n"/>
      <c r="F4" s="5" t="n"/>
      <c r="G4" s="5" t="n"/>
    </row>
    <row r="5">
      <c r="A5" s="81" t="inlineStr">
        <is>
          <t>Exam</t>
        </is>
      </c>
      <c r="B5" s="81" t="inlineStr">
        <is>
          <t>Date</t>
        </is>
      </c>
      <c r="C5" s="81" t="inlineStr">
        <is>
          <t>Item</t>
        </is>
      </c>
      <c r="D5" s="81" t="inlineStr">
        <is>
          <t>Link</t>
        </is>
      </c>
      <c r="E5" s="81" t="inlineStr">
        <is>
          <t>Notes</t>
        </is>
      </c>
      <c r="F5" s="5" t="n"/>
      <c r="G5" s="5"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5" t="n"/>
      <c r="G6" s="5" t="n"/>
    </row>
    <row r="7">
      <c r="A7" s="82" t="inlineStr">
        <is>
          <t>Exam 1</t>
        </is>
      </c>
      <c r="B7" s="82" t="inlineStr">
        <is>
          <t>Fall 2026</t>
        </is>
      </c>
      <c r="C7" s="84" t="inlineStr">
        <is>
          <t>▶  Watch</t>
        </is>
      </c>
      <c r="D7" s="84">
        <f>HYPERLINK("https://drive.google.com/file/d/1lqXPhN9o-ayC8BgLBvmGYn7pC1ZoGJDF/view?usp=drive_link","▶  Watch")</f>
        <v/>
      </c>
      <c r="E7" s="83" t="inlineStr">
        <is>
          <t>Exam prep session. Open = your Drive copy. (The Zoom cloud-copy link was taken out: a Zoom share link cannot go in a public file.)</t>
        </is>
      </c>
      <c r="F7" s="5" t="n"/>
      <c r="G7" s="5"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5" t="n"/>
      <c r="G8" s="5" t="n"/>
    </row>
    <row r="9">
      <c r="A9" s="85" t="inlineStr">
        <is>
          <t>Exam 1</t>
        </is>
      </c>
      <c r="B9" s="85" t="inlineStr">
        <is>
          <t>Fall 2026</t>
        </is>
      </c>
      <c r="C9" s="86" t="inlineStr">
        <is>
          <t>My materials - Sun 7 Sep 11:14 PM peds exam prep (screen recording)</t>
        </is>
      </c>
      <c r="D9" s="87">
        <f>HYPERLINK("https://drive.google.com/file/d/1JwaR3f16rJ4pRerDYTyBWV3275ec2DCK/view","▶  Watch")</f>
        <v/>
      </c>
      <c r="E9" s="86" t="inlineStr">
        <is>
          <t>Growth and development, medication, pain, practice questions - from the speech index. In the NUR 235 folder</t>
        </is>
      </c>
      <c r="F9" s="5" t="n"/>
      <c r="G9" s="5" t="n"/>
    </row>
    <row r="10">
      <c r="A10" s="85" t="inlineStr">
        <is>
          <t>Exam 1</t>
        </is>
      </c>
      <c r="B10" s="85" t="inlineStr">
        <is>
          <t>Fall 2026</t>
        </is>
      </c>
      <c r="C10" s="86" t="inlineStr">
        <is>
          <t>LSC exam prep - Module 3 - Nursing Care of the Toddler (Wed 17 Sep 2:35 AM screen recording)</t>
        </is>
      </c>
      <c r="D10" s="87">
        <f>HYPERLINK("https://drive.google.com/file/d/1Aj9UzswT3iwPQ9YpN-f-Ca7BmAncXFIh/view","▶  Watch")</f>
        <v/>
      </c>
      <c r="E10" s="86" t="inlineStr">
        <is>
          <t>7 practice questions with Dr Hansen - a second capture of the 35-02 session already in this list - 171 MB</t>
        </is>
      </c>
      <c r="F10" s="5" t="n"/>
      <c r="G10" s="5" t="n"/>
    </row>
    <row r="11">
      <c r="A11" s="85" t="inlineStr">
        <is>
          <t>Exam 1</t>
        </is>
      </c>
      <c r="B11" s="85" t="inlineStr">
        <is>
          <t>Fall 2026</t>
        </is>
      </c>
      <c r="C11" s="86" t="inlineStr">
        <is>
          <t>Module 1 - Intro to peds, hospitalized child, growth and development, immunizations, practice questions (Sun 7 Sep 7:17 PM)</t>
        </is>
      </c>
      <c r="D11" s="87">
        <f>HYPERLINK("https://drive.google.com/file/d/1vx2gy4TweCACMsjHOHIBJhV7xVMkFfDb/view","▶  Watch")</f>
        <v/>
      </c>
      <c r="E11" s="86" t="inlineStr">
        <is>
          <t>Exam prep session (LSC). Screen recording, Sun 7 Sep 7:17 PM. Google's speech index hears 'LSC exam prep' in this one, so the lecturer is confirmed as far as the index can tell</t>
        </is>
      </c>
      <c r="F11" s="5" t="n"/>
      <c r="G11" s="5"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5" t="n"/>
      <c r="G12" s="5" t="n"/>
    </row>
    <row r="13">
      <c r="A13" s="85" t="inlineStr">
        <is>
          <t>Exam 1</t>
        </is>
      </c>
      <c r="B13" s="85" t="inlineStr">
        <is>
          <t>Fall 2026</t>
        </is>
      </c>
      <c r="C13" s="86" t="inlineStr">
        <is>
          <t>Module 2 - Nursing Care of the Infant</t>
        </is>
      </c>
      <c r="D13" s="87">
        <f>HYPERLINK("https://drive.google.com/file/d/1rnhbgdN-mt_4c7fwFVRgm2TXVjH6JVBY/view","▶  Watch")</f>
        <v/>
      </c>
      <c r="E13" s="86" t="inlineStr">
        <is>
          <t>Exam prep session (LSC). LSC exam prep, 70:38</t>
        </is>
      </c>
      <c r="F13" s="5" t="n"/>
      <c r="G13" s="5"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5" t="n"/>
      <c r="G14" s="5" t="n"/>
    </row>
    <row r="15">
      <c r="A15" s="85" t="inlineStr">
        <is>
          <t>Exam 1</t>
        </is>
      </c>
      <c r="B15" s="85" t="inlineStr">
        <is>
          <t>Fall 2026</t>
        </is>
      </c>
      <c r="C15" s="86" t="inlineStr">
        <is>
          <t>Module 3 - Nursing Care of the Preschooler</t>
        </is>
      </c>
      <c r="D15" s="87">
        <f>HYPERLINK("https://drive.google.com/file/d/1rk1Ok5HDNRH6esJ__Z6BV1wZ5MEYUu1f/view","▶  Watch")</f>
        <v/>
      </c>
      <c r="E15" s="86" t="inlineStr">
        <is>
          <t>Exam prep session (LSC). LSC exam prep. A second capture of this one also exists</t>
        </is>
      </c>
      <c r="F15" s="5" t="n"/>
      <c r="G15" s="5"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5" t="n"/>
      <c r="G16" s="5" t="n"/>
    </row>
    <row r="17">
      <c r="A17" s="85" t="inlineStr">
        <is>
          <t>Exam 1</t>
        </is>
      </c>
      <c r="B17" s="85" t="inlineStr">
        <is>
          <t>Fall 2026</t>
        </is>
      </c>
      <c r="C17" s="86" t="inlineStr">
        <is>
          <t>Module 4 - Nursing Care of the Adolescent</t>
        </is>
      </c>
      <c r="D17" s="87">
        <f>HYPERLINK("https://drive.google.com/file/d/1EFH6k3BJu1rk1apemXXIl7p8HGaTZgoL/view","▶  Watch")</f>
        <v/>
      </c>
      <c r="E17" s="86" t="inlineStr">
        <is>
          <t>Exam prep session (LSC). LSC exam prep, 27:26</t>
        </is>
      </c>
      <c r="F17" s="5" t="n"/>
      <c r="G17" s="5" t="n"/>
    </row>
    <row r="18">
      <c r="A18" s="82" t="inlineStr">
        <is>
          <t>Exam 2</t>
        </is>
      </c>
      <c r="B18" s="82" t="inlineStr">
        <is>
          <t>Fall 2026</t>
        </is>
      </c>
      <c r="C18" s="83" t="inlineStr">
        <is>
          <t>Module 5 - Hematological Disorders</t>
        </is>
      </c>
      <c r="D18" s="89">
        <f>HYPERLINK("https://drive.google.com/file/d/1TU_OEMhcr4Z9bKg7Zn7S0Y000iNNdGhI/view","▶  Watch")</f>
        <v/>
      </c>
      <c r="E18" s="83" t="inlineStr">
        <is>
          <t>Exam prep session (LSC). LSC exam prep</t>
        </is>
      </c>
      <c r="F18" s="5" t="n"/>
      <c r="G18" s="5" t="n"/>
    </row>
    <row r="19">
      <c r="A19" s="85" t="inlineStr">
        <is>
          <t>Exam 2</t>
        </is>
      </c>
      <c r="B19" s="85" t="inlineStr">
        <is>
          <t>Fall 2026</t>
        </is>
      </c>
      <c r="C19" s="86" t="inlineStr">
        <is>
          <t>Module 5 - Nursing Care of a Child with a Hematological Disorder</t>
        </is>
      </c>
      <c r="D19" s="90">
        <f>HYPERLINK("https://drive.google.com/file/d/1ZutElS6qcr0W4k79wWJln6AETDy1yFC3/view","▶  Watch")</f>
        <v/>
      </c>
      <c r="E19" s="86" t="inlineStr">
        <is>
          <t>Exam prep session (LSC). NUR235_Fall2026_LSC_Wk05_DayNA_Nursing Care of a Child with a Hematological Disorder.mp4</t>
        </is>
      </c>
      <c r="F19" s="5" t="n"/>
      <c r="G19" s="5" t="n"/>
    </row>
    <row r="20" ht="15.75" customHeight="1" s="115">
      <c r="A20" s="85" t="inlineStr">
        <is>
          <t>Exam 2</t>
        </is>
      </c>
      <c r="B20" s="85" t="inlineStr">
        <is>
          <t>Fall 2026</t>
        </is>
      </c>
      <c r="C20" s="86" t="inlineStr">
        <is>
          <t>Module 5 - Hematology and childhood neoplasms (6 Oct capture, 733 MB)</t>
        </is>
      </c>
      <c r="D20" s="90">
        <f>HYPERLINK("https://drive.google.com/file/d/1d_bEQJjCqnsH9mQIEsl6vRIz2Wh5gZAI/view","▶  Watch")</f>
        <v/>
      </c>
      <c r="E20" s="86" t="inlineStr">
        <is>
          <t>Exam prep session (LSC). Topic from the speech index (leukemia, anemia, transfusion, chemotherapy) - it was filed under NUR 258 Module 6 as "Endocrine II, second capture" until 6 Oct. Open it to confirm.</t>
        </is>
      </c>
      <c r="F20" s="5" t="n"/>
      <c r="G20" s="5" t="n"/>
    </row>
    <row r="21" ht="15.75" customHeight="1" s="115">
      <c r="A21" s="85" t="inlineStr">
        <is>
          <t>Exam 2</t>
        </is>
      </c>
      <c r="B21" s="85" t="inlineStr">
        <is>
          <t>Fall 2026</t>
        </is>
      </c>
      <c r="C21" s="86" t="inlineStr">
        <is>
          <t>Module 6 - Nursing Care of the Child with a Skin Disorder</t>
        </is>
      </c>
      <c r="D21" s="90">
        <f>HYPERLINK("https://drive.google.com/file/d/1v23KrzTLAwGtxZn5XUtCnt8sUoEl7dtH/view","▶  Watch")</f>
        <v/>
      </c>
      <c r="E21" s="86" t="inlineStr">
        <is>
          <t>Exam prep session (LSC), 45:15 on Canvas. Phone capture 6 Oct 2:33 PM (628 MB). A second, smaller capture from the Chrome recorder (119 MB) is in Nursing School Videos too - confirm it is the same session.</t>
        </is>
      </c>
      <c r="F21" s="5" t="n"/>
      <c r="G21" s="5" t="n"/>
    </row>
    <row r="22" ht="15.75" customHeight="1" s="115">
      <c r="A22" s="85" t="inlineStr">
        <is>
          <t>Exam 2</t>
        </is>
      </c>
      <c r="B22" s="85" t="inlineStr">
        <is>
          <t>Fall 2026</t>
        </is>
      </c>
      <c r="C22" s="86" t="inlineStr">
        <is>
          <t>Module 6 - Nursing Care of the Child with an Infectious Disease</t>
        </is>
      </c>
      <c r="D22" s="90">
        <f>HYPERLINK("https://drive.google.com/file/d/1hYPinVqhDUC1nPBB_78UnpIsRPrmFLDs/view","▶  Watch")</f>
        <v/>
      </c>
      <c r="E22" s="86" t="inlineStr">
        <is>
          <t>Exam prep session (LSC), 15:57 on Canvas. Phone capture 6 Oct 2:50 PM (288 MB). A second, smaller capture from the Chrome recorder (75 MB) is in Nursing School Videos too - confirm it is the same session.</t>
        </is>
      </c>
      <c r="F22" s="5" t="n"/>
    </row>
    <row r="23" ht="15.75" customHeight="1" s="115">
      <c r="A23" s="85" t="inlineStr">
        <is>
          <t>Exam 2</t>
        </is>
      </c>
      <c r="B23" s="85" t="inlineStr">
        <is>
          <t>Fall 2026</t>
        </is>
      </c>
      <c r="C23" s="86" t="inlineStr">
        <is>
          <t>My materials - Mon 5 Oct 9:16 PM child with fever and rash (PC screen recording, 337 MB)</t>
        </is>
      </c>
      <c r="D23" s="90">
        <f>HYPERLINK("https://drive.google.com/file/d/13KdLKVd8dTaWr4GP9DOFYtWoFRQaNyba/view","▶  Watch")</f>
        <v/>
      </c>
      <c r="E23" s="86" t="inlineStr">
        <is>
          <t>Topic from the speech index (child, fever, rash). Probably the Module 6 Immune or Infectious exam prep - open it and tell me.</t>
        </is>
      </c>
      <c r="F23" s="5" t="n"/>
    </row>
    <row r="24" ht="15.75" customHeight="1" s="115">
      <c r="A24" s="82" t="inlineStr">
        <is>
          <t>Exam 3</t>
        </is>
      </c>
      <c r="B24" s="82" t="n"/>
      <c r="C24" s="83" t="n"/>
      <c r="D24" s="83" t="n"/>
      <c r="E24" s="83" t="n"/>
      <c r="F24" s="5" t="n"/>
      <c r="G24" s="5" t="n"/>
    </row>
    <row r="25" ht="15.75" customHeight="1" s="115">
      <c r="A25" s="85" t="inlineStr">
        <is>
          <t>Exam 3</t>
        </is>
      </c>
      <c r="B25" s="85" t="n"/>
      <c r="C25" s="86" t="n"/>
      <c r="D25" s="86" t="n"/>
      <c r="E25" s="86" t="n"/>
      <c r="F25" s="5" t="n"/>
      <c r="G25" s="5" t="n"/>
    </row>
    <row r="26" ht="15.75" customHeight="1" s="115">
      <c r="A26" s="82" t="inlineStr">
        <is>
          <t>Exam 3</t>
        </is>
      </c>
      <c r="B26" s="82" t="n"/>
      <c r="C26" s="83" t="n"/>
      <c r="D26" s="83" t="n"/>
      <c r="E26" s="83" t="n"/>
      <c r="F26" s="5" t="n"/>
      <c r="G26" s="5" t="n"/>
    </row>
    <row r="27" ht="15.75" customHeight="1" s="115">
      <c r="A27" s="85" t="inlineStr">
        <is>
          <t>Exam 3</t>
        </is>
      </c>
      <c r="B27" s="85" t="n"/>
      <c r="C27" s="86" t="n"/>
      <c r="D27" s="86" t="n"/>
      <c r="E27" s="86" t="n"/>
      <c r="F27" s="5" t="n"/>
      <c r="G27" s="5" t="n"/>
    </row>
    <row r="28" ht="15.75" customHeight="1" s="115">
      <c r="A28" s="82" t="inlineStr">
        <is>
          <t>FINAL</t>
        </is>
      </c>
      <c r="B28" s="82" t="n"/>
      <c r="C28" s="83" t="n"/>
      <c r="D28" s="83" t="n"/>
      <c r="E28" s="83" t="n"/>
      <c r="F28" s="5" t="n"/>
      <c r="G28" s="5" t="n"/>
    </row>
    <row r="29" ht="15.75" customHeight="1" s="115">
      <c r="A29" s="85" t="inlineStr">
        <is>
          <t>FINAL</t>
        </is>
      </c>
      <c r="B29" s="85" t="n"/>
      <c r="C29" s="86" t="n"/>
      <c r="D29" s="86" t="n"/>
      <c r="E29" s="86" t="n"/>
      <c r="F29" s="5" t="n"/>
      <c r="G29" s="5" t="n"/>
    </row>
    <row r="30" ht="15.75" customHeight="1" s="115">
      <c r="A30" s="82" t="inlineStr">
        <is>
          <t>FINAL</t>
        </is>
      </c>
      <c r="B30" s="82" t="n"/>
      <c r="C30" s="83" t="inlineStr">
        <is>
          <t>Review session recording</t>
        </is>
      </c>
      <c r="D30" s="84">
        <f>HYPERLINK("https://drive.google.com/file/d/1Xd7riWCGJ-FYd7Jt2c7Q50Hz92ww5hpw/view","▶  Watch")</f>
        <v/>
      </c>
      <c r="E30" s="83" t="inlineStr">
        <is>
          <t>NUR235 final review.mp4 - presenter not named in the file</t>
        </is>
      </c>
      <c r="F30" s="5" t="n"/>
      <c r="G30" s="5" t="n"/>
    </row>
    <row r="31" ht="15.75" customHeight="1" s="115">
      <c r="A31" s="85" t="inlineStr">
        <is>
          <t>FINAL</t>
        </is>
      </c>
      <c r="B31" s="85" t="n"/>
      <c r="C31" s="86" t="inlineStr">
        <is>
          <t>Other / my materials</t>
        </is>
      </c>
      <c r="D31" s="86" t="n"/>
      <c r="E31" s="86" t="n"/>
      <c r="F31" s="5" t="n"/>
      <c r="G31" s="5" t="n"/>
    </row>
    <row r="32" ht="15.75" customHeight="1" s="115">
      <c r="A32" s="85" t="inlineStr">
        <is>
          <t>Exam 2</t>
        </is>
      </c>
      <c r="B32" s="85" t="inlineStr">
        <is>
          <t>Fall 2026</t>
        </is>
      </c>
      <c r="C32" s="86" t="inlineStr">
        <is>
          <t>Module 7 - Nursing Care of the Child with a Neurological Disorder</t>
        </is>
      </c>
      <c r="D32" s="90">
        <f>HYPERLINK("https://drive.google.com/file/d/1jMWRv0uxjAs2bSEjTdwAacSD7E8QFLEz/view","▶  Watch")</f>
        <v/>
      </c>
      <c r="E32" s="86" t="inlineStr">
        <is>
          <t>LSC exam prep. Screen recording uploaded 12 Oct.</t>
        </is>
      </c>
      <c r="F32" s="5" t="n"/>
      <c r="G32" s="5" t="n"/>
    </row>
    <row r="33" ht="15.75" customHeight="1" s="115">
      <c r="A33" s="85" t="inlineStr">
        <is>
          <t>Exam 2</t>
        </is>
      </c>
      <c r="B33" s="85" t="inlineStr">
        <is>
          <t>Fall 2026</t>
        </is>
      </c>
      <c r="C33" s="86" t="inlineStr">
        <is>
          <t>My materials - Tue 13 Oct 4:27 PM pediatric neurologic disorders (PC recording, 378 MB)</t>
        </is>
      </c>
      <c r="D33" s="90">
        <f>HYPERLINK("https://drive.google.com/file/d/1VzQ-fvdMpID-Bdfuj0AapURhCUkqCNc7/view","▶  Watch")</f>
        <v/>
      </c>
      <c r="E33" s="86" t="inlineStr">
        <is>
          <t>Topic from the speech index (Parkinson, seizure, cerebral palsy, shunt, neurological). Probably a Module 7 class or exam prep session - open it to confirm. NUR235_Fall2026_Unknown_Wk07_DayNA_Tue 13 Oct 4-27 PM - Pediatric neurologic disorders, PC recording (topic from the speech index).mp4</t>
        </is>
      </c>
      <c r="F33" s="5" t="n"/>
      <c r="G33" s="5" t="n"/>
    </row>
    <row r="34" ht="15.75" customHeight="1" s="115">
      <c r="A34" s="91" t="n"/>
      <c r="B34" s="91" t="n"/>
      <c r="C34" s="91" t="n"/>
      <c r="D34" s="91" t="n"/>
      <c r="E34" s="91" t="n"/>
      <c r="F34" s="5" t="n"/>
      <c r="G34" s="5" t="n"/>
    </row>
    <row r="35" ht="15.75" customHeight="1" s="115">
      <c r="A35" s="91" t="n"/>
      <c r="B35" s="91" t="n"/>
      <c r="C35" s="91" t="n"/>
      <c r="D35" s="91" t="n"/>
      <c r="E35" s="91" t="n"/>
      <c r="F35" s="5" t="n"/>
      <c r="G35" s="5" t="n"/>
    </row>
    <row r="36" ht="15.75" customHeight="1" s="115">
      <c r="A36" s="91" t="n"/>
      <c r="B36" s="91" t="n"/>
      <c r="C36" s="91" t="n"/>
      <c r="D36" s="91" t="n"/>
      <c r="E36" s="91" t="n"/>
      <c r="F36" s="5" t="n"/>
      <c r="G36" s="5" t="n"/>
    </row>
    <row r="37" ht="15.75" customHeight="1" s="115">
      <c r="A37" s="91" t="n"/>
      <c r="B37" s="91" t="n"/>
      <c r="C37" s="91" t="n"/>
      <c r="D37" s="91" t="n"/>
      <c r="E37" s="91" t="n"/>
      <c r="F37" s="5" t="n"/>
      <c r="G37" s="5" t="n"/>
    </row>
    <row r="38" ht="15.75" customHeight="1" s="115">
      <c r="A38" s="91" t="n"/>
      <c r="B38" s="91" t="n"/>
      <c r="C38" s="91" t="n"/>
      <c r="D38" s="91" t="n"/>
      <c r="E38" s="91" t="n"/>
      <c r="F38" s="5" t="n"/>
      <c r="G38" s="5" t="n"/>
    </row>
    <row r="39" ht="15.75" customHeight="1" s="115">
      <c r="A39" s="91" t="n"/>
      <c r="B39" s="91" t="n"/>
      <c r="C39" s="91" t="n"/>
      <c r="D39" s="91" t="n"/>
      <c r="E39" s="91" t="n"/>
      <c r="F39" s="5" t="n"/>
      <c r="G39" s="5"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row>
    <row r="72" ht="15.75" customHeight="1" s="115">
      <c r="A72" s="5" t="n"/>
      <c r="B72" s="5" t="n"/>
      <c r="C72" s="5" t="n"/>
      <c r="D72" s="5" t="n"/>
      <c r="E72" s="5" t="n"/>
      <c r="F72" s="5" t="n"/>
    </row>
    <row r="73" ht="15.75" customHeight="1" s="115">
      <c r="A73" s="5" t="n"/>
      <c r="B73" s="5" t="n"/>
      <c r="C73" s="5" t="n"/>
      <c r="D73" s="5" t="n"/>
      <c r="E73" s="5" t="n"/>
      <c r="F73" s="5" t="n"/>
    </row>
    <row r="74" ht="15.75" customHeight="1" s="115">
      <c r="A74" s="5" t="n"/>
      <c r="B74" s="5" t="n"/>
      <c r="C74" s="5" t="n"/>
      <c r="D74" s="5" t="n"/>
      <c r="E74" s="5" t="n"/>
      <c r="F74" s="5" t="n"/>
    </row>
    <row r="75" ht="15.75" customHeight="1" s="115">
      <c r="A75" s="5" t="n"/>
      <c r="B75" s="5" t="n"/>
      <c r="C75" s="5" t="n"/>
      <c r="D75" s="5" t="n"/>
      <c r="E75" s="5" t="n"/>
      <c r="F75" s="5" t="n"/>
    </row>
    <row r="76" ht="15.75" customHeight="1" s="115">
      <c r="A76" s="5" t="n"/>
      <c r="B76" s="5" t="n"/>
      <c r="C76" s="5" t="n"/>
      <c r="D76" s="5" t="n"/>
      <c r="E76" s="5" t="n"/>
      <c r="F76" s="5" t="n"/>
    </row>
    <row r="77" ht="15.75" customHeight="1" s="115">
      <c r="A77" s="5" t="n"/>
      <c r="B77" s="5" t="n"/>
      <c r="C77" s="5" t="n"/>
      <c r="D77" s="5" t="n"/>
      <c r="E77" s="5" t="n"/>
      <c r="F77" s="5" t="n"/>
    </row>
    <row r="78" ht="15.75" customHeight="1" s="115">
      <c r="A78" s="5" t="n"/>
      <c r="B78" s="5" t="n"/>
      <c r="C78" s="5" t="n"/>
      <c r="D78" s="5" t="n"/>
      <c r="E78" s="5" t="n"/>
      <c r="F78" s="5" t="n"/>
    </row>
    <row r="79" ht="15.75" customHeight="1" s="115">
      <c r="A79" s="5" t="n"/>
      <c r="B79" s="5" t="n"/>
      <c r="C79" s="5" t="n"/>
      <c r="D79" s="5" t="n"/>
      <c r="E79" s="5" t="n"/>
      <c r="F79" s="5" t="n"/>
    </row>
    <row r="80" ht="15.75" customHeight="1" s="115">
      <c r="A80" s="5" t="n"/>
      <c r="B80" s="5" t="n"/>
      <c r="C80" s="5" t="n"/>
      <c r="D80" s="5" t="n"/>
      <c r="E80" s="5" t="n"/>
      <c r="F80" s="5" t="n"/>
    </row>
    <row r="81" ht="15.75" customHeight="1" s="115">
      <c r="A81" s="5" t="n"/>
      <c r="B81" s="5" t="n"/>
      <c r="C81" s="5" t="n"/>
      <c r="D81" s="5" t="n"/>
      <c r="E81" s="5" t="n"/>
      <c r="F81" s="5" t="n"/>
    </row>
    <row r="82" ht="15.75" customHeight="1" s="115">
      <c r="A82" s="5" t="n"/>
      <c r="B82" s="5" t="n"/>
      <c r="C82" s="5" t="n"/>
      <c r="D82" s="5" t="n"/>
      <c r="E82" s="5" t="n"/>
      <c r="F82" s="5" t="n"/>
    </row>
    <row r="83" ht="15.75" customHeight="1" s="115">
      <c r="A83" s="5" t="n"/>
      <c r="B83" s="5" t="n"/>
      <c r="C83" s="5" t="n"/>
      <c r="D83" s="5" t="n"/>
      <c r="E83" s="5" t="n"/>
      <c r="F83" s="5" t="n"/>
    </row>
    <row r="84" ht="15.75" customHeight="1" s="115">
      <c r="A84" s="5" t="n"/>
      <c r="B84" s="5" t="n"/>
      <c r="C84" s="5" t="n"/>
      <c r="D84" s="5" t="n"/>
      <c r="E84" s="5" t="n"/>
      <c r="F84" s="5" t="n"/>
    </row>
    <row r="85" ht="15.75" customHeight="1" s="115">
      <c r="A85" s="5" t="n"/>
      <c r="B85" s="5" t="n"/>
      <c r="C85" s="5" t="n"/>
      <c r="D85" s="5" t="n"/>
      <c r="E85" s="5" t="n"/>
      <c r="F85" s="5" t="n"/>
    </row>
    <row r="86" ht="15.75" customHeight="1" s="115">
      <c r="A86" s="5" t="n"/>
      <c r="B86" s="5" t="n"/>
      <c r="C86" s="5" t="n"/>
      <c r="D86" s="5" t="n"/>
      <c r="E86" s="5" t="n"/>
      <c r="F86" s="5" t="n"/>
    </row>
    <row r="87" ht="15.75" customHeight="1" s="115">
      <c r="A87" s="5" t="n"/>
      <c r="B87" s="5" t="n"/>
      <c r="C87" s="5" t="n"/>
      <c r="D87" s="5" t="n"/>
      <c r="E87" s="5" t="n"/>
      <c r="F87" s="5" t="n"/>
    </row>
    <row r="88" ht="15.75" customHeight="1" s="115">
      <c r="A88" s="5" t="n"/>
      <c r="B88" s="5" t="n"/>
      <c r="C88" s="5" t="n"/>
      <c r="D88" s="5" t="n"/>
      <c r="E88" s="5" t="n"/>
      <c r="F88" s="5" t="n"/>
    </row>
    <row r="89" ht="15.75" customHeight="1" s="115">
      <c r="A89" s="5" t="n"/>
      <c r="B89" s="5" t="n"/>
      <c r="C89" s="5" t="n"/>
      <c r="D89" s="5" t="n"/>
      <c r="E89" s="5" t="n"/>
      <c r="F89" s="5" t="n"/>
    </row>
    <row r="90" ht="15.75" customHeight="1" s="115">
      <c r="A90" s="5" t="n"/>
      <c r="B90" s="5" t="n"/>
      <c r="C90" s="5" t="n"/>
      <c r="D90" s="5" t="n"/>
      <c r="E90" s="5" t="n"/>
      <c r="F90" s="5" t="n"/>
    </row>
    <row r="91" ht="15.75" customHeight="1" s="115">
      <c r="A91" s="5" t="n"/>
      <c r="B91" s="5" t="n"/>
      <c r="C91" s="5" t="n"/>
      <c r="D91" s="5" t="n"/>
      <c r="E91" s="5" t="n"/>
      <c r="F91" s="5" t="n"/>
    </row>
    <row r="92" ht="15.75" customHeight="1" s="115">
      <c r="A92" s="5" t="n"/>
      <c r="B92" s="5" t="n"/>
      <c r="C92" s="5" t="n"/>
      <c r="D92" s="5" t="n"/>
      <c r="E92" s="5" t="n"/>
      <c r="F92" s="5" t="n"/>
    </row>
    <row r="93" ht="15.75" customHeight="1" s="115">
      <c r="A93" s="5" t="n"/>
      <c r="B93" s="5" t="n"/>
      <c r="C93" s="5" t="n"/>
      <c r="D93" s="5" t="n"/>
      <c r="E93" s="5" t="n"/>
      <c r="F93" s="5" t="n"/>
    </row>
    <row r="94" ht="15.75" customHeight="1" s="115">
      <c r="A94" s="5" t="n"/>
      <c r="B94" s="5" t="n"/>
      <c r="C94" s="5" t="n"/>
      <c r="D94" s="5" t="n"/>
      <c r="E94" s="5" t="n"/>
      <c r="F94" s="5" t="n"/>
    </row>
    <row r="95" ht="15.75" customHeight="1" s="115">
      <c r="A95" s="5" t="n"/>
      <c r="B95" s="5" t="n"/>
      <c r="C95" s="5" t="n"/>
      <c r="D95" s="5" t="n"/>
      <c r="E95" s="5" t="n"/>
      <c r="F95" s="5" t="n"/>
    </row>
    <row r="96" ht="15.75" customHeight="1" s="115">
      <c r="A96" s="5" t="n"/>
      <c r="B96" s="5" t="n"/>
      <c r="C96" s="5" t="n"/>
      <c r="D96" s="5" t="n"/>
      <c r="E96" s="5" t="n"/>
      <c r="F96" s="5" t="n"/>
    </row>
    <row r="97" ht="15.75" customHeight="1" s="115">
      <c r="A97" s="5" t="n"/>
      <c r="B97" s="5" t="n"/>
      <c r="C97" s="5" t="n"/>
      <c r="D97" s="5" t="n"/>
      <c r="E97" s="5" t="n"/>
      <c r="F97" s="5" t="n"/>
    </row>
    <row r="98" ht="15.75" customHeight="1" s="115">
      <c r="A98" s="5" t="n"/>
      <c r="B98" s="5" t="n"/>
      <c r="C98" s="5" t="n"/>
      <c r="D98" s="5" t="n"/>
      <c r="E98" s="5" t="n"/>
      <c r="F98" s="5" t="n"/>
    </row>
    <row r="99" ht="15.75" customHeight="1" s="115">
      <c r="A99" s="5" t="n"/>
      <c r="B99" s="5" t="n"/>
      <c r="C99" s="5" t="n"/>
      <c r="D99" s="5" t="n"/>
      <c r="E99" s="5" t="n"/>
      <c r="F99" s="5" t="n"/>
    </row>
    <row r="100" ht="15.75" customHeight="1" s="115">
      <c r="A100" s="5" t="n"/>
      <c r="B100" s="5" t="n"/>
      <c r="C100" s="5" t="n"/>
      <c r="D100" s="5" t="n"/>
      <c r="E100" s="5" t="n"/>
      <c r="F100" s="5" t="n"/>
    </row>
    <row r="101" ht="15.75" customHeight="1" s="115">
      <c r="A101" s="5" t="n"/>
      <c r="B101" s="5" t="n"/>
      <c r="C101" s="5" t="n"/>
      <c r="D101" s="5" t="n"/>
      <c r="E101" s="5" t="n"/>
      <c r="F101" s="5" t="n"/>
    </row>
    <row r="102" ht="15.75" customHeight="1" s="115">
      <c r="A102" s="5" t="n"/>
      <c r="B102" s="5" t="n"/>
      <c r="C102" s="5" t="n"/>
      <c r="D102" s="5" t="n"/>
      <c r="E102" s="5" t="n"/>
      <c r="F102" s="5" t="n"/>
    </row>
    <row r="103" ht="15.75" customHeight="1" s="115">
      <c r="A103" s="5" t="n"/>
      <c r="B103" s="5" t="n"/>
      <c r="C103" s="5" t="n"/>
      <c r="D103" s="5" t="n"/>
      <c r="E103" s="5" t="n"/>
      <c r="F103" s="5" t="n"/>
    </row>
    <row r="104" ht="15.75" customHeight="1" s="115">
      <c r="A104" s="5" t="n"/>
      <c r="B104" s="5" t="n"/>
      <c r="C104" s="5" t="n"/>
      <c r="D104" s="5" t="n"/>
      <c r="E104" s="5" t="n"/>
      <c r="F104" s="5" t="n"/>
    </row>
    <row r="105" ht="15.75" customHeight="1" s="115">
      <c r="A105" s="5" t="n"/>
      <c r="B105" s="5" t="n"/>
      <c r="C105" s="5" t="n"/>
      <c r="D105" s="5" t="n"/>
      <c r="E105" s="5" t="n"/>
      <c r="F105" s="5" t="n"/>
    </row>
    <row r="106" ht="15.75" customHeight="1" s="115">
      <c r="A106" s="5" t="n"/>
      <c r="B106" s="5" t="n"/>
      <c r="C106" s="5" t="n"/>
      <c r="D106" s="5" t="n"/>
      <c r="E106" s="5" t="n"/>
      <c r="F106" s="5" t="n"/>
    </row>
    <row r="107" ht="15.75" customHeight="1" s="115">
      <c r="A107" s="5" t="n"/>
      <c r="B107" s="5" t="n"/>
      <c r="C107" s="5" t="n"/>
      <c r="D107" s="5" t="n"/>
      <c r="E107" s="5" t="n"/>
      <c r="F107" s="5" t="n"/>
    </row>
    <row r="108" ht="15.75" customHeight="1" s="115">
      <c r="A108" s="5" t="n"/>
      <c r="B108" s="5" t="n"/>
      <c r="C108" s="5" t="n"/>
      <c r="D108" s="5" t="n"/>
      <c r="E108" s="5" t="n"/>
      <c r="F108" s="5" t="n"/>
    </row>
    <row r="109" ht="15.75" customHeight="1" s="115">
      <c r="A109" s="5" t="n"/>
      <c r="B109" s="5" t="n"/>
      <c r="C109" s="5" t="n"/>
      <c r="D109" s="5" t="n"/>
      <c r="E109" s="5" t="n"/>
      <c r="F109" s="5" t="n"/>
    </row>
    <row r="110" ht="15.75" customHeight="1" s="115">
      <c r="A110" s="5" t="n"/>
      <c r="B110" s="5" t="n"/>
      <c r="C110" s="5" t="n"/>
      <c r="D110" s="5" t="n"/>
      <c r="E110" s="5" t="n"/>
      <c r="F110" s="5" t="n"/>
    </row>
    <row r="111" ht="15.75" customHeight="1" s="115">
      <c r="A111" s="5" t="n"/>
      <c r="B111" s="5" t="n"/>
      <c r="C111" s="5" t="n"/>
      <c r="D111" s="5" t="n"/>
      <c r="E111" s="5" t="n"/>
      <c r="F111" s="5" t="n"/>
    </row>
    <row r="112" ht="15.75" customHeight="1" s="115">
      <c r="A112" s="5" t="n"/>
      <c r="B112" s="5" t="n"/>
      <c r="C112" s="5" t="n"/>
      <c r="D112" s="5" t="n"/>
      <c r="E112" s="5" t="n"/>
      <c r="F112" s="5" t="n"/>
    </row>
    <row r="113" ht="15.75" customHeight="1" s="115">
      <c r="A113" s="5" t="n"/>
      <c r="B113" s="5" t="n"/>
      <c r="C113" s="5" t="n"/>
      <c r="D113" s="5" t="n"/>
      <c r="E113" s="5" t="n"/>
      <c r="F113" s="5" t="n"/>
    </row>
    <row r="114" ht="15.75" customHeight="1" s="115">
      <c r="A114" s="5" t="n"/>
      <c r="B114" s="5" t="n"/>
      <c r="C114" s="5" t="n"/>
      <c r="D114" s="5" t="n"/>
      <c r="E114" s="5" t="n"/>
      <c r="F114" s="5" t="n"/>
    </row>
    <row r="115" ht="15.75" customHeight="1" s="115">
      <c r="A115" s="5" t="n"/>
      <c r="B115" s="5" t="n"/>
      <c r="C115" s="5" t="n"/>
      <c r="D115" s="5" t="n"/>
      <c r="E115" s="5" t="n"/>
      <c r="F115" s="5" t="n"/>
    </row>
    <row r="116" ht="15.75" customHeight="1" s="115">
      <c r="A116" s="5" t="n"/>
      <c r="B116" s="5" t="n"/>
      <c r="C116" s="5" t="n"/>
      <c r="D116" s="5" t="n"/>
      <c r="E116" s="5" t="n"/>
      <c r="F116" s="5" t="n"/>
    </row>
    <row r="117" ht="15.75" customHeight="1" s="115">
      <c r="A117" s="5" t="n"/>
      <c r="B117" s="5" t="n"/>
      <c r="C117" s="5" t="n"/>
      <c r="D117" s="5" t="n"/>
      <c r="E117" s="5" t="n"/>
      <c r="F117" s="5" t="n"/>
    </row>
    <row r="118" ht="15.75" customHeight="1" s="115">
      <c r="A118" s="5" t="n"/>
      <c r="B118" s="5" t="n"/>
      <c r="C118" s="5" t="n"/>
      <c r="D118" s="5" t="n"/>
      <c r="E118" s="5" t="n"/>
      <c r="F118" s="5" t="n"/>
    </row>
    <row r="119" ht="15.75" customHeight="1" s="115">
      <c r="A119" s="5" t="n"/>
      <c r="B119" s="5" t="n"/>
      <c r="C119" s="5" t="n"/>
      <c r="D119" s="5" t="n"/>
      <c r="E119" s="5" t="n"/>
      <c r="F119" s="5" t="n"/>
    </row>
    <row r="120" ht="15.75" customHeight="1" s="115">
      <c r="A120" s="5" t="n"/>
      <c r="B120" s="5" t="n"/>
      <c r="C120" s="5" t="n"/>
      <c r="D120" s="5" t="n"/>
      <c r="E120" s="5" t="n"/>
      <c r="F120" s="5" t="n"/>
    </row>
    <row r="121" ht="15.75" customHeight="1" s="115">
      <c r="A121" s="5" t="n"/>
      <c r="B121" s="5" t="n"/>
      <c r="C121" s="5" t="n"/>
      <c r="D121" s="5" t="n"/>
      <c r="E121" s="5" t="n"/>
      <c r="F121" s="5" t="n"/>
    </row>
    <row r="122" ht="15.75" customHeight="1" s="115">
      <c r="A122" s="5" t="n"/>
      <c r="B122" s="5" t="n"/>
      <c r="C122" s="5" t="n"/>
      <c r="D122" s="5" t="n"/>
      <c r="E122" s="5" t="n"/>
      <c r="F122" s="5" t="n"/>
    </row>
    <row r="123" ht="15.75" customHeight="1" s="115">
      <c r="A123" s="5" t="n"/>
      <c r="B123" s="5" t="n"/>
      <c r="C123" s="5" t="n"/>
      <c r="D123" s="5" t="n"/>
      <c r="E123" s="5" t="n"/>
      <c r="F123" s="5" t="n"/>
    </row>
    <row r="124" ht="15.75" customHeight="1" s="115">
      <c r="A124" s="5" t="n"/>
      <c r="B124" s="5" t="n"/>
      <c r="C124" s="5" t="n"/>
      <c r="D124" s="5" t="n"/>
      <c r="E124" s="5" t="n"/>
      <c r="F124" s="5" t="n"/>
    </row>
    <row r="125" ht="15.75" customHeight="1" s="115">
      <c r="A125" s="5" t="n"/>
      <c r="B125" s="5" t="n"/>
      <c r="C125" s="5" t="n"/>
      <c r="D125" s="5" t="n"/>
      <c r="E125" s="5" t="n"/>
      <c r="F125" s="5" t="n"/>
    </row>
    <row r="126" ht="15.75" customHeight="1" s="115">
      <c r="A126" s="5" t="n"/>
      <c r="B126" s="5" t="n"/>
      <c r="C126" s="5" t="n"/>
      <c r="D126" s="5" t="n"/>
      <c r="E126" s="5" t="n"/>
      <c r="F126" s="5" t="n"/>
    </row>
    <row r="127" ht="15.75" customHeight="1" s="115">
      <c r="A127" s="5" t="n"/>
      <c r="B127" s="5" t="n"/>
      <c r="C127" s="5" t="n"/>
      <c r="D127" s="5" t="n"/>
      <c r="E127" s="5" t="n"/>
      <c r="F127" s="5" t="n"/>
    </row>
    <row r="128" ht="15.75" customHeight="1" s="115">
      <c r="A128" s="5" t="n"/>
      <c r="B128" s="5" t="n"/>
      <c r="C128" s="5" t="n"/>
      <c r="D128" s="5" t="n"/>
      <c r="E128" s="5" t="n"/>
      <c r="F128" s="5" t="n"/>
    </row>
    <row r="129" ht="15.75" customHeight="1" s="115">
      <c r="A129" s="5" t="n"/>
      <c r="B129" s="5" t="n"/>
      <c r="C129" s="5" t="n"/>
      <c r="D129" s="5" t="n"/>
      <c r="E129" s="5" t="n"/>
      <c r="F129" s="5" t="n"/>
    </row>
    <row r="130" ht="15.75" customHeight="1" s="115">
      <c r="A130" s="5" t="n"/>
      <c r="B130" s="5" t="n"/>
      <c r="C130" s="5" t="n"/>
      <c r="D130" s="5" t="n"/>
      <c r="E130" s="5" t="n"/>
      <c r="F130" s="5" t="n"/>
    </row>
    <row r="131" ht="15.75" customHeight="1" s="115">
      <c r="A131" s="5" t="n"/>
      <c r="B131" s="5" t="n"/>
      <c r="C131" s="5" t="n"/>
      <c r="D131" s="5" t="n"/>
      <c r="E131" s="5" t="n"/>
      <c r="F131" s="5" t="n"/>
    </row>
    <row r="132" ht="15.75" customHeight="1" s="115">
      <c r="A132" s="5" t="n"/>
      <c r="B132" s="5" t="n"/>
      <c r="C132" s="5" t="n"/>
      <c r="D132" s="5" t="n"/>
      <c r="E132" s="5" t="n"/>
      <c r="F132" s="5" t="n"/>
    </row>
    <row r="133" ht="15.75" customHeight="1" s="115">
      <c r="A133" s="5" t="n"/>
      <c r="B133" s="5" t="n"/>
      <c r="C133" s="5" t="n"/>
      <c r="D133" s="5" t="n"/>
      <c r="E133" s="5" t="n"/>
      <c r="F133" s="5" t="n"/>
    </row>
    <row r="134" ht="15.75" customHeight="1" s="115">
      <c r="A134" s="5" t="n"/>
      <c r="B134" s="5" t="n"/>
      <c r="C134" s="5" t="n"/>
      <c r="D134" s="5" t="n"/>
      <c r="E134" s="5" t="n"/>
      <c r="F134" s="5" t="n"/>
    </row>
    <row r="135" ht="15.75" customHeight="1" s="115">
      <c r="A135" s="5" t="n"/>
      <c r="B135" s="5" t="n"/>
      <c r="C135" s="5" t="n"/>
      <c r="D135" s="5" t="n"/>
      <c r="E135" s="5" t="n"/>
      <c r="F135" s="5" t="n"/>
    </row>
    <row r="136" ht="15.75" customHeight="1" s="115">
      <c r="A136" s="5" t="n"/>
      <c r="B136" s="5" t="n"/>
      <c r="C136" s="5" t="n"/>
      <c r="D136" s="5" t="n"/>
      <c r="E136" s="5" t="n"/>
      <c r="F136" s="5" t="n"/>
    </row>
    <row r="137" ht="15.75" customHeight="1" s="115">
      <c r="A137" s="5" t="n"/>
      <c r="B137" s="5" t="n"/>
      <c r="C137" s="5" t="n"/>
      <c r="D137" s="5" t="n"/>
      <c r="E137" s="5" t="n"/>
      <c r="F137" s="5" t="n"/>
    </row>
    <row r="138" ht="15.75" customHeight="1" s="115">
      <c r="A138" s="5" t="n"/>
      <c r="B138" s="5" t="n"/>
      <c r="C138" s="5" t="n"/>
      <c r="D138" s="5" t="n"/>
      <c r="E138" s="5" t="n"/>
      <c r="F138" s="5" t="n"/>
    </row>
    <row r="139" ht="15.75" customHeight="1" s="115">
      <c r="A139" s="5" t="n"/>
      <c r="B139" s="5" t="n"/>
      <c r="C139" s="5" t="n"/>
      <c r="D139" s="5" t="n"/>
      <c r="E139" s="5" t="n"/>
      <c r="F139" s="5" t="n"/>
    </row>
    <row r="140" ht="15.75" customHeight="1" s="115">
      <c r="A140" s="5" t="n"/>
      <c r="B140" s="5" t="n"/>
      <c r="C140" s="5" t="n"/>
      <c r="D140" s="5" t="n"/>
      <c r="E140" s="5" t="n"/>
      <c r="F140" s="5" t="n"/>
    </row>
    <row r="141" ht="15.75" customHeight="1" s="115">
      <c r="A141" s="5" t="n"/>
      <c r="B141" s="5" t="n"/>
      <c r="C141" s="5" t="n"/>
      <c r="D141" s="5" t="n"/>
      <c r="E141" s="5" t="n"/>
      <c r="F141" s="5" t="n"/>
    </row>
    <row r="142" ht="15.75" customHeight="1" s="115">
      <c r="A142" s="5" t="n"/>
      <c r="B142" s="5" t="n"/>
      <c r="C142" s="5" t="n"/>
      <c r="D142" s="5" t="n"/>
      <c r="E142" s="5" t="n"/>
      <c r="F142" s="5" t="n"/>
    </row>
    <row r="143" ht="15.75" customHeight="1" s="115">
      <c r="A143" s="5" t="n"/>
      <c r="B143" s="5" t="n"/>
      <c r="C143" s="5" t="n"/>
      <c r="D143" s="5" t="n"/>
      <c r="E143" s="5" t="n"/>
      <c r="F143" s="5" t="n"/>
    </row>
    <row r="144" ht="15.75" customHeight="1" s="115">
      <c r="A144" s="5" t="n"/>
      <c r="B144" s="5" t="n"/>
      <c r="C144" s="5" t="n"/>
      <c r="D144" s="5" t="n"/>
      <c r="E144" s="5" t="n"/>
      <c r="F144" s="5" t="n"/>
    </row>
    <row r="145" ht="15.75" customHeight="1" s="115">
      <c r="A145" s="5" t="n"/>
      <c r="B145" s="5" t="n"/>
      <c r="C145" s="5" t="n"/>
      <c r="D145" s="5" t="n"/>
      <c r="E145" s="5" t="n"/>
      <c r="F145" s="5" t="n"/>
    </row>
    <row r="146" ht="15.75" customHeight="1" s="115">
      <c r="A146" s="5" t="n"/>
      <c r="B146" s="5" t="n"/>
      <c r="C146" s="5" t="n"/>
      <c r="D146" s="5" t="n"/>
      <c r="E146" s="5" t="n"/>
      <c r="F146" s="5" t="n"/>
    </row>
    <row r="147" ht="15.75" customHeight="1" s="115">
      <c r="A147" s="5" t="n"/>
      <c r="B147" s="5" t="n"/>
      <c r="C147" s="5" t="n"/>
      <c r="D147" s="5" t="n"/>
      <c r="E147" s="5" t="n"/>
      <c r="F147" s="5" t="n"/>
    </row>
    <row r="148" ht="15.75" customHeight="1" s="115">
      <c r="A148" s="5" t="n"/>
      <c r="B148" s="5" t="n"/>
      <c r="C148" s="5" t="n"/>
      <c r="D148" s="5" t="n"/>
      <c r="E148" s="5" t="n"/>
      <c r="F148" s="5" t="n"/>
    </row>
    <row r="149" ht="15.75" customHeight="1" s="115">
      <c r="A149" s="5" t="n"/>
      <c r="B149" s="5" t="n"/>
      <c r="C149" s="5" t="n"/>
      <c r="D149" s="5" t="n"/>
      <c r="E149" s="5" t="n"/>
      <c r="F149" s="5" t="n"/>
    </row>
    <row r="150" ht="15.75" customHeight="1" s="115">
      <c r="A150" s="5" t="n"/>
      <c r="B150" s="5" t="n"/>
      <c r="C150" s="5" t="n"/>
      <c r="D150" s="5" t="n"/>
      <c r="E150" s="5" t="n"/>
      <c r="F150" s="5" t="n"/>
    </row>
    <row r="151" ht="15.75" customHeight="1" s="115">
      <c r="A151" s="5" t="n"/>
      <c r="B151" s="5" t="n"/>
      <c r="C151" s="5" t="n"/>
      <c r="D151" s="5" t="n"/>
      <c r="E151" s="5" t="n"/>
      <c r="F151" s="5" t="n"/>
    </row>
    <row r="152" ht="15.75" customHeight="1" s="115">
      <c r="A152" s="5" t="n"/>
      <c r="B152" s="5" t="n"/>
      <c r="C152" s="5" t="n"/>
      <c r="D152" s="5" t="n"/>
      <c r="E152" s="5" t="n"/>
      <c r="F152" s="5" t="n"/>
    </row>
    <row r="153" ht="15.75" customHeight="1" s="115">
      <c r="A153" s="5" t="n"/>
      <c r="B153" s="5" t="n"/>
      <c r="C153" s="5" t="n"/>
      <c r="D153" s="5" t="n"/>
      <c r="E153" s="5" t="n"/>
      <c r="F153" s="5" t="n"/>
    </row>
    <row r="154" ht="15.75" customHeight="1" s="115">
      <c r="A154" s="5" t="n"/>
      <c r="B154" s="5" t="n"/>
      <c r="C154" s="5" t="n"/>
      <c r="D154" s="5" t="n"/>
      <c r="E154" s="5" t="n"/>
      <c r="F154" s="5" t="n"/>
    </row>
    <row r="155" ht="15.75" customHeight="1" s="115">
      <c r="A155" s="5" t="n"/>
      <c r="B155" s="5" t="n"/>
      <c r="C155" s="5" t="n"/>
      <c r="D155" s="5" t="n"/>
      <c r="E155" s="5" t="n"/>
      <c r="F155" s="5" t="n"/>
    </row>
    <row r="156" ht="15.75" customHeight="1" s="115">
      <c r="A156" s="5" t="n"/>
      <c r="B156" s="5" t="n"/>
      <c r="C156" s="5" t="n"/>
      <c r="D156" s="5" t="n"/>
      <c r="E156" s="5" t="n"/>
      <c r="F156" s="5" t="n"/>
    </row>
    <row r="157" ht="15.75" customHeight="1" s="115">
      <c r="A157" s="5" t="n"/>
      <c r="B157" s="5" t="n"/>
      <c r="C157" s="5" t="n"/>
      <c r="D157" s="5" t="n"/>
      <c r="E157" s="5" t="n"/>
      <c r="F157" s="5" t="n"/>
    </row>
    <row r="158" ht="15.75" customHeight="1" s="115">
      <c r="A158" s="5" t="n"/>
      <c r="B158" s="5" t="n"/>
      <c r="C158" s="5" t="n"/>
      <c r="D158" s="5" t="n"/>
      <c r="E158" s="5" t="n"/>
      <c r="F158" s="5" t="n"/>
    </row>
    <row r="159" ht="15.75" customHeight="1" s="115">
      <c r="A159" s="5" t="n"/>
      <c r="B159" s="5" t="n"/>
      <c r="C159" s="5" t="n"/>
      <c r="D159" s="5" t="n"/>
      <c r="E159" s="5" t="n"/>
      <c r="F159" s="5" t="n"/>
    </row>
    <row r="160" ht="15.75" customHeight="1" s="115">
      <c r="A160" s="5" t="n"/>
      <c r="B160" s="5" t="n"/>
      <c r="C160" s="5" t="n"/>
      <c r="D160" s="5" t="n"/>
      <c r="E160" s="5" t="n"/>
      <c r="F160" s="5" t="n"/>
    </row>
    <row r="161" ht="15.75" customHeight="1" s="115">
      <c r="A161" s="5" t="n"/>
      <c r="B161" s="5" t="n"/>
      <c r="C161" s="5" t="n"/>
      <c r="D161" s="5" t="n"/>
      <c r="E161" s="5" t="n"/>
      <c r="F161" s="5" t="n"/>
    </row>
    <row r="162" ht="15.75" customHeight="1" s="115">
      <c r="A162" s="5" t="n"/>
      <c r="B162" s="5" t="n"/>
      <c r="C162" s="5" t="n"/>
      <c r="D162" s="5" t="n"/>
      <c r="E162" s="5" t="n"/>
      <c r="F162" s="5" t="n"/>
    </row>
    <row r="163" ht="15.75" customHeight="1" s="115">
      <c r="A163" s="5" t="n"/>
      <c r="B163" s="5" t="n"/>
      <c r="C163" s="5" t="n"/>
      <c r="D163" s="5" t="n"/>
      <c r="E163" s="5" t="n"/>
      <c r="F163" s="5" t="n"/>
    </row>
    <row r="164" ht="15.75" customHeight="1" s="115">
      <c r="A164" s="5" t="n"/>
      <c r="B164" s="5" t="n"/>
      <c r="C164" s="5" t="n"/>
      <c r="D164" s="5" t="n"/>
      <c r="E164" s="5" t="n"/>
      <c r="F164" s="5" t="n"/>
    </row>
    <row r="165" ht="15.75" customHeight="1" s="115">
      <c r="A165" s="5" t="n"/>
      <c r="B165" s="5" t="n"/>
      <c r="C165" s="5" t="n"/>
      <c r="D165" s="5" t="n"/>
      <c r="E165" s="5" t="n"/>
      <c r="F165" s="5" t="n"/>
    </row>
    <row r="166" ht="15.75" customHeight="1" s="115">
      <c r="A166" s="5" t="n"/>
      <c r="B166" s="5" t="n"/>
      <c r="C166" s="5" t="n"/>
      <c r="D166" s="5" t="n"/>
      <c r="E166" s="5" t="n"/>
      <c r="F166" s="5" t="n"/>
    </row>
    <row r="167" ht="15.75" customHeight="1" s="115">
      <c r="A167" s="5" t="n"/>
      <c r="B167" s="5" t="n"/>
      <c r="C167" s="5" t="n"/>
      <c r="D167" s="5" t="n"/>
      <c r="E167" s="5" t="n"/>
      <c r="F167" s="5" t="n"/>
    </row>
    <row r="168" ht="15.75" customHeight="1" s="115">
      <c r="A168" s="5" t="n"/>
      <c r="B168" s="5" t="n"/>
      <c r="C168" s="5" t="n"/>
      <c r="D168" s="5" t="n"/>
      <c r="E168" s="5" t="n"/>
      <c r="F168" s="5" t="n"/>
    </row>
    <row r="169" ht="15.75" customHeight="1" s="115">
      <c r="A169" s="5" t="n"/>
      <c r="B169" s="5" t="n"/>
      <c r="C169" s="5" t="n"/>
      <c r="D169" s="5" t="n"/>
      <c r="E169" s="5" t="n"/>
      <c r="F169" s="5" t="n"/>
    </row>
    <row r="170" ht="15.75" customHeight="1" s="115">
      <c r="A170" s="5" t="n"/>
      <c r="B170" s="5" t="n"/>
      <c r="C170" s="5" t="n"/>
      <c r="D170" s="5" t="n"/>
      <c r="E170" s="5" t="n"/>
      <c r="F170" s="5" t="n"/>
    </row>
    <row r="171" ht="15.75" customHeight="1" s="115">
      <c r="A171" s="5" t="n"/>
      <c r="B171" s="5" t="n"/>
      <c r="C171" s="5" t="n"/>
      <c r="D171" s="5" t="n"/>
      <c r="E171" s="5" t="n"/>
      <c r="F171" s="5" t="n"/>
    </row>
    <row r="172" ht="15.75" customHeight="1" s="115">
      <c r="A172" s="5" t="n"/>
      <c r="B172" s="5" t="n"/>
      <c r="C172" s="5" t="n"/>
      <c r="D172" s="5" t="n"/>
      <c r="E172" s="5" t="n"/>
      <c r="F172" s="5" t="n"/>
    </row>
    <row r="173" ht="15.75" customHeight="1" s="115">
      <c r="A173" s="5" t="n"/>
      <c r="B173" s="5" t="n"/>
      <c r="C173" s="5" t="n"/>
      <c r="D173" s="5" t="n"/>
      <c r="E173" s="5" t="n"/>
      <c r="F173" s="5" t="n"/>
    </row>
    <row r="174" ht="15.75" customHeight="1" s="115">
      <c r="A174" s="5" t="n"/>
      <c r="B174" s="5" t="n"/>
      <c r="C174" s="5" t="n"/>
      <c r="D174" s="5" t="n"/>
      <c r="E174" s="5" t="n"/>
      <c r="F174" s="5" t="n"/>
    </row>
    <row r="175" ht="15.75" customHeight="1" s="115">
      <c r="A175" s="5" t="n"/>
      <c r="B175" s="5" t="n"/>
      <c r="C175" s="5" t="n"/>
      <c r="D175" s="5" t="n"/>
      <c r="E175" s="5" t="n"/>
      <c r="F175" s="5" t="n"/>
    </row>
    <row r="176" ht="15.75" customHeight="1" s="115">
      <c r="A176" s="5" t="n"/>
      <c r="B176" s="5" t="n"/>
      <c r="C176" s="5" t="n"/>
      <c r="D176" s="5" t="n"/>
      <c r="E176" s="5" t="n"/>
      <c r="F176" s="5" t="n"/>
    </row>
    <row r="177" ht="15.75" customHeight="1" s="115">
      <c r="A177" s="5" t="n"/>
      <c r="B177" s="5" t="n"/>
      <c r="C177" s="5" t="n"/>
      <c r="D177" s="5" t="n"/>
      <c r="E177" s="5" t="n"/>
      <c r="F177" s="5" t="n"/>
    </row>
    <row r="178" ht="15.75" customHeight="1" s="115">
      <c r="A178" s="5" t="n"/>
      <c r="B178" s="5" t="n"/>
      <c r="C178" s="5" t="n"/>
      <c r="D178" s="5" t="n"/>
      <c r="E178" s="5" t="n"/>
      <c r="F178" s="5" t="n"/>
    </row>
    <row r="179" ht="15.75" customHeight="1" s="115">
      <c r="A179" s="5" t="n"/>
      <c r="B179" s="5" t="n"/>
      <c r="C179" s="5" t="n"/>
      <c r="D179" s="5" t="n"/>
      <c r="E179" s="5" t="n"/>
      <c r="F179" s="5" t="n"/>
    </row>
    <row r="180" ht="15.75" customHeight="1" s="115">
      <c r="A180" s="5" t="n"/>
      <c r="B180" s="5" t="n"/>
      <c r="C180" s="5" t="n"/>
      <c r="D180" s="5" t="n"/>
      <c r="E180" s="5" t="n"/>
      <c r="F180" s="5" t="n"/>
    </row>
    <row r="181" ht="15.75" customHeight="1" s="115">
      <c r="A181" s="5" t="n"/>
      <c r="B181" s="5" t="n"/>
      <c r="C181" s="5" t="n"/>
      <c r="D181" s="5" t="n"/>
      <c r="E181" s="5" t="n"/>
      <c r="F181" s="5" t="n"/>
    </row>
    <row r="182" ht="15.75" customHeight="1" s="115">
      <c r="A182" s="5" t="n"/>
      <c r="B182" s="5" t="n"/>
      <c r="C182" s="5" t="n"/>
      <c r="D182" s="5" t="n"/>
      <c r="E182" s="5" t="n"/>
      <c r="F182" s="5" t="n"/>
    </row>
    <row r="183" ht="15.75" customHeight="1" s="115">
      <c r="A183" s="5" t="n"/>
      <c r="B183" s="5" t="n"/>
      <c r="C183" s="5" t="n"/>
      <c r="D183" s="5" t="n"/>
      <c r="E183" s="5" t="n"/>
      <c r="F183" s="5" t="n"/>
    </row>
    <row r="184" ht="15.75" customHeight="1" s="115">
      <c r="A184" s="5" t="n"/>
      <c r="B184" s="5" t="n"/>
      <c r="C184" s="5" t="n"/>
      <c r="D184" s="5" t="n"/>
      <c r="E184" s="5" t="n"/>
      <c r="F184" s="5" t="n"/>
    </row>
    <row r="185" ht="15.75" customHeight="1" s="115">
      <c r="A185" s="5" t="n"/>
      <c r="B185" s="5" t="n"/>
      <c r="C185" s="5" t="n"/>
      <c r="D185" s="5" t="n"/>
      <c r="E185" s="5" t="n"/>
      <c r="F185" s="5" t="n"/>
    </row>
    <row r="186" ht="15.75" customHeight="1" s="115">
      <c r="A186" s="5" t="n"/>
      <c r="B186" s="5" t="n"/>
      <c r="C186" s="5" t="n"/>
      <c r="D186" s="5" t="n"/>
      <c r="E186" s="5" t="n"/>
      <c r="F186" s="5" t="n"/>
    </row>
    <row r="187" ht="15.75" customHeight="1" s="115">
      <c r="A187" s="5" t="n"/>
      <c r="B187" s="5" t="n"/>
      <c r="C187" s="5" t="n"/>
      <c r="D187" s="5" t="n"/>
      <c r="E187" s="5" t="n"/>
      <c r="F187" s="5" t="n"/>
    </row>
    <row r="188" ht="15.75" customHeight="1" s="115">
      <c r="A188" s="5" t="n"/>
      <c r="B188" s="5" t="n"/>
      <c r="C188" s="5" t="n"/>
      <c r="D188" s="5" t="n"/>
      <c r="E188" s="5" t="n"/>
      <c r="F188" s="5" t="n"/>
    </row>
    <row r="189" ht="15.75" customHeight="1" s="115">
      <c r="A189" s="5" t="n"/>
      <c r="B189" s="5" t="n"/>
      <c r="C189" s="5" t="n"/>
      <c r="D189" s="5" t="n"/>
      <c r="E189" s="5" t="n"/>
      <c r="F189" s="5" t="n"/>
    </row>
    <row r="190" ht="15.75" customHeight="1" s="115">
      <c r="A190" s="5" t="n"/>
      <c r="B190" s="5" t="n"/>
      <c r="C190" s="5" t="n"/>
      <c r="D190" s="5" t="n"/>
      <c r="E190" s="5" t="n"/>
      <c r="F190" s="5" t="n"/>
    </row>
    <row r="191" ht="15.75" customHeight="1" s="115">
      <c r="A191" s="5" t="n"/>
      <c r="B191" s="5" t="n"/>
      <c r="C191" s="5" t="n"/>
      <c r="D191" s="5" t="n"/>
      <c r="E191" s="5" t="n"/>
      <c r="F191" s="5" t="n"/>
    </row>
    <row r="192" ht="15.75" customHeight="1" s="115">
      <c r="A192" s="5" t="n"/>
      <c r="B192" s="5" t="n"/>
      <c r="C192" s="5" t="n"/>
      <c r="D192" s="5" t="n"/>
      <c r="E192" s="5" t="n"/>
      <c r="F192" s="5" t="n"/>
    </row>
    <row r="193" ht="15.75" customHeight="1" s="115">
      <c r="A193" s="5" t="n"/>
      <c r="B193" s="5" t="n"/>
      <c r="C193" s="5" t="n"/>
      <c r="D193" s="5" t="n"/>
      <c r="E193" s="5" t="n"/>
      <c r="F193" s="5" t="n"/>
    </row>
    <row r="194" ht="15.75" customHeight="1" s="115">
      <c r="A194" s="5" t="n"/>
      <c r="B194" s="5" t="n"/>
      <c r="C194" s="5" t="n"/>
      <c r="D194" s="5" t="n"/>
      <c r="E194" s="5" t="n"/>
      <c r="F194" s="5" t="n"/>
    </row>
    <row r="195" ht="15.75" customHeight="1" s="115">
      <c r="A195" s="5" t="n"/>
      <c r="B195" s="5" t="n"/>
      <c r="C195" s="5" t="n"/>
      <c r="D195" s="5" t="n"/>
      <c r="E195" s="5" t="n"/>
      <c r="F195" s="5" t="n"/>
    </row>
    <row r="196" ht="15.75" customHeight="1" s="115">
      <c r="A196" s="5" t="n"/>
      <c r="B196" s="5" t="n"/>
      <c r="C196" s="5" t="n"/>
      <c r="D196" s="5" t="n"/>
      <c r="E196" s="5" t="n"/>
      <c r="F196" s="5" t="n"/>
    </row>
    <row r="197" ht="15.75" customHeight="1" s="115">
      <c r="A197" s="5" t="n"/>
      <c r="B197" s="5" t="n"/>
      <c r="C197" s="5" t="n"/>
      <c r="D197" s="5" t="n"/>
      <c r="E197" s="5" t="n"/>
      <c r="F197" s="5" t="n"/>
    </row>
    <row r="198" ht="15.75" customHeight="1" s="115">
      <c r="A198" s="5" t="n"/>
      <c r="B198" s="5" t="n"/>
      <c r="C198" s="5" t="n"/>
      <c r="D198" s="5" t="n"/>
      <c r="E198" s="5" t="n"/>
      <c r="F198" s="5" t="n"/>
    </row>
    <row r="199" ht="15.75" customHeight="1" s="115">
      <c r="A199" s="5" t="n"/>
      <c r="B199" s="5" t="n"/>
      <c r="C199" s="5" t="n"/>
      <c r="D199" s="5" t="n"/>
      <c r="E199" s="5" t="n"/>
      <c r="F199" s="5" t="n"/>
    </row>
    <row r="200" ht="15.75" customHeight="1" s="115">
      <c r="A200" s="5" t="n"/>
      <c r="B200" s="5" t="n"/>
      <c r="C200" s="5" t="n"/>
      <c r="D200" s="5" t="n"/>
      <c r="E200" s="5" t="n"/>
      <c r="F200" s="5" t="n"/>
    </row>
    <row r="201" ht="15.75" customHeight="1" s="115">
      <c r="A201" s="5" t="n"/>
      <c r="B201" s="5" t="n"/>
      <c r="C201" s="5" t="n"/>
      <c r="D201" s="5" t="n"/>
      <c r="E201" s="5" t="n"/>
      <c r="F201" s="5" t="n"/>
    </row>
    <row r="202" ht="15.75" customHeight="1" s="115">
      <c r="A202" s="5" t="n"/>
      <c r="B202" s="5" t="n"/>
      <c r="C202" s="5" t="n"/>
      <c r="D202" s="5" t="n"/>
      <c r="E202" s="5" t="n"/>
      <c r="F202" s="5" t="n"/>
    </row>
    <row r="203" ht="15.75" customHeight="1" s="115">
      <c r="A203" s="5" t="n"/>
      <c r="B203" s="5" t="n"/>
      <c r="C203" s="5" t="n"/>
      <c r="D203" s="5" t="n"/>
      <c r="E203" s="5" t="n"/>
      <c r="F203" s="5" t="n"/>
    </row>
    <row r="204" ht="15.75" customHeight="1" s="115">
      <c r="A204" s="5" t="n"/>
      <c r="B204" s="5" t="n"/>
      <c r="C204" s="5" t="n"/>
      <c r="D204" s="5" t="n"/>
      <c r="E204" s="5" t="n"/>
      <c r="F204" s="5" t="n"/>
    </row>
    <row r="205" ht="15.75" customHeight="1" s="115">
      <c r="A205" s="5" t="n"/>
      <c r="B205" s="5" t="n"/>
      <c r="C205" s="5" t="n"/>
      <c r="D205" s="5" t="n"/>
      <c r="E205" s="5" t="n"/>
      <c r="F205" s="5" t="n"/>
    </row>
    <row r="206" ht="15.75" customHeight="1" s="115">
      <c r="A206" s="5" t="n"/>
      <c r="B206" s="5" t="n"/>
      <c r="C206" s="5" t="n"/>
      <c r="D206" s="5" t="n"/>
      <c r="E206" s="5" t="n"/>
      <c r="F206" s="5" t="n"/>
    </row>
    <row r="207" ht="15.75" customHeight="1" s="115">
      <c r="A207" s="5" t="n"/>
      <c r="B207" s="5" t="n"/>
      <c r="C207" s="5" t="n"/>
      <c r="D207" s="5" t="n"/>
      <c r="E207" s="5" t="n"/>
      <c r="F207" s="5" t="n"/>
    </row>
    <row r="208" ht="15.75" customHeight="1" s="115">
      <c r="A208" s="5" t="n"/>
      <c r="B208" s="5" t="n"/>
      <c r="C208" s="5" t="n"/>
      <c r="D208" s="5" t="n"/>
      <c r="E208" s="5" t="n"/>
      <c r="F208" s="5" t="n"/>
    </row>
    <row r="209" ht="15.75" customHeight="1" s="115">
      <c r="A209" s="5" t="n"/>
      <c r="B209" s="5" t="n"/>
      <c r="C209" s="5" t="n"/>
      <c r="D209" s="5" t="n"/>
      <c r="E209" s="5" t="n"/>
      <c r="F209" s="5" t="n"/>
    </row>
    <row r="210" ht="15.75" customHeight="1" s="115">
      <c r="A210" s="5" t="n"/>
      <c r="B210" s="5" t="n"/>
      <c r="C210" s="5" t="n"/>
      <c r="D210" s="5" t="n"/>
      <c r="E210" s="5" t="n"/>
      <c r="F210" s="5" t="n"/>
    </row>
    <row r="211" ht="15.75" customHeight="1" s="115">
      <c r="A211" s="5" t="n"/>
      <c r="B211" s="5" t="n"/>
      <c r="C211" s="5" t="n"/>
      <c r="D211" s="5" t="n"/>
      <c r="E211" s="5" t="n"/>
      <c r="F211" s="5" t="n"/>
    </row>
    <row r="212" ht="15.75" customHeight="1" s="115">
      <c r="A212" s="5" t="n"/>
      <c r="B212" s="5" t="n"/>
      <c r="C212" s="5" t="n"/>
      <c r="D212" s="5" t="n"/>
      <c r="E212" s="5" t="n"/>
      <c r="F212" s="5" t="n"/>
    </row>
    <row r="213" ht="15.75" customHeight="1" s="115">
      <c r="A213" s="5" t="n"/>
      <c r="B213" s="5" t="n"/>
      <c r="C213" s="5" t="n"/>
      <c r="D213" s="5" t="n"/>
      <c r="E213" s="5" t="n"/>
      <c r="F213" s="5" t="n"/>
    </row>
    <row r="214" ht="15.75" customHeight="1" s="115">
      <c r="A214" s="5" t="n"/>
      <c r="B214" s="5" t="n"/>
      <c r="C214" s="5" t="n"/>
      <c r="D214" s="5" t="n"/>
      <c r="E214" s="5" t="n"/>
      <c r="F214" s="5" t="n"/>
    </row>
    <row r="215" ht="15.75" customHeight="1" s="115">
      <c r="A215" s="5" t="n"/>
      <c r="B215" s="5" t="n"/>
      <c r="C215" s="5" t="n"/>
      <c r="D215" s="5" t="n"/>
      <c r="E215" s="5" t="n"/>
      <c r="F215" s="5" t="n"/>
    </row>
    <row r="216" ht="15.75" customHeight="1" s="115">
      <c r="A216" s="5" t="n"/>
      <c r="B216" s="5" t="n"/>
      <c r="C216" s="5" t="n"/>
      <c r="D216" s="5" t="n"/>
      <c r="E216" s="5" t="n"/>
      <c r="F216" s="5" t="n"/>
    </row>
    <row r="217" ht="15.75" customHeight="1" s="115">
      <c r="A217" s="5" t="n"/>
      <c r="B217" s="5" t="n"/>
      <c r="C217" s="5" t="n"/>
      <c r="D217" s="5" t="n"/>
      <c r="E217" s="5" t="n"/>
      <c r="F217" s="5" t="n"/>
    </row>
    <row r="218" ht="15.75" customHeight="1" s="115">
      <c r="A218" s="5" t="n"/>
      <c r="B218" s="5" t="n"/>
      <c r="C218" s="5" t="n"/>
      <c r="D218" s="5" t="n"/>
      <c r="E218" s="5" t="n"/>
      <c r="F218" s="5" t="n"/>
    </row>
    <row r="219" ht="15.75" customHeight="1" s="115">
      <c r="A219" s="5" t="n"/>
      <c r="B219" s="5" t="n"/>
      <c r="C219" s="5" t="n"/>
      <c r="D219" s="5" t="n"/>
      <c r="E219" s="5" t="n"/>
      <c r="F219" s="5" t="n"/>
    </row>
    <row r="220" ht="15.75" customHeight="1" s="115">
      <c r="A220" s="5" t="n"/>
      <c r="B220" s="5" t="n"/>
      <c r="C220" s="5" t="n"/>
      <c r="D220" s="5" t="n"/>
      <c r="E220" s="5" t="n"/>
      <c r="F220" s="5" t="n"/>
    </row>
    <row r="221" ht="15.75" customHeight="1" s="115">
      <c r="A221" s="5" t="n"/>
      <c r="B221" s="5" t="n"/>
      <c r="C221" s="5" t="n"/>
      <c r="D221" s="5" t="n"/>
      <c r="E221" s="5" t="n"/>
      <c r="F221" s="5" t="n"/>
    </row>
    <row r="222" ht="15.75" customHeight="1" s="115">
      <c r="A222" s="5" t="n"/>
      <c r="B222" s="5" t="n"/>
      <c r="C222" s="5" t="n"/>
      <c r="D222" s="5" t="n"/>
      <c r="E222" s="5" t="n"/>
      <c r="F222" s="5" t="n"/>
    </row>
    <row r="223" ht="15.75" customHeight="1" s="115">
      <c r="A223" s="5" t="n"/>
      <c r="B223" s="5" t="n"/>
      <c r="C223" s="5" t="n"/>
      <c r="D223" s="5" t="n"/>
      <c r="E223" s="5" t="n"/>
      <c r="F223" s="5" t="n"/>
    </row>
    <row r="224" ht="15.75" customHeight="1" s="115">
      <c r="A224" s="5" t="n"/>
      <c r="B224" s="5" t="n"/>
      <c r="C224" s="5" t="n"/>
      <c r="D224" s="5" t="n"/>
      <c r="E224" s="5" t="n"/>
      <c r="F224" s="5" t="n"/>
    </row>
    <row r="225" ht="15.75" customHeight="1" s="115">
      <c r="A225" s="5" t="n"/>
      <c r="B225" s="5" t="n"/>
      <c r="C225" s="5" t="n"/>
      <c r="D225" s="5" t="n"/>
      <c r="E225" s="5" t="n"/>
      <c r="F225" s="5" t="n"/>
    </row>
    <row r="226" ht="15.75" customHeight="1" s="115">
      <c r="A226" s="5" t="n"/>
      <c r="B226" s="5" t="n"/>
      <c r="C226" s="5" t="n"/>
      <c r="D226" s="5" t="n"/>
      <c r="E226" s="5" t="n"/>
      <c r="F226" s="5" t="n"/>
    </row>
    <row r="227" ht="15.75" customHeight="1" s="115">
      <c r="A227" s="5" t="n"/>
      <c r="B227" s="5" t="n"/>
      <c r="C227" s="5" t="n"/>
      <c r="D227" s="5" t="n"/>
      <c r="E227" s="5" t="n"/>
      <c r="F227" s="5" t="n"/>
    </row>
    <row r="228" ht="15.75" customHeight="1" s="115">
      <c r="A228" s="5" t="n"/>
      <c r="B228" s="5" t="n"/>
      <c r="C228" s="5" t="n"/>
      <c r="D228" s="5" t="n"/>
      <c r="E228" s="5" t="n"/>
      <c r="F228" s="5" t="n"/>
    </row>
    <row r="229" ht="15.75" customHeight="1" s="115">
      <c r="A229" s="5" t="n"/>
      <c r="B229" s="5" t="n"/>
      <c r="C229" s="5" t="n"/>
      <c r="D229" s="5" t="n"/>
      <c r="E229" s="5" t="n"/>
      <c r="F229" s="5" t="n"/>
    </row>
    <row r="230" ht="15.75" customHeight="1" s="115">
      <c r="A230" s="5" t="n"/>
      <c r="B230" s="5" t="n"/>
      <c r="C230" s="5" t="n"/>
      <c r="D230" s="5" t="n"/>
      <c r="E230" s="5" t="n"/>
      <c r="F230" s="5" t="n"/>
    </row>
    <row r="231" ht="15.75" customHeight="1" s="115">
      <c r="A231" s="5" t="n"/>
      <c r="B231" s="5" t="n"/>
      <c r="C231" s="5" t="n"/>
      <c r="D231" s="5" t="n"/>
      <c r="E231" s="5" t="n"/>
      <c r="F231" s="5" t="n"/>
    </row>
    <row r="232" ht="15.75" customHeight="1" s="115">
      <c r="A232" s="5" t="n"/>
      <c r="B232" s="5" t="n"/>
      <c r="C232" s="5" t="n"/>
      <c r="D232" s="5" t="n"/>
      <c r="E232" s="5" t="n"/>
      <c r="F232" s="5" t="n"/>
    </row>
    <row r="233" ht="15.75" customHeight="1" s="115">
      <c r="A233" s="5" t="n"/>
      <c r="B233" s="5" t="n"/>
      <c r="C233" s="5" t="n"/>
      <c r="D233" s="5" t="n"/>
      <c r="E233" s="5" t="n"/>
      <c r="F233" s="5" t="n"/>
    </row>
    <row r="234" ht="15.75" customHeight="1" s="115">
      <c r="A234" s="5" t="n"/>
      <c r="B234" s="5" t="n"/>
      <c r="C234" s="5" t="n"/>
      <c r="D234" s="5" t="n"/>
      <c r="E234" s="5" t="n"/>
      <c r="F234" s="5" t="n"/>
    </row>
    <row r="235" ht="15.75" customHeight="1" s="115">
      <c r="A235" s="5" t="n"/>
      <c r="B235" s="5" t="n"/>
      <c r="C235" s="5" t="n"/>
      <c r="D235" s="5" t="n"/>
      <c r="E235" s="5" t="n"/>
      <c r="F235" s="5" t="n"/>
    </row>
    <row r="236" ht="15.75" customHeight="1" s="115">
      <c r="A236" s="5" t="n"/>
      <c r="B236" s="5" t="n"/>
      <c r="C236" s="5" t="n"/>
      <c r="D236" s="5" t="n"/>
      <c r="E236" s="5" t="n"/>
      <c r="F236" s="5" t="n"/>
    </row>
    <row r="237" ht="15.75" customHeight="1" s="115">
      <c r="A237" s="5" t="n"/>
      <c r="B237" s="5" t="n"/>
      <c r="C237" s="5" t="n"/>
      <c r="D237" s="5" t="n"/>
      <c r="E237" s="5" t="n"/>
      <c r="F237" s="5" t="n"/>
    </row>
    <row r="238" ht="15.75" customHeight="1" s="115">
      <c r="A238" s="5" t="n"/>
      <c r="B238" s="5" t="n"/>
      <c r="C238" s="5" t="n"/>
      <c r="D238" s="5" t="n"/>
      <c r="E238" s="5" t="n"/>
      <c r="F238" s="5" t="n"/>
    </row>
    <row r="239" ht="15.75" customHeight="1" s="115">
      <c r="A239" s="5" t="n"/>
      <c r="B239" s="5" t="n"/>
      <c r="C239" s="5" t="n"/>
      <c r="D239" s="5" t="n"/>
      <c r="E239" s="5" t="n"/>
      <c r="F239" s="5" t="n"/>
    </row>
    <row r="240" ht="15.75" customHeight="1" s="115">
      <c r="A240" s="5" t="n"/>
      <c r="B240" s="5" t="n"/>
      <c r="C240" s="5" t="n"/>
      <c r="D240" s="5" t="n"/>
      <c r="E240" s="5" t="n"/>
      <c r="F240" s="5" t="n"/>
    </row>
    <row r="241" ht="15.75" customHeight="1" s="115">
      <c r="A241" s="5" t="n"/>
      <c r="B241" s="5" t="n"/>
      <c r="C241" s="5" t="n"/>
      <c r="D241" s="5" t="n"/>
      <c r="E241" s="5" t="n"/>
      <c r="F241" s="5" t="n"/>
    </row>
    <row r="242" ht="15.75" customHeight="1" s="115">
      <c r="A242" s="5" t="n"/>
      <c r="B242" s="5" t="n"/>
      <c r="C242" s="5" t="n"/>
      <c r="D242" s="5" t="n"/>
      <c r="E242" s="5" t="n"/>
      <c r="F242" s="5" t="n"/>
    </row>
    <row r="243" ht="15.75" customHeight="1" s="115">
      <c r="A243" s="5" t="n"/>
      <c r="B243" s="5" t="n"/>
      <c r="C243" s="5" t="n"/>
      <c r="D243" s="5" t="n"/>
      <c r="E243" s="5" t="n"/>
      <c r="F243" s="5" t="n"/>
    </row>
    <row r="244" ht="15.75" customHeight="1" s="115">
      <c r="A244" s="5" t="n"/>
      <c r="B244" s="5" t="n"/>
      <c r="C244" s="5" t="n"/>
      <c r="D244" s="5" t="n"/>
      <c r="E244" s="5" t="n"/>
      <c r="F244" s="5" t="n"/>
    </row>
    <row r="245" ht="15.75" customHeight="1" s="115">
      <c r="A245" s="5" t="n"/>
      <c r="B245" s="5" t="n"/>
      <c r="C245" s="5" t="n"/>
      <c r="D245" s="5" t="n"/>
      <c r="E245" s="5" t="n"/>
      <c r="F245" s="5" t="n"/>
    </row>
    <row r="246" ht="15.75" customHeight="1" s="115">
      <c r="A246" s="5" t="n"/>
      <c r="B246" s="5" t="n"/>
      <c r="C246" s="5" t="n"/>
      <c r="D246" s="5" t="n"/>
      <c r="E246" s="5" t="n"/>
      <c r="F246" s="5" t="n"/>
    </row>
    <row r="247" ht="15.75" customHeight="1" s="115">
      <c r="A247" s="5" t="n"/>
      <c r="B247" s="5" t="n"/>
      <c r="C247" s="5" t="n"/>
      <c r="D247" s="5" t="n"/>
      <c r="E247" s="5" t="n"/>
      <c r="F247" s="5" t="n"/>
    </row>
    <row r="248" ht="15.75" customHeight="1" s="115">
      <c r="A248" s="5" t="n"/>
      <c r="B248" s="5" t="n"/>
      <c r="C248" s="5" t="n"/>
      <c r="D248" s="5" t="n"/>
      <c r="E248" s="5" t="n"/>
      <c r="F248" s="5" t="n"/>
    </row>
    <row r="249" ht="15.75" customHeight="1" s="115">
      <c r="A249" s="5" t="n"/>
      <c r="B249" s="5" t="n"/>
      <c r="C249" s="5" t="n"/>
      <c r="D249" s="5" t="n"/>
      <c r="E249" s="5" t="n"/>
      <c r="F249" s="5" t="n"/>
    </row>
    <row r="250" ht="15.75" customHeight="1" s="115">
      <c r="A250" s="5" t="n"/>
      <c r="B250" s="5" t="n"/>
      <c r="C250" s="5" t="n"/>
      <c r="D250" s="5" t="n"/>
      <c r="E250" s="5" t="n"/>
      <c r="F250" s="5" t="n"/>
    </row>
    <row r="251" ht="15.75" customHeight="1" s="115">
      <c r="A251" s="5" t="n"/>
      <c r="B251" s="5" t="n"/>
      <c r="C251" s="5" t="n"/>
      <c r="D251" s="5" t="n"/>
      <c r="E251" s="5" t="n"/>
      <c r="F251" s="5" t="n"/>
    </row>
    <row r="252" ht="15.75" customHeight="1" s="115">
      <c r="A252" s="5" t="n"/>
      <c r="B252" s="5" t="n"/>
      <c r="C252" s="5" t="n"/>
      <c r="D252" s="5" t="n"/>
      <c r="E252" s="5" t="n"/>
      <c r="F252" s="5" t="n"/>
    </row>
    <row r="253" ht="15.75" customHeight="1" s="115">
      <c r="A253" s="5" t="n"/>
      <c r="B253" s="5" t="n"/>
      <c r="C253" s="5" t="n"/>
      <c r="D253" s="5" t="n"/>
      <c r="E253" s="5" t="n"/>
      <c r="F253" s="5" t="n"/>
    </row>
    <row r="254" ht="15.75" customHeight="1" s="115">
      <c r="A254" s="5" t="n"/>
      <c r="B254" s="5" t="n"/>
      <c r="C254" s="5" t="n"/>
      <c r="D254" s="5" t="n"/>
      <c r="E254" s="5" t="n"/>
      <c r="F254" s="5" t="n"/>
    </row>
    <row r="255" ht="15.75" customHeight="1" s="115">
      <c r="A255" s="5" t="n"/>
      <c r="B255" s="5" t="n"/>
      <c r="C255" s="5" t="n"/>
      <c r="D255" s="5" t="n"/>
      <c r="E255" s="5" t="n"/>
      <c r="F255" s="5" t="n"/>
    </row>
    <row r="256" ht="15.75" customHeight="1" s="115">
      <c r="A256" s="5" t="n"/>
      <c r="B256" s="5" t="n"/>
      <c r="C256" s="5" t="n"/>
      <c r="D256" s="5" t="n"/>
      <c r="E256" s="5" t="n"/>
      <c r="F256" s="5" t="n"/>
    </row>
    <row r="257" ht="15.75" customHeight="1" s="115">
      <c r="A257" s="5" t="n"/>
      <c r="B257" s="5" t="n"/>
      <c r="C257" s="5" t="n"/>
      <c r="D257" s="5" t="n"/>
      <c r="E257" s="5" t="n"/>
      <c r="F257" s="5" t="n"/>
    </row>
    <row r="258" ht="15.75" customHeight="1" s="115">
      <c r="A258" s="5" t="n"/>
      <c r="B258" s="5" t="n"/>
      <c r="C258" s="5" t="n"/>
      <c r="D258" s="5" t="n"/>
      <c r="E258" s="5" t="n"/>
      <c r="F258" s="5" t="n"/>
    </row>
    <row r="259" ht="15.75" customHeight="1" s="115">
      <c r="A259" s="5" t="n"/>
      <c r="B259" s="5" t="n"/>
      <c r="C259" s="5" t="n"/>
      <c r="D259" s="5" t="n"/>
      <c r="E259" s="5" t="n"/>
      <c r="F259" s="5" t="n"/>
    </row>
    <row r="260" ht="15.75" customHeight="1" s="115">
      <c r="A260" s="5" t="n"/>
      <c r="B260" s="5" t="n"/>
      <c r="C260" s="5" t="n"/>
      <c r="D260" s="5" t="n"/>
      <c r="E260" s="5" t="n"/>
      <c r="F260" s="5" t="n"/>
    </row>
    <row r="261" ht="15.75" customHeight="1" s="115">
      <c r="A261" s="5" t="n"/>
      <c r="B261" s="5" t="n"/>
      <c r="C261" s="5" t="n"/>
      <c r="D261" s="5" t="n"/>
      <c r="E261" s="5" t="n"/>
      <c r="F261" s="5" t="n"/>
    </row>
    <row r="262" ht="15.75" customHeight="1" s="115">
      <c r="A262" s="5" t="n"/>
      <c r="B262" s="5" t="n"/>
      <c r="C262" s="5" t="n"/>
      <c r="D262" s="5" t="n"/>
      <c r="E262" s="5" t="n"/>
      <c r="F262" s="5" t="n"/>
    </row>
    <row r="263" ht="15.75" customHeight="1" s="115">
      <c r="A263" s="5" t="n"/>
      <c r="B263" s="5" t="n"/>
      <c r="C263" s="5" t="n"/>
      <c r="D263" s="5" t="n"/>
      <c r="E263" s="5" t="n"/>
      <c r="F263" s="5" t="n"/>
    </row>
    <row r="264" ht="15.75" customHeight="1" s="115">
      <c r="A264" s="5" t="n"/>
      <c r="B264" s="5" t="n"/>
      <c r="C264" s="5" t="n"/>
      <c r="D264" s="5" t="n"/>
      <c r="E264" s="5" t="n"/>
      <c r="F264" s="5" t="n"/>
    </row>
    <row r="265" ht="15.75" customHeight="1" s="115">
      <c r="A265" s="5" t="n"/>
      <c r="B265" s="5" t="n"/>
      <c r="C265" s="5" t="n"/>
      <c r="D265" s="5" t="n"/>
      <c r="E265" s="5" t="n"/>
      <c r="F265" s="5" t="n"/>
    </row>
    <row r="266" ht="15.75" customHeight="1" s="115">
      <c r="A266" s="5" t="n"/>
      <c r="B266" s="5" t="n"/>
      <c r="C266" s="5" t="n"/>
      <c r="D266" s="5" t="n"/>
      <c r="E266" s="5" t="n"/>
      <c r="F266" s="5" t="n"/>
    </row>
    <row r="267" ht="15.75" customHeight="1" s="115">
      <c r="A267" s="5" t="n"/>
      <c r="B267" s="5" t="n"/>
      <c r="C267" s="5" t="n"/>
      <c r="D267" s="5" t="n"/>
      <c r="E267" s="5" t="n"/>
      <c r="F267" s="5" t="n"/>
    </row>
    <row r="268" ht="15.75" customHeight="1" s="115">
      <c r="A268" s="5" t="n"/>
      <c r="B268" s="5" t="n"/>
      <c r="C268" s="5" t="n"/>
      <c r="D268" s="5" t="n"/>
      <c r="E268" s="5" t="n"/>
      <c r="F268" s="5" t="n"/>
    </row>
    <row r="269" ht="15.75" customHeight="1" s="115">
      <c r="A269" s="5" t="n"/>
      <c r="B269" s="5" t="n"/>
      <c r="C269" s="5" t="n"/>
      <c r="D269" s="5" t="n"/>
      <c r="E269" s="5" t="n"/>
      <c r="F269" s="5" t="n"/>
    </row>
    <row r="270" ht="15.75" customHeight="1" s="115">
      <c r="A270" s="5" t="n"/>
      <c r="B270" s="5" t="n"/>
      <c r="C270" s="5" t="n"/>
      <c r="D270" s="5" t="n"/>
      <c r="E270" s="5" t="n"/>
      <c r="F270" s="5" t="n"/>
    </row>
    <row r="271" ht="15.75" customHeight="1" s="115">
      <c r="A271" s="5" t="n"/>
      <c r="B271" s="5" t="n"/>
      <c r="C271" s="5" t="n"/>
      <c r="D271" s="5" t="n"/>
      <c r="E271" s="5" t="n"/>
      <c r="F271" s="5" t="n"/>
    </row>
    <row r="272" ht="15.75" customHeight="1" s="115">
      <c r="A272" s="5" t="n"/>
      <c r="B272" s="5" t="n"/>
      <c r="C272" s="5" t="n"/>
      <c r="D272" s="5" t="n"/>
      <c r="E272" s="5" t="n"/>
      <c r="F272" s="5" t="n"/>
    </row>
    <row r="273" ht="15.75" customHeight="1" s="115">
      <c r="A273" s="5" t="n"/>
      <c r="B273" s="5" t="n"/>
      <c r="C273" s="5" t="n"/>
      <c r="D273" s="5" t="n"/>
      <c r="E273" s="5" t="n"/>
      <c r="F273" s="5" t="n"/>
    </row>
    <row r="274" ht="15.75" customHeight="1" s="115">
      <c r="A274" s="5" t="n"/>
      <c r="B274" s="5" t="n"/>
      <c r="C274" s="5" t="n"/>
      <c r="D274" s="5" t="n"/>
      <c r="E274" s="5" t="n"/>
      <c r="F274" s="5" t="n"/>
    </row>
    <row r="275" ht="15.75" customHeight="1" s="115">
      <c r="A275" s="5" t="n"/>
      <c r="B275" s="5" t="n"/>
      <c r="C275" s="5" t="n"/>
      <c r="D275" s="5" t="n"/>
      <c r="E275" s="5" t="n"/>
      <c r="F275" s="5" t="n"/>
    </row>
    <row r="276" ht="15.75" customHeight="1" s="115">
      <c r="A276" s="5" t="n"/>
      <c r="B276" s="5" t="n"/>
      <c r="C276" s="5" t="n"/>
      <c r="D276" s="5" t="n"/>
      <c r="E276" s="5" t="n"/>
      <c r="F276" s="5" t="n"/>
    </row>
    <row r="277" ht="15.75" customHeight="1" s="115">
      <c r="A277" s="5" t="n"/>
      <c r="B277" s="5" t="n"/>
      <c r="C277" s="5" t="n"/>
      <c r="D277" s="5" t="n"/>
      <c r="E277" s="5" t="n"/>
      <c r="F277" s="5" t="n"/>
    </row>
    <row r="278" ht="15.75" customHeight="1" s="115">
      <c r="A278" s="5" t="n"/>
      <c r="B278" s="5" t="n"/>
      <c r="C278" s="5" t="n"/>
      <c r="D278" s="5" t="n"/>
      <c r="E278" s="5" t="n"/>
      <c r="F278" s="5" t="n"/>
    </row>
    <row r="279" ht="15.75" customHeight="1" s="115">
      <c r="A279" s="5" t="n"/>
      <c r="B279" s="5" t="n"/>
      <c r="C279" s="5" t="n"/>
      <c r="D279" s="5" t="n"/>
      <c r="E279" s="5" t="n"/>
      <c r="F279" s="5" t="n"/>
    </row>
    <row r="280" ht="15.75" customHeight="1" s="115">
      <c r="A280" s="5" t="n"/>
      <c r="B280" s="5" t="n"/>
      <c r="C280" s="5" t="n"/>
      <c r="D280" s="5" t="n"/>
      <c r="E280" s="5" t="n"/>
      <c r="F280" s="5" t="n"/>
    </row>
    <row r="281" ht="15.75" customHeight="1" s="115">
      <c r="A281" s="5" t="n"/>
      <c r="B281" s="5" t="n"/>
      <c r="C281" s="5" t="n"/>
      <c r="D281" s="5" t="n"/>
      <c r="E281" s="5" t="n"/>
      <c r="F281" s="5" t="n"/>
    </row>
    <row r="282" ht="15.75" customHeight="1" s="115">
      <c r="A282" s="5" t="n"/>
      <c r="B282" s="5" t="n"/>
      <c r="C282" s="5" t="n"/>
      <c r="D282" s="5" t="n"/>
      <c r="E282" s="5" t="n"/>
      <c r="F282" s="5" t="n"/>
    </row>
    <row r="283" ht="15.75" customHeight="1" s="115">
      <c r="A283" s="5" t="n"/>
      <c r="B283" s="5" t="n"/>
      <c r="C283" s="5" t="n"/>
      <c r="D283" s="5" t="n"/>
      <c r="E283" s="5" t="n"/>
      <c r="F283" s="5" t="n"/>
    </row>
    <row r="284" ht="15.75" customHeight="1" s="115">
      <c r="A284" s="5" t="n"/>
      <c r="B284" s="5" t="n"/>
      <c r="C284" s="5" t="n"/>
      <c r="D284" s="5" t="n"/>
      <c r="E284" s="5" t="n"/>
      <c r="F284" s="5" t="n"/>
    </row>
    <row r="285" ht="15.75" customHeight="1" s="115">
      <c r="A285" s="5" t="n"/>
      <c r="B285" s="5" t="n"/>
      <c r="C285" s="5" t="n"/>
      <c r="D285" s="5" t="n"/>
      <c r="E285" s="5" t="n"/>
      <c r="F285" s="5" t="n"/>
    </row>
    <row r="286" ht="15.75" customHeight="1" s="115">
      <c r="A286" s="5" t="n"/>
      <c r="B286" s="5" t="n"/>
      <c r="C286" s="5" t="n"/>
      <c r="D286" s="5" t="n"/>
      <c r="E286" s="5" t="n"/>
      <c r="F286" s="5" t="n"/>
    </row>
    <row r="287" ht="15.75" customHeight="1" s="115">
      <c r="A287" s="5" t="n"/>
      <c r="B287" s="5" t="n"/>
      <c r="C287" s="5" t="n"/>
      <c r="D287" s="5" t="n"/>
      <c r="E287" s="5" t="n"/>
      <c r="F287" s="5" t="n"/>
    </row>
    <row r="288" ht="15.75" customHeight="1" s="115">
      <c r="A288" s="5" t="n"/>
      <c r="B288" s="5" t="n"/>
      <c r="C288" s="5" t="n"/>
      <c r="D288" s="5" t="n"/>
      <c r="E288" s="5" t="n"/>
      <c r="F288" s="5" t="n"/>
    </row>
    <row r="289" ht="15.75" customHeight="1" s="115">
      <c r="A289" s="5" t="n"/>
      <c r="B289" s="5" t="n"/>
      <c r="C289" s="5" t="n"/>
      <c r="D289" s="5" t="n"/>
      <c r="E289" s="5" t="n"/>
      <c r="F289" s="5" t="n"/>
    </row>
    <row r="290" ht="15.75" customHeight="1" s="115">
      <c r="A290" s="5" t="n"/>
      <c r="B290" s="5" t="n"/>
      <c r="C290" s="5" t="n"/>
      <c r="D290" s="5" t="n"/>
      <c r="E290" s="5" t="n"/>
      <c r="F290" s="5" t="n"/>
    </row>
    <row r="291" ht="15.75" customHeight="1" s="115">
      <c r="A291" s="5" t="n"/>
      <c r="B291" s="5" t="n"/>
      <c r="C291" s="5" t="n"/>
      <c r="D291" s="5" t="n"/>
      <c r="E291" s="5" t="n"/>
      <c r="F291" s="5" t="n"/>
    </row>
    <row r="292" ht="15.75" customHeight="1" s="115">
      <c r="A292" s="5" t="n"/>
      <c r="B292" s="5" t="n"/>
      <c r="C292" s="5" t="n"/>
      <c r="D292" s="5" t="n"/>
      <c r="E292" s="5" t="n"/>
      <c r="F292" s="5" t="n"/>
    </row>
    <row r="293" ht="15.75" customHeight="1" s="115">
      <c r="A293" s="5" t="n"/>
      <c r="B293" s="5" t="n"/>
      <c r="C293" s="5" t="n"/>
      <c r="D293" s="5" t="n"/>
      <c r="E293" s="5" t="n"/>
      <c r="F293" s="5" t="n"/>
    </row>
    <row r="294" ht="15.75" customHeight="1" s="115">
      <c r="A294" s="5" t="n"/>
      <c r="B294" s="5" t="n"/>
      <c r="C294" s="5" t="n"/>
      <c r="D294" s="5" t="n"/>
      <c r="E294" s="5" t="n"/>
      <c r="F294" s="5" t="n"/>
    </row>
    <row r="295" ht="15.75" customHeight="1" s="115">
      <c r="A295" s="5" t="n"/>
      <c r="B295" s="5" t="n"/>
      <c r="C295" s="5" t="n"/>
      <c r="D295" s="5" t="n"/>
      <c r="E295" s="5" t="n"/>
      <c r="F295" s="5" t="n"/>
    </row>
    <row r="296" ht="15.75" customHeight="1" s="115">
      <c r="A296" s="5" t="n"/>
      <c r="B296" s="5" t="n"/>
      <c r="C296" s="5" t="n"/>
      <c r="D296" s="5" t="n"/>
      <c r="E296" s="5" t="n"/>
      <c r="F296" s="5" t="n"/>
    </row>
    <row r="297" ht="15.75" customHeight="1" s="115">
      <c r="A297" s="5" t="n"/>
      <c r="B297" s="5" t="n"/>
      <c r="C297" s="5" t="n"/>
      <c r="D297" s="5" t="n"/>
      <c r="E297" s="5" t="n"/>
      <c r="F297" s="5" t="n"/>
    </row>
    <row r="298" ht="15.75" customHeight="1" s="115">
      <c r="A298" s="5" t="n"/>
      <c r="B298" s="5" t="n"/>
      <c r="C298" s="5" t="n"/>
      <c r="D298" s="5" t="n"/>
      <c r="E298" s="5" t="n"/>
      <c r="F298" s="5" t="n"/>
    </row>
    <row r="299" ht="15.75" customHeight="1" s="115">
      <c r="A299" s="5" t="n"/>
      <c r="B299" s="5" t="n"/>
      <c r="C299" s="5" t="n"/>
      <c r="D299" s="5" t="n"/>
      <c r="E299" s="5" t="n"/>
      <c r="F299" s="5" t="n"/>
    </row>
    <row r="300" ht="15.75" customHeight="1" s="115">
      <c r="A300" s="5" t="n"/>
      <c r="B300" s="5" t="n"/>
      <c r="C300" s="5" t="n"/>
      <c r="D300" s="5" t="n"/>
      <c r="E300" s="5" t="n"/>
      <c r="F300" s="5" t="n"/>
    </row>
    <row r="301" ht="15.75" customHeight="1" s="115">
      <c r="A301" s="5" t="n"/>
      <c r="B301" s="5" t="n"/>
      <c r="C301" s="5" t="n"/>
      <c r="D301" s="5" t="n"/>
      <c r="E301" s="5" t="n"/>
      <c r="F301" s="5" t="n"/>
    </row>
    <row r="302" ht="15.75" customHeight="1" s="115">
      <c r="A302" s="5" t="n"/>
      <c r="B302" s="5" t="n"/>
      <c r="C302" s="5" t="n"/>
      <c r="D302" s="5" t="n"/>
      <c r="E302" s="5" t="n"/>
      <c r="F302" s="5" t="n"/>
    </row>
    <row r="303" ht="15.75" customHeight="1" s="115">
      <c r="A303" s="5" t="n"/>
      <c r="B303" s="5" t="n"/>
      <c r="C303" s="5" t="n"/>
      <c r="D303" s="5" t="n"/>
      <c r="E303" s="5" t="n"/>
      <c r="F303" s="5" t="n"/>
    </row>
    <row r="304" ht="15.75" customHeight="1" s="115">
      <c r="A304" s="5" t="n"/>
      <c r="B304" s="5" t="n"/>
      <c r="C304" s="5" t="n"/>
      <c r="D304" s="5" t="n"/>
      <c r="E304" s="5" t="n"/>
      <c r="F304" s="5" t="n"/>
    </row>
    <row r="305" ht="15.75" customHeight="1" s="115">
      <c r="A305" s="5" t="n"/>
      <c r="B305" s="5" t="n"/>
      <c r="C305" s="5" t="n"/>
      <c r="D305" s="5" t="n"/>
      <c r="E305" s="5" t="n"/>
      <c r="F305" s="5" t="n"/>
    </row>
    <row r="306" ht="15.75" customHeight="1" s="115">
      <c r="A306" s="5" t="n"/>
      <c r="B306" s="5" t="n"/>
      <c r="C306" s="5" t="n"/>
      <c r="D306" s="5" t="n"/>
      <c r="E306" s="5" t="n"/>
      <c r="F306" s="5" t="n"/>
    </row>
    <row r="307" ht="15.75" customHeight="1" s="115">
      <c r="A307" s="5" t="n"/>
      <c r="B307" s="5" t="n"/>
      <c r="C307" s="5" t="n"/>
      <c r="D307" s="5" t="n"/>
      <c r="E307" s="5" t="n"/>
      <c r="F307" s="5" t="n"/>
    </row>
    <row r="308" ht="15.75" customHeight="1" s="115">
      <c r="A308" s="5" t="n"/>
      <c r="B308" s="5" t="n"/>
      <c r="C308" s="5" t="n"/>
      <c r="D308" s="5" t="n"/>
      <c r="E308" s="5" t="n"/>
      <c r="F308" s="5" t="n"/>
    </row>
    <row r="309" ht="15.75" customHeight="1" s="115">
      <c r="A309" s="5" t="n"/>
      <c r="B309" s="5" t="n"/>
      <c r="C309" s="5" t="n"/>
      <c r="D309" s="5" t="n"/>
      <c r="E309" s="5" t="n"/>
      <c r="F309" s="5" t="n"/>
    </row>
    <row r="310" ht="15.75" customHeight="1" s="115">
      <c r="A310" s="5" t="n"/>
      <c r="B310" s="5" t="n"/>
      <c r="C310" s="5" t="n"/>
      <c r="D310" s="5" t="n"/>
      <c r="E310" s="5" t="n"/>
      <c r="F310" s="5" t="n"/>
    </row>
    <row r="311" ht="15.75" customHeight="1" s="115">
      <c r="A311" s="5" t="n"/>
      <c r="B311" s="5" t="n"/>
      <c r="C311" s="5" t="n"/>
      <c r="D311" s="5" t="n"/>
      <c r="E311" s="5" t="n"/>
      <c r="F311" s="5" t="n"/>
    </row>
    <row r="312" ht="15.75" customHeight="1" s="115">
      <c r="A312" s="5" t="n"/>
      <c r="B312" s="5" t="n"/>
      <c r="C312" s="5" t="n"/>
      <c r="D312" s="5" t="n"/>
      <c r="E312" s="5" t="n"/>
      <c r="F312" s="5" t="n"/>
    </row>
    <row r="313" ht="15.75" customHeight="1" s="115">
      <c r="A313" s="5" t="n"/>
      <c r="B313" s="5" t="n"/>
      <c r="C313" s="5" t="n"/>
      <c r="D313" s="5" t="n"/>
      <c r="E313" s="5" t="n"/>
      <c r="F313" s="5" t="n"/>
    </row>
    <row r="314" ht="15.75" customHeight="1" s="115">
      <c r="A314" s="5" t="n"/>
      <c r="B314" s="5" t="n"/>
      <c r="C314" s="5" t="n"/>
      <c r="D314" s="5" t="n"/>
      <c r="E314" s="5" t="n"/>
      <c r="F314" s="5" t="n"/>
    </row>
    <row r="315" ht="15.75" customHeight="1" s="115">
      <c r="A315" s="5" t="n"/>
      <c r="B315" s="5" t="n"/>
      <c r="C315" s="5" t="n"/>
      <c r="D315" s="5" t="n"/>
      <c r="E315" s="5" t="n"/>
      <c r="F315" s="5" t="n"/>
    </row>
    <row r="316" ht="15.75" customHeight="1" s="115">
      <c r="A316" s="5" t="n"/>
      <c r="B316" s="5" t="n"/>
      <c r="C316" s="5" t="n"/>
      <c r="D316" s="5" t="n"/>
      <c r="E316" s="5" t="n"/>
      <c r="F316" s="5" t="n"/>
    </row>
    <row r="317" ht="15.75" customHeight="1" s="115">
      <c r="A317" s="5" t="n"/>
      <c r="B317" s="5" t="n"/>
      <c r="C317" s="5" t="n"/>
      <c r="D317" s="5" t="n"/>
      <c r="E317" s="5" t="n"/>
      <c r="F317" s="5" t="n"/>
    </row>
    <row r="318" ht="15.75" customHeight="1" s="115">
      <c r="A318" s="5" t="n"/>
      <c r="B318" s="5" t="n"/>
      <c r="C318" s="5" t="n"/>
      <c r="D318" s="5" t="n"/>
      <c r="E318" s="5" t="n"/>
      <c r="F318" s="5" t="n"/>
    </row>
    <row r="319" ht="15.75" customHeight="1" s="115">
      <c r="A319" s="5" t="n"/>
      <c r="B319" s="5" t="n"/>
      <c r="C319" s="5" t="n"/>
      <c r="D319" s="5" t="n"/>
      <c r="E319" s="5" t="n"/>
      <c r="F319" s="5" t="n"/>
    </row>
    <row r="320" ht="15.75" customHeight="1" s="115">
      <c r="A320" s="5" t="n"/>
      <c r="B320" s="5" t="n"/>
      <c r="C320" s="5" t="n"/>
      <c r="D320" s="5" t="n"/>
      <c r="E320" s="5" t="n"/>
      <c r="F320" s="5" t="n"/>
    </row>
    <row r="321" ht="15.75" customHeight="1" s="115">
      <c r="A321" s="5" t="n"/>
      <c r="B321" s="5" t="n"/>
      <c r="C321" s="5" t="n"/>
      <c r="D321" s="5" t="n"/>
      <c r="E321" s="5" t="n"/>
      <c r="F321" s="5" t="n"/>
    </row>
    <row r="322" ht="15.75" customHeight="1" s="115">
      <c r="A322" s="5" t="n"/>
      <c r="B322" s="5" t="n"/>
      <c r="C322" s="5" t="n"/>
      <c r="D322" s="5" t="n"/>
      <c r="E322" s="5" t="n"/>
      <c r="F322" s="5" t="n"/>
    </row>
    <row r="323" ht="15.75" customHeight="1" s="115">
      <c r="A323" s="5" t="n"/>
      <c r="B323" s="5" t="n"/>
      <c r="C323" s="5" t="n"/>
      <c r="D323" s="5" t="n"/>
      <c r="E323" s="5" t="n"/>
      <c r="F323" s="5" t="n"/>
    </row>
    <row r="324" ht="15.75" customHeight="1" s="115">
      <c r="A324" s="5" t="n"/>
      <c r="B324" s="5" t="n"/>
      <c r="C324" s="5" t="n"/>
      <c r="D324" s="5" t="n"/>
      <c r="E324" s="5" t="n"/>
      <c r="F324" s="5" t="n"/>
    </row>
    <row r="325" ht="15.75" customHeight="1" s="115">
      <c r="A325" s="5" t="n"/>
      <c r="B325" s="5" t="n"/>
      <c r="C325" s="5" t="n"/>
      <c r="D325" s="5" t="n"/>
      <c r="E325" s="5" t="n"/>
      <c r="F325" s="5" t="n"/>
    </row>
    <row r="326" ht="15.75" customHeight="1" s="115">
      <c r="A326" s="5" t="n"/>
      <c r="B326" s="5" t="n"/>
      <c r="C326" s="5" t="n"/>
      <c r="D326" s="5" t="n"/>
      <c r="E326" s="5" t="n"/>
      <c r="F326" s="5" t="n"/>
    </row>
    <row r="327" ht="15.75" customHeight="1" s="115">
      <c r="A327" s="5" t="n"/>
      <c r="B327" s="5" t="n"/>
      <c r="C327" s="5" t="n"/>
      <c r="D327" s="5" t="n"/>
      <c r="E327" s="5" t="n"/>
      <c r="F327" s="5" t="n"/>
    </row>
    <row r="328" ht="15.75" customHeight="1" s="115">
      <c r="A328" s="5" t="n"/>
      <c r="B328" s="5" t="n"/>
      <c r="C328" s="5" t="n"/>
      <c r="D328" s="5" t="n"/>
      <c r="E328" s="5" t="n"/>
      <c r="F328" s="5" t="n"/>
    </row>
    <row r="329" ht="15.75" customHeight="1" s="115">
      <c r="A329" s="5" t="n"/>
      <c r="B329" s="5" t="n"/>
      <c r="C329" s="5" t="n"/>
      <c r="D329" s="5" t="n"/>
      <c r="E329" s="5" t="n"/>
      <c r="F329" s="5" t="n"/>
    </row>
    <row r="330" ht="15.75" customHeight="1" s="115">
      <c r="A330" s="5" t="n"/>
      <c r="B330" s="5" t="n"/>
      <c r="C330" s="5" t="n"/>
      <c r="D330" s="5" t="n"/>
      <c r="E330" s="5" t="n"/>
      <c r="F330" s="5" t="n"/>
    </row>
    <row r="331" ht="15.75" customHeight="1" s="115">
      <c r="A331" s="5" t="n"/>
      <c r="B331" s="5" t="n"/>
      <c r="C331" s="5" t="n"/>
      <c r="D331" s="5" t="n"/>
      <c r="E331" s="5" t="n"/>
      <c r="F331" s="5" t="n"/>
    </row>
    <row r="332" ht="15.75" customHeight="1" s="115">
      <c r="A332" s="5" t="n"/>
      <c r="B332" s="5" t="n"/>
      <c r="C332" s="5" t="n"/>
      <c r="D332" s="5" t="n"/>
      <c r="E332" s="5" t="n"/>
      <c r="F332" s="5" t="n"/>
    </row>
    <row r="333" ht="15.75" customHeight="1" s="115">
      <c r="A333" s="5" t="n"/>
      <c r="B333" s="5" t="n"/>
      <c r="C333" s="5" t="n"/>
      <c r="D333" s="5" t="n"/>
      <c r="E333" s="5" t="n"/>
      <c r="F333" s="5" t="n"/>
    </row>
    <row r="334" ht="15.75" customHeight="1" s="115">
      <c r="A334" s="5" t="n"/>
      <c r="B334" s="5" t="n"/>
      <c r="C334" s="5" t="n"/>
      <c r="D334" s="5" t="n"/>
      <c r="E334" s="5" t="n"/>
      <c r="F334" s="5" t="n"/>
    </row>
    <row r="335" ht="15.75" customHeight="1" s="115">
      <c r="A335" s="5" t="n"/>
      <c r="B335" s="5" t="n"/>
      <c r="C335" s="5" t="n"/>
      <c r="D335" s="5" t="n"/>
      <c r="E335" s="5" t="n"/>
      <c r="F335" s="5" t="n"/>
    </row>
    <row r="336" ht="15.75" customHeight="1" s="115">
      <c r="A336" s="5" t="n"/>
      <c r="B336" s="5" t="n"/>
      <c r="C336" s="5" t="n"/>
      <c r="D336" s="5" t="n"/>
      <c r="E336" s="5" t="n"/>
      <c r="F336" s="5" t="n"/>
    </row>
    <row r="337" ht="15.75" customHeight="1" s="115">
      <c r="A337" s="5" t="n"/>
      <c r="B337" s="5" t="n"/>
      <c r="C337" s="5" t="n"/>
      <c r="D337" s="5" t="n"/>
      <c r="E337" s="5" t="n"/>
      <c r="F337" s="5" t="n"/>
    </row>
    <row r="338" ht="15.75" customHeight="1" s="115">
      <c r="A338" s="5" t="n"/>
      <c r="B338" s="5" t="n"/>
      <c r="C338" s="5" t="n"/>
      <c r="D338" s="5" t="n"/>
      <c r="E338" s="5" t="n"/>
      <c r="F338" s="5" t="n"/>
    </row>
    <row r="339" ht="15.75" customHeight="1" s="115">
      <c r="A339" s="5" t="n"/>
      <c r="B339" s="5" t="n"/>
      <c r="C339" s="5" t="n"/>
      <c r="D339" s="5" t="n"/>
      <c r="E339" s="5" t="n"/>
      <c r="F339" s="5" t="n"/>
    </row>
    <row r="340" ht="15.75" customHeight="1" s="115">
      <c r="A340" s="5" t="n"/>
      <c r="B340" s="5" t="n"/>
      <c r="C340" s="5" t="n"/>
      <c r="D340" s="5" t="n"/>
      <c r="E340" s="5" t="n"/>
      <c r="F340" s="5" t="n"/>
    </row>
    <row r="341" ht="15.75" customHeight="1" s="115">
      <c r="A341" s="5" t="n"/>
      <c r="B341" s="5" t="n"/>
      <c r="C341" s="5" t="n"/>
      <c r="D341" s="5" t="n"/>
      <c r="E341" s="5" t="n"/>
      <c r="F341" s="5" t="n"/>
    </row>
    <row r="342" ht="15.75" customHeight="1" s="115">
      <c r="A342" s="5" t="n"/>
      <c r="B342" s="5" t="n"/>
      <c r="C342" s="5" t="n"/>
      <c r="D342" s="5" t="n"/>
      <c r="E342" s="5" t="n"/>
      <c r="F342" s="5" t="n"/>
    </row>
    <row r="343" ht="15.75" customHeight="1" s="115">
      <c r="A343" s="5" t="n"/>
      <c r="B343" s="5" t="n"/>
      <c r="C343" s="5" t="n"/>
      <c r="D343" s="5" t="n"/>
      <c r="E343" s="5" t="n"/>
      <c r="F343" s="5" t="n"/>
    </row>
    <row r="344" ht="15.75" customHeight="1" s="115">
      <c r="A344" s="5" t="n"/>
      <c r="B344" s="5" t="n"/>
      <c r="C344" s="5" t="n"/>
      <c r="D344" s="5" t="n"/>
      <c r="E344" s="5" t="n"/>
      <c r="F344" s="5" t="n"/>
    </row>
    <row r="345" ht="15.75" customHeight="1" s="115">
      <c r="A345" s="5" t="n"/>
      <c r="B345" s="5" t="n"/>
      <c r="C345" s="5" t="n"/>
      <c r="D345" s="5" t="n"/>
      <c r="E345" s="5" t="n"/>
      <c r="F345" s="5" t="n"/>
    </row>
    <row r="346" ht="15.75" customHeight="1" s="115">
      <c r="A346" s="5" t="n"/>
      <c r="B346" s="5" t="n"/>
      <c r="C346" s="5" t="n"/>
      <c r="D346" s="5" t="n"/>
      <c r="E346" s="5" t="n"/>
      <c r="F346" s="5" t="n"/>
    </row>
    <row r="347" ht="15.75" customHeight="1" s="115">
      <c r="A347" s="5" t="n"/>
      <c r="B347" s="5" t="n"/>
      <c r="C347" s="5" t="n"/>
      <c r="D347" s="5" t="n"/>
      <c r="E347" s="5" t="n"/>
      <c r="F347" s="5" t="n"/>
    </row>
    <row r="348" ht="15.75" customHeight="1" s="115">
      <c r="A348" s="5" t="n"/>
      <c r="B348" s="5" t="n"/>
      <c r="C348" s="5" t="n"/>
      <c r="D348" s="5" t="n"/>
      <c r="E348" s="5" t="n"/>
      <c r="F348" s="5" t="n"/>
    </row>
    <row r="349" ht="15.75" customHeight="1" s="115">
      <c r="A349" s="5" t="n"/>
      <c r="B349" s="5" t="n"/>
      <c r="C349" s="5" t="n"/>
      <c r="D349" s="5" t="n"/>
      <c r="E349" s="5" t="n"/>
      <c r="F349" s="5" t="n"/>
    </row>
    <row r="350" ht="15.75" customHeight="1" s="115">
      <c r="A350" s="5" t="n"/>
      <c r="B350" s="5" t="n"/>
      <c r="C350" s="5" t="n"/>
      <c r="D350" s="5" t="n"/>
      <c r="E350" s="5" t="n"/>
      <c r="F350" s="5" t="n"/>
    </row>
    <row r="351" ht="15.75" customHeight="1" s="115">
      <c r="A351" s="5" t="n"/>
      <c r="B351" s="5" t="n"/>
      <c r="C351" s="5" t="n"/>
      <c r="D351" s="5" t="n"/>
      <c r="E351" s="5" t="n"/>
      <c r="F351" s="5" t="n"/>
    </row>
    <row r="352" ht="15.75" customHeight="1" s="115">
      <c r="A352" s="5" t="n"/>
      <c r="B352" s="5" t="n"/>
      <c r="C352" s="5" t="n"/>
      <c r="D352" s="5" t="n"/>
      <c r="E352" s="5" t="n"/>
      <c r="F352" s="5" t="n"/>
    </row>
    <row r="353" ht="15.75" customHeight="1" s="115">
      <c r="A353" s="5" t="n"/>
      <c r="B353" s="5" t="n"/>
      <c r="C353" s="5" t="n"/>
      <c r="D353" s="5" t="n"/>
      <c r="E353" s="5" t="n"/>
      <c r="F353" s="5" t="n"/>
    </row>
    <row r="354" ht="15.75" customHeight="1" s="115">
      <c r="A354" s="5" t="n"/>
      <c r="B354" s="5" t="n"/>
      <c r="C354" s="5" t="n"/>
      <c r="D354" s="5" t="n"/>
      <c r="E354" s="5" t="n"/>
      <c r="F354" s="5" t="n"/>
    </row>
    <row r="355" ht="15.75" customHeight="1" s="115">
      <c r="A355" s="5" t="n"/>
      <c r="B355" s="5" t="n"/>
      <c r="C355" s="5" t="n"/>
      <c r="D355" s="5" t="n"/>
      <c r="E355" s="5" t="n"/>
      <c r="F355" s="5" t="n"/>
    </row>
    <row r="356" ht="15.75" customHeight="1" s="115">
      <c r="A356" s="5" t="n"/>
      <c r="B356" s="5" t="n"/>
      <c r="C356" s="5" t="n"/>
      <c r="D356" s="5" t="n"/>
      <c r="E356" s="5" t="n"/>
      <c r="F356" s="5" t="n"/>
    </row>
    <row r="357" ht="15.75" customHeight="1" s="115">
      <c r="A357" s="5" t="n"/>
      <c r="B357" s="5" t="n"/>
      <c r="C357" s="5" t="n"/>
      <c r="D357" s="5" t="n"/>
      <c r="E357" s="5" t="n"/>
      <c r="F357" s="5" t="n"/>
    </row>
    <row r="358" ht="15.75" customHeight="1" s="115">
      <c r="A358" s="5" t="n"/>
      <c r="B358" s="5" t="n"/>
      <c r="C358" s="5" t="n"/>
      <c r="D358" s="5" t="n"/>
      <c r="E358" s="5" t="n"/>
      <c r="F358" s="5" t="n"/>
    </row>
    <row r="359" ht="15.75" customHeight="1" s="115">
      <c r="A359" s="5" t="n"/>
      <c r="B359" s="5" t="n"/>
      <c r="C359" s="5" t="n"/>
      <c r="D359" s="5" t="n"/>
      <c r="E359" s="5" t="n"/>
      <c r="F359" s="5" t="n"/>
    </row>
    <row r="360" ht="15.75" customHeight="1" s="115">
      <c r="A360" s="5" t="n"/>
      <c r="B360" s="5" t="n"/>
      <c r="C360" s="5" t="n"/>
      <c r="D360" s="5" t="n"/>
      <c r="E360" s="5" t="n"/>
      <c r="F360" s="5" t="n"/>
    </row>
    <row r="361" ht="15.75" customHeight="1" s="115">
      <c r="A361" s="5" t="n"/>
      <c r="B361" s="5" t="n"/>
      <c r="C361" s="5" t="n"/>
      <c r="D361" s="5" t="n"/>
      <c r="E361" s="5" t="n"/>
      <c r="F361" s="5" t="n"/>
    </row>
    <row r="362" ht="15.75" customHeight="1" s="115">
      <c r="A362" s="5" t="n"/>
      <c r="B362" s="5" t="n"/>
      <c r="C362" s="5" t="n"/>
      <c r="D362" s="5" t="n"/>
      <c r="E362" s="5" t="n"/>
      <c r="F362" s="5" t="n"/>
    </row>
    <row r="363" ht="15.75" customHeight="1" s="115">
      <c r="A363" s="5" t="n"/>
      <c r="B363" s="5" t="n"/>
      <c r="C363" s="5" t="n"/>
      <c r="D363" s="5" t="n"/>
      <c r="E363" s="5" t="n"/>
      <c r="F363" s="5" t="n"/>
    </row>
    <row r="364" ht="15.75" customHeight="1" s="115">
      <c r="A364" s="5" t="n"/>
      <c r="B364" s="5" t="n"/>
      <c r="C364" s="5" t="n"/>
      <c r="D364" s="5" t="n"/>
      <c r="E364" s="5" t="n"/>
      <c r="F364" s="5" t="n"/>
    </row>
    <row r="365" ht="15.75" customHeight="1" s="115">
      <c r="A365" s="5" t="n"/>
      <c r="B365" s="5" t="n"/>
      <c r="C365" s="5" t="n"/>
      <c r="D365" s="5" t="n"/>
      <c r="E365" s="5" t="n"/>
      <c r="F365" s="5" t="n"/>
    </row>
    <row r="366" ht="15.75" customHeight="1" s="115">
      <c r="A366" s="5" t="n"/>
      <c r="B366" s="5" t="n"/>
      <c r="C366" s="5" t="n"/>
      <c r="D366" s="5" t="n"/>
      <c r="E366" s="5" t="n"/>
      <c r="F366" s="5" t="n"/>
    </row>
    <row r="367" ht="15.75" customHeight="1" s="115">
      <c r="A367" s="5" t="n"/>
      <c r="B367" s="5" t="n"/>
      <c r="C367" s="5" t="n"/>
      <c r="D367" s="5" t="n"/>
      <c r="E367" s="5" t="n"/>
      <c r="F367" s="5" t="n"/>
    </row>
    <row r="368" ht="15.75" customHeight="1" s="115">
      <c r="A368" s="5" t="n"/>
      <c r="B368" s="5" t="n"/>
      <c r="C368" s="5" t="n"/>
      <c r="D368" s="5" t="n"/>
      <c r="E368" s="5" t="n"/>
      <c r="F368" s="5" t="n"/>
    </row>
    <row r="369" ht="15.75" customHeight="1" s="115">
      <c r="A369" s="5" t="n"/>
      <c r="B369" s="5" t="n"/>
      <c r="C369" s="5" t="n"/>
      <c r="D369" s="5" t="n"/>
      <c r="E369" s="5" t="n"/>
      <c r="F369" s="5" t="n"/>
    </row>
    <row r="370" ht="15.75" customHeight="1" s="115">
      <c r="A370" s="5" t="n"/>
      <c r="B370" s="5" t="n"/>
      <c r="C370" s="5" t="n"/>
      <c r="D370" s="5" t="n"/>
      <c r="E370" s="5" t="n"/>
      <c r="F370" s="5" t="n"/>
    </row>
    <row r="371" ht="15.75" customHeight="1" s="115">
      <c r="A371" s="5" t="n"/>
      <c r="B371" s="5" t="n"/>
      <c r="C371" s="5" t="n"/>
      <c r="D371" s="5" t="n"/>
      <c r="E371" s="5" t="n"/>
      <c r="F371" s="5" t="n"/>
    </row>
    <row r="372" ht="15.75" customHeight="1" s="115">
      <c r="A372" s="5" t="n"/>
      <c r="B372" s="5" t="n"/>
      <c r="C372" s="5" t="n"/>
      <c r="D372" s="5" t="n"/>
      <c r="E372" s="5" t="n"/>
      <c r="F372" s="5" t="n"/>
    </row>
    <row r="373" ht="15.75" customHeight="1" s="115">
      <c r="A373" s="5" t="n"/>
      <c r="B373" s="5" t="n"/>
      <c r="C373" s="5" t="n"/>
      <c r="D373" s="5" t="n"/>
      <c r="E373" s="5" t="n"/>
      <c r="F373" s="5" t="n"/>
    </row>
    <row r="374" ht="15.75" customHeight="1" s="115">
      <c r="A374" s="5" t="n"/>
      <c r="B374" s="5" t="n"/>
      <c r="C374" s="5" t="n"/>
      <c r="D374" s="5" t="n"/>
      <c r="E374" s="5" t="n"/>
      <c r="F374" s="5" t="n"/>
    </row>
    <row r="375" ht="15.75" customHeight="1" s="115">
      <c r="A375" s="5" t="n"/>
      <c r="B375" s="5" t="n"/>
      <c r="C375" s="5" t="n"/>
      <c r="D375" s="5" t="n"/>
      <c r="E375" s="5" t="n"/>
      <c r="F375" s="5" t="n"/>
    </row>
    <row r="376" ht="15.75" customHeight="1" s="115">
      <c r="A376" s="5" t="n"/>
      <c r="B376" s="5" t="n"/>
      <c r="C376" s="5" t="n"/>
      <c r="D376" s="5" t="n"/>
      <c r="E376" s="5" t="n"/>
      <c r="F376" s="5" t="n"/>
    </row>
    <row r="377" ht="15.75" customHeight="1" s="115">
      <c r="A377" s="5" t="n"/>
      <c r="B377" s="5" t="n"/>
      <c r="C377" s="5" t="n"/>
      <c r="D377" s="5" t="n"/>
      <c r="E377" s="5" t="n"/>
      <c r="F377" s="5" t="n"/>
    </row>
    <row r="378" ht="15.75" customHeight="1" s="115">
      <c r="A378" s="5" t="n"/>
      <c r="B378" s="5" t="n"/>
      <c r="C378" s="5" t="n"/>
      <c r="D378" s="5" t="n"/>
      <c r="E378" s="5" t="n"/>
      <c r="F378" s="5" t="n"/>
    </row>
    <row r="379" ht="15.75" customHeight="1" s="115">
      <c r="A379" s="5" t="n"/>
      <c r="B379" s="5" t="n"/>
      <c r="C379" s="5" t="n"/>
      <c r="D379" s="5" t="n"/>
      <c r="E379" s="5" t="n"/>
      <c r="F379" s="5" t="n"/>
    </row>
    <row r="380" ht="15.75" customHeight="1" s="115">
      <c r="A380" s="5" t="n"/>
      <c r="B380" s="5" t="n"/>
      <c r="C380" s="5" t="n"/>
      <c r="D380" s="5" t="n"/>
      <c r="E380" s="5" t="n"/>
      <c r="F380" s="5" t="n"/>
    </row>
    <row r="381" ht="15.75" customHeight="1" s="115">
      <c r="A381" s="5" t="n"/>
      <c r="B381" s="5" t="n"/>
      <c r="C381" s="5" t="n"/>
      <c r="D381" s="5" t="n"/>
      <c r="E381" s="5" t="n"/>
      <c r="F381" s="5" t="n"/>
    </row>
    <row r="382" ht="15.75" customHeight="1" s="115">
      <c r="A382" s="5" t="n"/>
      <c r="B382" s="5" t="n"/>
      <c r="C382" s="5" t="n"/>
      <c r="D382" s="5" t="n"/>
      <c r="E382" s="5" t="n"/>
      <c r="F382" s="5" t="n"/>
    </row>
    <row r="383" ht="15.75" customHeight="1" s="115">
      <c r="A383" s="5" t="n"/>
      <c r="B383" s="5" t="n"/>
      <c r="C383" s="5" t="n"/>
      <c r="D383" s="5" t="n"/>
      <c r="E383" s="5" t="n"/>
      <c r="F383" s="5" t="n"/>
    </row>
    <row r="384" ht="15.75" customHeight="1" s="115">
      <c r="A384" s="5" t="n"/>
      <c r="B384" s="5" t="n"/>
      <c r="C384" s="5" t="n"/>
      <c r="D384" s="5" t="n"/>
      <c r="E384" s="5" t="n"/>
      <c r="F384" s="5" t="n"/>
    </row>
    <row r="385" ht="15.75" customHeight="1" s="115">
      <c r="A385" s="5" t="n"/>
      <c r="B385" s="5" t="n"/>
      <c r="C385" s="5" t="n"/>
      <c r="D385" s="5" t="n"/>
      <c r="E385" s="5" t="n"/>
      <c r="F385" s="5" t="n"/>
    </row>
    <row r="386" ht="15.75" customHeight="1" s="115">
      <c r="A386" s="5" t="n"/>
      <c r="B386" s="5" t="n"/>
      <c r="C386" s="5" t="n"/>
      <c r="D386" s="5" t="n"/>
      <c r="E386" s="5" t="n"/>
      <c r="F386" s="5" t="n"/>
    </row>
    <row r="387" ht="15.75" customHeight="1" s="115">
      <c r="A387" s="5" t="n"/>
      <c r="B387" s="5" t="n"/>
      <c r="C387" s="5" t="n"/>
      <c r="D387" s="5" t="n"/>
      <c r="E387" s="5" t="n"/>
      <c r="F387" s="5" t="n"/>
    </row>
    <row r="388" ht="15.75" customHeight="1" s="115">
      <c r="A388" s="5" t="n"/>
      <c r="B388" s="5" t="n"/>
      <c r="C388" s="5" t="n"/>
      <c r="D388" s="5" t="n"/>
      <c r="E388" s="5" t="n"/>
      <c r="F388" s="5" t="n"/>
    </row>
    <row r="389" ht="15.75" customHeight="1" s="115">
      <c r="A389" s="5" t="n"/>
      <c r="B389" s="5" t="n"/>
      <c r="C389" s="5" t="n"/>
      <c r="D389" s="5" t="n"/>
      <c r="E389" s="5" t="n"/>
      <c r="F389" s="5" t="n"/>
    </row>
    <row r="390" ht="15.75" customHeight="1" s="115">
      <c r="A390" s="5" t="n"/>
      <c r="B390" s="5" t="n"/>
      <c r="C390" s="5" t="n"/>
      <c r="D390" s="5" t="n"/>
      <c r="E390" s="5" t="n"/>
      <c r="F390" s="5" t="n"/>
    </row>
    <row r="391" ht="15.75" customHeight="1" s="115">
      <c r="A391" s="5" t="n"/>
      <c r="B391" s="5" t="n"/>
      <c r="C391" s="5" t="n"/>
      <c r="D391" s="5" t="n"/>
      <c r="E391" s="5" t="n"/>
      <c r="F391" s="5" t="n"/>
    </row>
    <row r="392" ht="15.75" customHeight="1" s="115">
      <c r="A392" s="5" t="n"/>
      <c r="B392" s="5" t="n"/>
      <c r="C392" s="5" t="n"/>
      <c r="D392" s="5" t="n"/>
      <c r="E392" s="5" t="n"/>
      <c r="F392" s="5" t="n"/>
    </row>
    <row r="393" ht="15.75" customHeight="1" s="115">
      <c r="A393" s="5" t="n"/>
      <c r="B393" s="5" t="n"/>
      <c r="C393" s="5" t="n"/>
      <c r="D393" s="5" t="n"/>
      <c r="E393" s="5" t="n"/>
      <c r="F393" s="5" t="n"/>
    </row>
    <row r="394" ht="15.75" customHeight="1" s="115">
      <c r="A394" s="5" t="n"/>
      <c r="B394" s="5" t="n"/>
      <c r="C394" s="5" t="n"/>
      <c r="D394" s="5" t="n"/>
      <c r="E394" s="5" t="n"/>
      <c r="F394" s="5" t="n"/>
    </row>
    <row r="395" ht="15.75" customHeight="1" s="115">
      <c r="A395" s="5" t="n"/>
      <c r="B395" s="5" t="n"/>
      <c r="C395" s="5" t="n"/>
      <c r="D395" s="5" t="n"/>
      <c r="E395" s="5" t="n"/>
      <c r="F395" s="5" t="n"/>
    </row>
    <row r="396" ht="15.75" customHeight="1" s="115">
      <c r="A396" s="5" t="n"/>
      <c r="B396" s="5" t="n"/>
      <c r="C396" s="5" t="n"/>
      <c r="D396" s="5" t="n"/>
      <c r="E396" s="5" t="n"/>
      <c r="F396" s="5" t="n"/>
    </row>
    <row r="397" ht="15.75" customHeight="1" s="115">
      <c r="A397" s="5" t="n"/>
      <c r="B397" s="5" t="n"/>
      <c r="C397" s="5" t="n"/>
      <c r="D397" s="5" t="n"/>
      <c r="E397" s="5" t="n"/>
      <c r="F397" s="5" t="n"/>
    </row>
    <row r="398" ht="15.75" customHeight="1" s="115">
      <c r="A398" s="5" t="n"/>
      <c r="B398" s="5" t="n"/>
      <c r="C398" s="5" t="n"/>
      <c r="D398" s="5" t="n"/>
      <c r="E398" s="5" t="n"/>
      <c r="F398" s="5" t="n"/>
    </row>
    <row r="399" ht="15.75" customHeight="1" s="115">
      <c r="A399" s="5" t="n"/>
      <c r="B399" s="5" t="n"/>
      <c r="C399" s="5" t="n"/>
      <c r="D399" s="5" t="n"/>
      <c r="E399" s="5" t="n"/>
      <c r="F399" s="5" t="n"/>
    </row>
    <row r="400" ht="15.75" customHeight="1" s="115">
      <c r="A400" s="5" t="n"/>
      <c r="B400" s="5" t="n"/>
      <c r="C400" s="5" t="n"/>
      <c r="D400" s="5" t="n"/>
      <c r="E400" s="5" t="n"/>
      <c r="F400" s="5" t="n"/>
    </row>
    <row r="401" ht="15.75" customHeight="1" s="115">
      <c r="A401" s="5" t="n"/>
      <c r="B401" s="5" t="n"/>
      <c r="C401" s="5" t="n"/>
      <c r="D401" s="5" t="n"/>
      <c r="E401" s="5" t="n"/>
      <c r="F401" s="5" t="n"/>
    </row>
    <row r="402" ht="15.75" customHeight="1" s="115">
      <c r="A402" s="5" t="n"/>
      <c r="B402" s="5" t="n"/>
      <c r="C402" s="5" t="n"/>
      <c r="D402" s="5" t="n"/>
      <c r="E402" s="5" t="n"/>
      <c r="F402" s="5" t="n"/>
    </row>
    <row r="403" ht="15.75" customHeight="1" s="115">
      <c r="A403" s="5" t="n"/>
      <c r="B403" s="5" t="n"/>
      <c r="C403" s="5" t="n"/>
      <c r="D403" s="5" t="n"/>
      <c r="E403" s="5" t="n"/>
      <c r="F403" s="5" t="n"/>
    </row>
    <row r="404" ht="15.75" customHeight="1" s="115">
      <c r="A404" s="5" t="n"/>
      <c r="B404" s="5" t="n"/>
      <c r="C404" s="5" t="n"/>
      <c r="D404" s="5" t="n"/>
      <c r="E404" s="5" t="n"/>
      <c r="F404" s="5" t="n"/>
    </row>
    <row r="405" ht="15.75" customHeight="1" s="115">
      <c r="A405" s="5" t="n"/>
      <c r="B405" s="5" t="n"/>
      <c r="C405" s="5" t="n"/>
      <c r="D405" s="5" t="n"/>
      <c r="E405" s="5" t="n"/>
      <c r="F405" s="5" t="n"/>
    </row>
    <row r="406" ht="15.75" customHeight="1" s="115">
      <c r="A406" s="5" t="n"/>
      <c r="B406" s="5" t="n"/>
      <c r="C406" s="5" t="n"/>
      <c r="D406" s="5" t="n"/>
      <c r="E406" s="5" t="n"/>
      <c r="F406" s="5" t="n"/>
    </row>
    <row r="407" ht="15.75" customHeight="1" s="115">
      <c r="A407" s="5" t="n"/>
      <c r="B407" s="5" t="n"/>
      <c r="C407" s="5" t="n"/>
      <c r="D407" s="5" t="n"/>
      <c r="E407" s="5" t="n"/>
      <c r="F407" s="5" t="n"/>
    </row>
    <row r="408" ht="15.75" customHeight="1" s="115">
      <c r="A408" s="5" t="n"/>
      <c r="B408" s="5" t="n"/>
      <c r="C408" s="5" t="n"/>
      <c r="D408" s="5" t="n"/>
      <c r="E408" s="5" t="n"/>
      <c r="F408" s="5" t="n"/>
    </row>
    <row r="409" ht="15.75" customHeight="1" s="115">
      <c r="A409" s="5" t="n"/>
      <c r="B409" s="5" t="n"/>
      <c r="C409" s="5" t="n"/>
      <c r="D409" s="5" t="n"/>
      <c r="E409" s="5" t="n"/>
      <c r="F409" s="5" t="n"/>
    </row>
    <row r="410" ht="15.75" customHeight="1" s="115">
      <c r="A410" s="5" t="n"/>
      <c r="B410" s="5" t="n"/>
      <c r="C410" s="5" t="n"/>
      <c r="D410" s="5" t="n"/>
      <c r="E410" s="5" t="n"/>
      <c r="F410" s="5" t="n"/>
    </row>
    <row r="411" ht="15.75" customHeight="1" s="115">
      <c r="A411" s="5" t="n"/>
      <c r="B411" s="5" t="n"/>
      <c r="C411" s="5" t="n"/>
      <c r="D411" s="5" t="n"/>
      <c r="E411" s="5" t="n"/>
      <c r="F411" s="5" t="n"/>
    </row>
    <row r="412" ht="15.75" customHeight="1" s="115">
      <c r="A412" s="5" t="n"/>
      <c r="B412" s="5" t="n"/>
      <c r="C412" s="5" t="n"/>
      <c r="D412" s="5" t="n"/>
      <c r="E412" s="5" t="n"/>
      <c r="F412" s="5" t="n"/>
    </row>
    <row r="413" ht="15.75" customHeight="1" s="115">
      <c r="A413" s="5" t="n"/>
      <c r="B413" s="5" t="n"/>
      <c r="C413" s="5" t="n"/>
      <c r="D413" s="5" t="n"/>
      <c r="E413" s="5" t="n"/>
      <c r="F413" s="5" t="n"/>
    </row>
    <row r="414" ht="15.75" customHeight="1" s="115">
      <c r="A414" s="5" t="n"/>
      <c r="B414" s="5" t="n"/>
      <c r="C414" s="5" t="n"/>
      <c r="D414" s="5" t="n"/>
      <c r="E414" s="5" t="n"/>
      <c r="F414" s="5" t="n"/>
    </row>
    <row r="415" ht="15.75" customHeight="1" s="115">
      <c r="A415" s="5" t="n"/>
      <c r="B415" s="5" t="n"/>
      <c r="C415" s="5" t="n"/>
      <c r="D415" s="5" t="n"/>
      <c r="E415" s="5" t="n"/>
      <c r="F415" s="5" t="n"/>
    </row>
    <row r="416" ht="15.75" customHeight="1" s="115">
      <c r="A416" s="5" t="n"/>
      <c r="B416" s="5" t="n"/>
      <c r="C416" s="5" t="n"/>
      <c r="D416" s="5" t="n"/>
      <c r="E416" s="5" t="n"/>
      <c r="F416" s="5" t="n"/>
    </row>
    <row r="417" ht="15.75" customHeight="1" s="115">
      <c r="A417" s="5" t="n"/>
      <c r="B417" s="5" t="n"/>
      <c r="C417" s="5" t="n"/>
      <c r="D417" s="5" t="n"/>
      <c r="E417" s="5" t="n"/>
      <c r="F417" s="5" t="n"/>
    </row>
    <row r="418" ht="15.75" customHeight="1" s="115">
      <c r="A418" s="5" t="n"/>
      <c r="B418" s="5" t="n"/>
      <c r="C418" s="5" t="n"/>
      <c r="D418" s="5" t="n"/>
      <c r="E418" s="5" t="n"/>
      <c r="F418" s="5" t="n"/>
    </row>
    <row r="419" ht="15.75" customHeight="1" s="115">
      <c r="A419" s="5" t="n"/>
      <c r="B419" s="5" t="n"/>
      <c r="C419" s="5" t="n"/>
      <c r="D419" s="5" t="n"/>
      <c r="E419" s="5" t="n"/>
      <c r="F419" s="5" t="n"/>
    </row>
    <row r="420" ht="15.75" customHeight="1" s="115">
      <c r="A420" s="5" t="n"/>
      <c r="B420" s="5" t="n"/>
      <c r="C420" s="5" t="n"/>
      <c r="D420" s="5" t="n"/>
      <c r="E420" s="5" t="n"/>
      <c r="F420" s="5" t="n"/>
    </row>
    <row r="421" ht="15.75" customHeight="1" s="115">
      <c r="A421" s="5" t="n"/>
      <c r="B421" s="5" t="n"/>
      <c r="C421" s="5" t="n"/>
      <c r="D421" s="5" t="n"/>
      <c r="E421" s="5" t="n"/>
      <c r="F421" s="5" t="n"/>
    </row>
    <row r="422" ht="15.75" customHeight="1" s="115">
      <c r="A422" s="5" t="n"/>
      <c r="B422" s="5" t="n"/>
      <c r="C422" s="5" t="n"/>
      <c r="D422" s="5" t="n"/>
      <c r="E422" s="5" t="n"/>
      <c r="F422" s="5" t="n"/>
    </row>
    <row r="423" ht="15.75" customHeight="1" s="115">
      <c r="A423" s="5" t="n"/>
      <c r="B423" s="5" t="n"/>
      <c r="C423" s="5" t="n"/>
      <c r="D423" s="5" t="n"/>
      <c r="E423" s="5" t="n"/>
      <c r="F423" s="5" t="n"/>
    </row>
    <row r="424" ht="15.75" customHeight="1" s="115">
      <c r="A424" s="5" t="n"/>
      <c r="B424" s="5" t="n"/>
      <c r="C424" s="5" t="n"/>
      <c r="D424" s="5" t="n"/>
      <c r="E424" s="5" t="n"/>
      <c r="F424" s="5" t="n"/>
    </row>
    <row r="425" ht="15.75" customHeight="1" s="115">
      <c r="A425" s="5" t="n"/>
      <c r="B425" s="5" t="n"/>
      <c r="C425" s="5" t="n"/>
      <c r="D425" s="5" t="n"/>
      <c r="E425" s="5" t="n"/>
      <c r="F425" s="5" t="n"/>
    </row>
    <row r="426" ht="15.75" customHeight="1" s="115">
      <c r="A426" s="5" t="n"/>
      <c r="B426" s="5" t="n"/>
      <c r="C426" s="5" t="n"/>
      <c r="D426" s="5" t="n"/>
      <c r="E426" s="5" t="n"/>
      <c r="F426" s="5" t="n"/>
    </row>
    <row r="427" ht="15.75" customHeight="1" s="115">
      <c r="A427" s="5" t="n"/>
      <c r="B427" s="5" t="n"/>
      <c r="C427" s="5" t="n"/>
      <c r="D427" s="5" t="n"/>
      <c r="E427" s="5" t="n"/>
      <c r="F427" s="5" t="n"/>
    </row>
    <row r="428" ht="15.75" customHeight="1" s="115">
      <c r="A428" s="5" t="n"/>
      <c r="B428" s="5" t="n"/>
      <c r="C428" s="5" t="n"/>
      <c r="D428" s="5" t="n"/>
      <c r="E428" s="5" t="n"/>
      <c r="F428" s="5" t="n"/>
    </row>
    <row r="429" ht="15.75" customHeight="1" s="115">
      <c r="A429" s="5" t="n"/>
      <c r="B429" s="5" t="n"/>
      <c r="C429" s="5" t="n"/>
      <c r="D429" s="5" t="n"/>
      <c r="E429" s="5" t="n"/>
      <c r="F429" s="5" t="n"/>
    </row>
    <row r="430" ht="15.75" customHeight="1" s="115">
      <c r="A430" s="5" t="n"/>
      <c r="B430" s="5" t="n"/>
      <c r="C430" s="5" t="n"/>
      <c r="D430" s="5" t="n"/>
      <c r="E430" s="5" t="n"/>
      <c r="F430" s="5" t="n"/>
    </row>
    <row r="431" ht="15.75" customHeight="1" s="115">
      <c r="A431" s="5" t="n"/>
      <c r="B431" s="5" t="n"/>
      <c r="C431" s="5" t="n"/>
      <c r="D431" s="5" t="n"/>
      <c r="E431" s="5" t="n"/>
      <c r="F431" s="5" t="n"/>
    </row>
    <row r="432" ht="15.75" customHeight="1" s="115">
      <c r="A432" s="5" t="n"/>
      <c r="B432" s="5" t="n"/>
      <c r="C432" s="5" t="n"/>
      <c r="D432" s="5" t="n"/>
      <c r="E432" s="5" t="n"/>
      <c r="F432" s="5" t="n"/>
    </row>
    <row r="433" ht="15.75" customHeight="1" s="115">
      <c r="A433" s="5" t="n"/>
      <c r="B433" s="5" t="n"/>
      <c r="C433" s="5" t="n"/>
      <c r="D433" s="5" t="n"/>
      <c r="E433" s="5" t="n"/>
      <c r="F433" s="5" t="n"/>
    </row>
    <row r="434" ht="15.75" customHeight="1" s="115">
      <c r="A434" s="5" t="n"/>
      <c r="B434" s="5" t="n"/>
      <c r="C434" s="5" t="n"/>
      <c r="D434" s="5" t="n"/>
      <c r="E434" s="5" t="n"/>
      <c r="F434" s="5" t="n"/>
    </row>
    <row r="435" ht="15.75" customHeight="1" s="115">
      <c r="A435" s="5" t="n"/>
      <c r="B435" s="5" t="n"/>
      <c r="C435" s="5" t="n"/>
      <c r="D435" s="5" t="n"/>
      <c r="E435" s="5" t="n"/>
      <c r="F435" s="5" t="n"/>
    </row>
    <row r="436" ht="15.75" customHeight="1" s="115">
      <c r="A436" s="5" t="n"/>
      <c r="B436" s="5" t="n"/>
      <c r="C436" s="5" t="n"/>
      <c r="D436" s="5" t="n"/>
      <c r="E436" s="5" t="n"/>
      <c r="F436" s="5" t="n"/>
    </row>
    <row r="437" ht="15.75" customHeight="1" s="115">
      <c r="A437" s="5" t="n"/>
      <c r="B437" s="5" t="n"/>
      <c r="C437" s="5" t="n"/>
      <c r="D437" s="5" t="n"/>
      <c r="E437" s="5" t="n"/>
      <c r="F437" s="5" t="n"/>
    </row>
    <row r="438" ht="15.75" customHeight="1" s="115">
      <c r="A438" s="5" t="n"/>
      <c r="B438" s="5" t="n"/>
      <c r="C438" s="5" t="n"/>
      <c r="D438" s="5" t="n"/>
      <c r="E438" s="5" t="n"/>
      <c r="F438" s="5" t="n"/>
    </row>
    <row r="439" ht="15.75" customHeight="1" s="115">
      <c r="A439" s="5" t="n"/>
      <c r="B439" s="5" t="n"/>
      <c r="C439" s="5" t="n"/>
      <c r="D439" s="5" t="n"/>
      <c r="E439" s="5" t="n"/>
      <c r="F439" s="5" t="n"/>
    </row>
    <row r="440" ht="15.75" customHeight="1" s="115">
      <c r="A440" s="5" t="n"/>
      <c r="B440" s="5" t="n"/>
      <c r="C440" s="5" t="n"/>
      <c r="D440" s="5" t="n"/>
      <c r="E440" s="5" t="n"/>
      <c r="F440" s="5" t="n"/>
    </row>
    <row r="441" ht="15.75" customHeight="1" s="115">
      <c r="A441" s="5" t="n"/>
      <c r="B441" s="5" t="n"/>
      <c r="C441" s="5" t="n"/>
      <c r="D441" s="5" t="n"/>
      <c r="E441" s="5" t="n"/>
      <c r="F441" s="5" t="n"/>
    </row>
    <row r="442" ht="15.75" customHeight="1" s="115">
      <c r="A442" s="5" t="n"/>
      <c r="B442" s="5" t="n"/>
      <c r="C442" s="5" t="n"/>
      <c r="D442" s="5" t="n"/>
      <c r="E442" s="5" t="n"/>
      <c r="F442" s="5" t="n"/>
    </row>
    <row r="443" ht="15.75" customHeight="1" s="115">
      <c r="A443" s="5" t="n"/>
      <c r="B443" s="5" t="n"/>
      <c r="C443" s="5" t="n"/>
      <c r="D443" s="5" t="n"/>
      <c r="E443" s="5" t="n"/>
      <c r="F443" s="5" t="n"/>
    </row>
    <row r="444" ht="15.75" customHeight="1" s="115">
      <c r="A444" s="5" t="n"/>
      <c r="B444" s="5" t="n"/>
      <c r="C444" s="5" t="n"/>
      <c r="D444" s="5" t="n"/>
      <c r="E444" s="5" t="n"/>
      <c r="F444" s="5" t="n"/>
    </row>
    <row r="445" ht="15.75" customHeight="1" s="115">
      <c r="A445" s="5" t="n"/>
      <c r="B445" s="5" t="n"/>
      <c r="C445" s="5" t="n"/>
      <c r="D445" s="5" t="n"/>
      <c r="E445" s="5" t="n"/>
      <c r="F445" s="5" t="n"/>
    </row>
    <row r="446" ht="15.75" customHeight="1" s="115">
      <c r="A446" s="5" t="n"/>
      <c r="B446" s="5" t="n"/>
      <c r="C446" s="5" t="n"/>
      <c r="D446" s="5" t="n"/>
      <c r="E446" s="5" t="n"/>
      <c r="F446" s="5" t="n"/>
    </row>
    <row r="447" ht="15.75" customHeight="1" s="115">
      <c r="A447" s="5" t="n"/>
      <c r="B447" s="5" t="n"/>
      <c r="C447" s="5" t="n"/>
      <c r="D447" s="5" t="n"/>
      <c r="E447" s="5" t="n"/>
      <c r="F447" s="5" t="n"/>
    </row>
    <row r="448" ht="15.75" customHeight="1" s="115">
      <c r="A448" s="5" t="n"/>
      <c r="B448" s="5" t="n"/>
      <c r="C448" s="5" t="n"/>
      <c r="D448" s="5" t="n"/>
      <c r="E448" s="5" t="n"/>
      <c r="F448" s="5" t="n"/>
    </row>
    <row r="449" ht="15.75" customHeight="1" s="115">
      <c r="A449" s="5" t="n"/>
      <c r="B449" s="5" t="n"/>
      <c r="C449" s="5" t="n"/>
      <c r="D449" s="5" t="n"/>
      <c r="E449" s="5" t="n"/>
      <c r="F449" s="5" t="n"/>
    </row>
    <row r="450" ht="15.75" customHeight="1" s="115">
      <c r="A450" s="5" t="n"/>
      <c r="B450" s="5" t="n"/>
      <c r="C450" s="5" t="n"/>
      <c r="D450" s="5" t="n"/>
      <c r="E450" s="5" t="n"/>
      <c r="F450" s="5" t="n"/>
    </row>
    <row r="451" ht="15.75" customHeight="1" s="115">
      <c r="A451" s="5" t="n"/>
      <c r="B451" s="5" t="n"/>
      <c r="C451" s="5" t="n"/>
      <c r="D451" s="5" t="n"/>
      <c r="E451" s="5" t="n"/>
      <c r="F451" s="5" t="n"/>
    </row>
    <row r="452" ht="15.75" customHeight="1" s="115">
      <c r="A452" s="5" t="n"/>
      <c r="B452" s="5" t="n"/>
      <c r="C452" s="5" t="n"/>
      <c r="D452" s="5" t="n"/>
      <c r="E452" s="5" t="n"/>
      <c r="F452" s="5" t="n"/>
    </row>
    <row r="453" ht="15.75" customHeight="1" s="115">
      <c r="A453" s="5" t="n"/>
      <c r="B453" s="5" t="n"/>
      <c r="C453" s="5" t="n"/>
      <c r="D453" s="5" t="n"/>
      <c r="E453" s="5" t="n"/>
      <c r="F453" s="5" t="n"/>
    </row>
    <row r="454" ht="15.75" customHeight="1" s="115">
      <c r="A454" s="5" t="n"/>
      <c r="B454" s="5" t="n"/>
      <c r="C454" s="5" t="n"/>
      <c r="D454" s="5" t="n"/>
      <c r="E454" s="5" t="n"/>
      <c r="F454" s="5" t="n"/>
    </row>
    <row r="455" ht="15.75" customHeight="1" s="115">
      <c r="A455" s="5" t="n"/>
      <c r="B455" s="5" t="n"/>
      <c r="C455" s="5" t="n"/>
      <c r="D455" s="5" t="n"/>
      <c r="E455" s="5" t="n"/>
      <c r="F455" s="5" t="n"/>
    </row>
    <row r="456" ht="15.75" customHeight="1" s="115">
      <c r="A456" s="5" t="n"/>
      <c r="B456" s="5" t="n"/>
      <c r="C456" s="5" t="n"/>
      <c r="D456" s="5" t="n"/>
      <c r="E456" s="5" t="n"/>
      <c r="F456" s="5" t="n"/>
    </row>
    <row r="457" ht="15.75" customHeight="1" s="115">
      <c r="A457" s="5" t="n"/>
      <c r="B457" s="5" t="n"/>
      <c r="C457" s="5" t="n"/>
      <c r="D457" s="5" t="n"/>
      <c r="E457" s="5" t="n"/>
      <c r="F457" s="5" t="n"/>
    </row>
    <row r="458" ht="15.75" customHeight="1" s="115">
      <c r="A458" s="5" t="n"/>
      <c r="B458" s="5" t="n"/>
      <c r="C458" s="5" t="n"/>
      <c r="D458" s="5" t="n"/>
      <c r="E458" s="5" t="n"/>
      <c r="F458" s="5" t="n"/>
    </row>
    <row r="459" ht="15.75" customHeight="1" s="115">
      <c r="A459" s="5" t="n"/>
      <c r="B459" s="5" t="n"/>
      <c r="C459" s="5" t="n"/>
      <c r="D459" s="5" t="n"/>
      <c r="E459" s="5" t="n"/>
      <c r="F459" s="5" t="n"/>
    </row>
    <row r="460" ht="15.75" customHeight="1" s="115">
      <c r="A460" s="5" t="n"/>
      <c r="B460" s="5" t="n"/>
      <c r="C460" s="5" t="n"/>
      <c r="D460" s="5" t="n"/>
      <c r="E460" s="5" t="n"/>
      <c r="F460" s="5" t="n"/>
    </row>
    <row r="461" ht="15.75" customHeight="1" s="115">
      <c r="A461" s="5" t="n"/>
      <c r="B461" s="5" t="n"/>
      <c r="C461" s="5" t="n"/>
      <c r="D461" s="5" t="n"/>
      <c r="E461" s="5" t="n"/>
      <c r="F461" s="5" t="n"/>
    </row>
    <row r="462" ht="15.75" customHeight="1" s="115">
      <c r="A462" s="5" t="n"/>
      <c r="B462" s="5" t="n"/>
      <c r="C462" s="5" t="n"/>
      <c r="D462" s="5" t="n"/>
      <c r="E462" s="5" t="n"/>
      <c r="F462" s="5" t="n"/>
    </row>
    <row r="463" ht="15.75" customHeight="1" s="115">
      <c r="A463" s="5" t="n"/>
      <c r="B463" s="5" t="n"/>
      <c r="C463" s="5" t="n"/>
      <c r="D463" s="5" t="n"/>
      <c r="E463" s="5" t="n"/>
      <c r="F463" s="5" t="n"/>
    </row>
    <row r="464" ht="15.75" customHeight="1" s="115">
      <c r="A464" s="5" t="n"/>
      <c r="B464" s="5" t="n"/>
      <c r="C464" s="5" t="n"/>
      <c r="D464" s="5" t="n"/>
      <c r="E464" s="5" t="n"/>
      <c r="F464" s="5" t="n"/>
    </row>
    <row r="465" ht="15.75" customHeight="1" s="115">
      <c r="A465" s="5" t="n"/>
      <c r="B465" s="5" t="n"/>
      <c r="C465" s="5" t="n"/>
      <c r="D465" s="5" t="n"/>
      <c r="E465" s="5" t="n"/>
      <c r="F465" s="5" t="n"/>
    </row>
    <row r="466" ht="15.75" customHeight="1" s="115">
      <c r="A466" s="5" t="n"/>
      <c r="B466" s="5" t="n"/>
      <c r="C466" s="5" t="n"/>
      <c r="D466" s="5" t="n"/>
      <c r="E466" s="5" t="n"/>
      <c r="F466" s="5" t="n"/>
    </row>
    <row r="467" ht="15.75" customHeight="1" s="115">
      <c r="A467" s="5" t="n"/>
      <c r="B467" s="5" t="n"/>
      <c r="C467" s="5" t="n"/>
      <c r="D467" s="5" t="n"/>
      <c r="E467" s="5" t="n"/>
      <c r="F467" s="5" t="n"/>
    </row>
    <row r="468" ht="15.75" customHeight="1" s="115">
      <c r="A468" s="5" t="n"/>
      <c r="B468" s="5" t="n"/>
      <c r="C468" s="5" t="n"/>
      <c r="D468" s="5" t="n"/>
      <c r="E468" s="5" t="n"/>
      <c r="F468" s="5" t="n"/>
    </row>
    <row r="469" ht="15.75" customHeight="1" s="115">
      <c r="A469" s="5" t="n"/>
      <c r="B469" s="5" t="n"/>
      <c r="C469" s="5" t="n"/>
      <c r="D469" s="5" t="n"/>
      <c r="E469" s="5" t="n"/>
      <c r="F469" s="5" t="n"/>
    </row>
    <row r="470" ht="15.75" customHeight="1" s="115">
      <c r="A470" s="5" t="n"/>
      <c r="B470" s="5" t="n"/>
      <c r="C470" s="5" t="n"/>
      <c r="D470" s="5" t="n"/>
      <c r="E470" s="5" t="n"/>
      <c r="F470" s="5" t="n"/>
    </row>
    <row r="471" ht="15.75" customHeight="1" s="115">
      <c r="A471" s="5" t="n"/>
      <c r="B471" s="5" t="n"/>
      <c r="C471" s="5" t="n"/>
      <c r="D471" s="5" t="n"/>
      <c r="E471" s="5" t="n"/>
      <c r="F471" s="5" t="n"/>
    </row>
    <row r="472" ht="15.75" customHeight="1" s="115">
      <c r="A472" s="5" t="n"/>
      <c r="B472" s="5" t="n"/>
      <c r="C472" s="5" t="n"/>
      <c r="D472" s="5" t="n"/>
      <c r="E472" s="5" t="n"/>
      <c r="F472" s="5" t="n"/>
    </row>
    <row r="473" ht="15.75" customHeight="1" s="115">
      <c r="A473" s="5" t="n"/>
      <c r="B473" s="5" t="n"/>
      <c r="C473" s="5" t="n"/>
      <c r="D473" s="5" t="n"/>
      <c r="E473" s="5" t="n"/>
      <c r="F473" s="5" t="n"/>
    </row>
    <row r="474" ht="15.75" customHeight="1" s="115">
      <c r="A474" s="5" t="n"/>
      <c r="B474" s="5" t="n"/>
      <c r="C474" s="5" t="n"/>
      <c r="D474" s="5" t="n"/>
      <c r="E474" s="5" t="n"/>
      <c r="F474" s="5" t="n"/>
    </row>
    <row r="475" ht="15.75" customHeight="1" s="115">
      <c r="A475" s="5" t="n"/>
      <c r="B475" s="5" t="n"/>
      <c r="C475" s="5" t="n"/>
      <c r="D475" s="5" t="n"/>
      <c r="E475" s="5" t="n"/>
      <c r="F475" s="5" t="n"/>
    </row>
    <row r="476" ht="15.75" customHeight="1" s="115">
      <c r="A476" s="5" t="n"/>
      <c r="B476" s="5" t="n"/>
      <c r="C476" s="5" t="n"/>
      <c r="D476" s="5" t="n"/>
      <c r="E476" s="5" t="n"/>
      <c r="F476" s="5" t="n"/>
    </row>
    <row r="477" ht="15.75" customHeight="1" s="115">
      <c r="A477" s="5" t="n"/>
      <c r="B477" s="5" t="n"/>
      <c r="C477" s="5" t="n"/>
      <c r="D477" s="5" t="n"/>
      <c r="E477" s="5" t="n"/>
      <c r="F477" s="5" t="n"/>
    </row>
    <row r="478" ht="15.75" customHeight="1" s="115">
      <c r="A478" s="5" t="n"/>
      <c r="B478" s="5" t="n"/>
      <c r="C478" s="5" t="n"/>
      <c r="D478" s="5" t="n"/>
      <c r="E478" s="5" t="n"/>
      <c r="F478" s="5" t="n"/>
    </row>
    <row r="479" ht="15.75" customHeight="1" s="115">
      <c r="A479" s="5" t="n"/>
      <c r="B479" s="5" t="n"/>
      <c r="C479" s="5" t="n"/>
      <c r="D479" s="5" t="n"/>
      <c r="E479" s="5" t="n"/>
      <c r="F479" s="5" t="n"/>
    </row>
    <row r="480" ht="15.75" customHeight="1" s="115">
      <c r="A480" s="5" t="n"/>
      <c r="B480" s="5" t="n"/>
      <c r="C480" s="5" t="n"/>
      <c r="D480" s="5" t="n"/>
      <c r="E480" s="5" t="n"/>
      <c r="F480" s="5" t="n"/>
    </row>
    <row r="481" ht="15.75" customHeight="1" s="115">
      <c r="A481" s="5" t="n"/>
      <c r="B481" s="5" t="n"/>
      <c r="C481" s="5" t="n"/>
      <c r="D481" s="5" t="n"/>
      <c r="E481" s="5" t="n"/>
      <c r="F481" s="5" t="n"/>
    </row>
    <row r="482" ht="15.75" customHeight="1" s="115">
      <c r="A482" s="5" t="n"/>
      <c r="B482" s="5" t="n"/>
      <c r="C482" s="5" t="n"/>
      <c r="D482" s="5" t="n"/>
      <c r="E482" s="5" t="n"/>
      <c r="F482" s="5" t="n"/>
    </row>
    <row r="483" ht="15.75" customHeight="1" s="115">
      <c r="A483" s="5" t="n"/>
      <c r="B483" s="5" t="n"/>
      <c r="C483" s="5" t="n"/>
      <c r="D483" s="5" t="n"/>
      <c r="E483" s="5" t="n"/>
      <c r="F483" s="5" t="n"/>
    </row>
    <row r="484" ht="15.75" customHeight="1" s="115">
      <c r="A484" s="5" t="n"/>
      <c r="B484" s="5" t="n"/>
      <c r="C484" s="5" t="n"/>
      <c r="D484" s="5" t="n"/>
      <c r="E484" s="5" t="n"/>
      <c r="F484" s="5" t="n"/>
    </row>
    <row r="485" ht="15.75" customHeight="1" s="115">
      <c r="A485" s="5" t="n"/>
      <c r="B485" s="5" t="n"/>
      <c r="C485" s="5" t="n"/>
      <c r="D485" s="5" t="n"/>
      <c r="E485" s="5" t="n"/>
      <c r="F485" s="5" t="n"/>
    </row>
    <row r="486" ht="15.75" customHeight="1" s="115">
      <c r="A486" s="5" t="n"/>
      <c r="B486" s="5" t="n"/>
      <c r="C486" s="5" t="n"/>
      <c r="D486" s="5" t="n"/>
      <c r="E486" s="5" t="n"/>
      <c r="F486" s="5" t="n"/>
    </row>
    <row r="487" ht="15.75" customHeight="1" s="115">
      <c r="A487" s="5" t="n"/>
      <c r="B487" s="5" t="n"/>
      <c r="C487" s="5" t="n"/>
      <c r="D487" s="5" t="n"/>
      <c r="E487" s="5" t="n"/>
      <c r="F487" s="5" t="n"/>
    </row>
    <row r="488" ht="15.75" customHeight="1" s="115">
      <c r="A488" s="5" t="n"/>
      <c r="B488" s="5" t="n"/>
      <c r="C488" s="5" t="n"/>
      <c r="D488" s="5" t="n"/>
      <c r="E488" s="5" t="n"/>
      <c r="F488" s="5" t="n"/>
    </row>
    <row r="489" ht="15.75" customHeight="1" s="115">
      <c r="A489" s="5" t="n"/>
      <c r="B489" s="5" t="n"/>
      <c r="C489" s="5" t="n"/>
      <c r="D489" s="5" t="n"/>
      <c r="E489" s="5" t="n"/>
      <c r="F489" s="5" t="n"/>
    </row>
    <row r="490" ht="15.75" customHeight="1" s="115">
      <c r="A490" s="5" t="n"/>
      <c r="B490" s="5" t="n"/>
      <c r="C490" s="5" t="n"/>
      <c r="D490" s="5" t="n"/>
      <c r="E490" s="5" t="n"/>
      <c r="F490" s="5" t="n"/>
    </row>
    <row r="491" ht="15.75" customHeight="1" s="115">
      <c r="A491" s="5" t="n"/>
      <c r="B491" s="5" t="n"/>
      <c r="C491" s="5" t="n"/>
      <c r="D491" s="5" t="n"/>
      <c r="E491" s="5" t="n"/>
      <c r="F491" s="5" t="n"/>
    </row>
    <row r="492" ht="15.75" customHeight="1" s="115">
      <c r="A492" s="5" t="n"/>
      <c r="B492" s="5" t="n"/>
      <c r="C492" s="5" t="n"/>
      <c r="D492" s="5" t="n"/>
      <c r="E492" s="5" t="n"/>
      <c r="F492" s="5" t="n"/>
    </row>
    <row r="493" ht="15.75" customHeight="1" s="115">
      <c r="A493" s="5" t="n"/>
      <c r="B493" s="5" t="n"/>
      <c r="C493" s="5" t="n"/>
      <c r="D493" s="5" t="n"/>
      <c r="E493" s="5" t="n"/>
      <c r="F493" s="5" t="n"/>
    </row>
    <row r="494" ht="15.75" customHeight="1" s="115">
      <c r="A494" s="5" t="n"/>
      <c r="B494" s="5" t="n"/>
      <c r="C494" s="5" t="n"/>
      <c r="D494" s="5" t="n"/>
      <c r="E494" s="5" t="n"/>
      <c r="F494" s="5" t="n"/>
    </row>
    <row r="495" ht="15.75" customHeight="1" s="115">
      <c r="A495" s="5" t="n"/>
      <c r="B495" s="5" t="n"/>
      <c r="C495" s="5" t="n"/>
      <c r="D495" s="5" t="n"/>
      <c r="E495" s="5" t="n"/>
      <c r="F495" s="5" t="n"/>
    </row>
    <row r="496" ht="15.75" customHeight="1" s="115">
      <c r="A496" s="5" t="n"/>
      <c r="B496" s="5" t="n"/>
      <c r="C496" s="5" t="n"/>
      <c r="D496" s="5" t="n"/>
      <c r="E496" s="5" t="n"/>
      <c r="F496" s="5" t="n"/>
    </row>
    <row r="497" ht="15.75" customHeight="1" s="115">
      <c r="A497" s="5" t="n"/>
      <c r="B497" s="5" t="n"/>
      <c r="C497" s="5" t="n"/>
      <c r="D497" s="5" t="n"/>
      <c r="E497" s="5" t="n"/>
      <c r="F497" s="5" t="n"/>
    </row>
    <row r="498" ht="15.75" customHeight="1" s="115">
      <c r="A498" s="5" t="n"/>
      <c r="B498" s="5" t="n"/>
      <c r="C498" s="5" t="n"/>
      <c r="D498" s="5" t="n"/>
      <c r="E498" s="5" t="n"/>
      <c r="F498" s="5" t="n"/>
    </row>
    <row r="499" ht="15.75" customHeight="1" s="115">
      <c r="A499" s="5" t="n"/>
      <c r="B499" s="5" t="n"/>
      <c r="C499" s="5" t="n"/>
      <c r="D499" s="5" t="n"/>
      <c r="E499" s="5" t="n"/>
      <c r="F499" s="5" t="n"/>
    </row>
    <row r="500" ht="15.75" customHeight="1" s="115">
      <c r="A500" s="5" t="n"/>
      <c r="B500" s="5" t="n"/>
      <c r="C500" s="5" t="n"/>
      <c r="D500" s="5" t="n"/>
      <c r="E500" s="5" t="n"/>
      <c r="F500" s="5" t="n"/>
    </row>
    <row r="501" ht="15.75" customHeight="1" s="115">
      <c r="A501" s="5" t="n"/>
      <c r="B501" s="5" t="n"/>
      <c r="C501" s="5" t="n"/>
      <c r="D501" s="5" t="n"/>
      <c r="E501" s="5" t="n"/>
      <c r="F501" s="5" t="n"/>
    </row>
    <row r="502" ht="15.75" customHeight="1" s="115">
      <c r="A502" s="5" t="n"/>
      <c r="B502" s="5" t="n"/>
      <c r="C502" s="5" t="n"/>
      <c r="D502" s="5" t="n"/>
      <c r="E502" s="5" t="n"/>
      <c r="F502" s="5" t="n"/>
    </row>
    <row r="503" ht="15.75" customHeight="1" s="115">
      <c r="A503" s="5" t="n"/>
      <c r="B503" s="5" t="n"/>
      <c r="C503" s="5" t="n"/>
      <c r="D503" s="5" t="n"/>
      <c r="E503" s="5" t="n"/>
      <c r="F503" s="5" t="n"/>
    </row>
    <row r="504" ht="15.75" customHeight="1" s="115">
      <c r="A504" s="5" t="n"/>
      <c r="B504" s="5" t="n"/>
      <c r="C504" s="5" t="n"/>
      <c r="D504" s="5" t="n"/>
      <c r="E504" s="5" t="n"/>
      <c r="F504" s="5" t="n"/>
    </row>
    <row r="505" ht="15.75" customHeight="1" s="115">
      <c r="A505" s="5" t="n"/>
      <c r="B505" s="5" t="n"/>
      <c r="C505" s="5" t="n"/>
      <c r="D505" s="5" t="n"/>
      <c r="E505" s="5" t="n"/>
      <c r="F505" s="5" t="n"/>
    </row>
    <row r="506" ht="15.75" customHeight="1" s="115">
      <c r="A506" s="5" t="n"/>
      <c r="B506" s="5" t="n"/>
      <c r="C506" s="5" t="n"/>
      <c r="D506" s="5" t="n"/>
      <c r="E506" s="5" t="n"/>
      <c r="F506" s="5" t="n"/>
    </row>
    <row r="507" ht="15.75" customHeight="1" s="115">
      <c r="A507" s="5" t="n"/>
      <c r="B507" s="5" t="n"/>
      <c r="C507" s="5" t="n"/>
      <c r="D507" s="5" t="n"/>
      <c r="E507" s="5" t="n"/>
      <c r="F507" s="5" t="n"/>
    </row>
    <row r="508" ht="15.75" customHeight="1" s="115">
      <c r="A508" s="5" t="n"/>
      <c r="B508" s="5" t="n"/>
      <c r="C508" s="5" t="n"/>
      <c r="D508" s="5" t="n"/>
      <c r="E508" s="5" t="n"/>
      <c r="F508" s="5" t="n"/>
    </row>
    <row r="509" ht="15.75" customHeight="1" s="115">
      <c r="A509" s="5" t="n"/>
      <c r="B509" s="5" t="n"/>
      <c r="C509" s="5" t="n"/>
      <c r="D509" s="5" t="n"/>
      <c r="E509" s="5" t="n"/>
      <c r="F509" s="5" t="n"/>
    </row>
    <row r="510" ht="15.75" customHeight="1" s="115">
      <c r="A510" s="5" t="n"/>
      <c r="B510" s="5" t="n"/>
      <c r="C510" s="5" t="n"/>
      <c r="D510" s="5" t="n"/>
      <c r="E510" s="5" t="n"/>
      <c r="F510" s="5" t="n"/>
    </row>
    <row r="511" ht="15.75" customHeight="1" s="115">
      <c r="A511" s="5" t="n"/>
      <c r="B511" s="5" t="n"/>
      <c r="C511" s="5" t="n"/>
      <c r="D511" s="5" t="n"/>
      <c r="E511" s="5" t="n"/>
      <c r="F511" s="5" t="n"/>
    </row>
    <row r="512" ht="15.75" customHeight="1" s="115">
      <c r="A512" s="5" t="n"/>
      <c r="B512" s="5" t="n"/>
      <c r="C512" s="5" t="n"/>
      <c r="D512" s="5" t="n"/>
      <c r="E512" s="5" t="n"/>
      <c r="F512" s="5" t="n"/>
    </row>
    <row r="513" ht="15.75" customHeight="1" s="115">
      <c r="A513" s="5" t="n"/>
      <c r="B513" s="5" t="n"/>
      <c r="C513" s="5" t="n"/>
      <c r="D513" s="5" t="n"/>
      <c r="E513" s="5" t="n"/>
      <c r="F513" s="5" t="n"/>
    </row>
    <row r="514" ht="15.75" customHeight="1" s="115">
      <c r="A514" s="5" t="n"/>
      <c r="B514" s="5" t="n"/>
      <c r="C514" s="5" t="n"/>
      <c r="D514" s="5" t="n"/>
      <c r="E514" s="5" t="n"/>
      <c r="F514" s="5" t="n"/>
    </row>
    <row r="515" ht="15.75" customHeight="1" s="115">
      <c r="A515" s="5" t="n"/>
      <c r="B515" s="5" t="n"/>
      <c r="C515" s="5" t="n"/>
      <c r="D515" s="5" t="n"/>
      <c r="E515" s="5" t="n"/>
      <c r="F515" s="5" t="n"/>
    </row>
    <row r="516" ht="15.75" customHeight="1" s="115">
      <c r="A516" s="5" t="n"/>
      <c r="B516" s="5" t="n"/>
      <c r="C516" s="5" t="n"/>
      <c r="D516" s="5" t="n"/>
      <c r="E516" s="5" t="n"/>
      <c r="F516" s="5" t="n"/>
    </row>
    <row r="517" ht="15.75" customHeight="1" s="115">
      <c r="A517" s="5" t="n"/>
      <c r="B517" s="5" t="n"/>
      <c r="C517" s="5" t="n"/>
      <c r="D517" s="5" t="n"/>
      <c r="E517" s="5" t="n"/>
      <c r="F517" s="5" t="n"/>
    </row>
    <row r="518" ht="15.75" customHeight="1" s="115">
      <c r="A518" s="5" t="n"/>
      <c r="B518" s="5" t="n"/>
      <c r="C518" s="5" t="n"/>
      <c r="D518" s="5" t="n"/>
      <c r="E518" s="5" t="n"/>
      <c r="F518" s="5" t="n"/>
    </row>
    <row r="519" ht="15.75" customHeight="1" s="115">
      <c r="A519" s="5" t="n"/>
      <c r="B519" s="5" t="n"/>
      <c r="C519" s="5" t="n"/>
      <c r="D519" s="5" t="n"/>
      <c r="E519" s="5" t="n"/>
      <c r="F519" s="5" t="n"/>
    </row>
    <row r="520" ht="15.75" customHeight="1" s="115">
      <c r="A520" s="5" t="n"/>
      <c r="B520" s="5" t="n"/>
      <c r="C520" s="5" t="n"/>
      <c r="D520" s="5" t="n"/>
      <c r="E520" s="5" t="n"/>
      <c r="F520" s="5" t="n"/>
    </row>
    <row r="521" ht="15.75" customHeight="1" s="115">
      <c r="A521" s="5" t="n"/>
      <c r="B521" s="5" t="n"/>
      <c r="C521" s="5" t="n"/>
      <c r="D521" s="5" t="n"/>
      <c r="E521" s="5" t="n"/>
      <c r="F521" s="5" t="n"/>
    </row>
    <row r="522" ht="15.75" customHeight="1" s="115">
      <c r="A522" s="5" t="n"/>
      <c r="B522" s="5" t="n"/>
      <c r="C522" s="5" t="n"/>
      <c r="D522" s="5" t="n"/>
      <c r="E522" s="5" t="n"/>
      <c r="F522" s="5" t="n"/>
    </row>
    <row r="523" ht="15.75" customHeight="1" s="115">
      <c r="A523" s="5" t="n"/>
      <c r="B523" s="5" t="n"/>
      <c r="C523" s="5" t="n"/>
      <c r="D523" s="5" t="n"/>
      <c r="E523" s="5" t="n"/>
      <c r="F523" s="5" t="n"/>
    </row>
    <row r="524" ht="15.75" customHeight="1" s="115">
      <c r="A524" s="5" t="n"/>
      <c r="B524" s="5" t="n"/>
      <c r="C524" s="5" t="n"/>
      <c r="D524" s="5" t="n"/>
      <c r="E524" s="5" t="n"/>
      <c r="F524" s="5" t="n"/>
    </row>
    <row r="525" ht="15.75" customHeight="1" s="115">
      <c r="A525" s="5" t="n"/>
      <c r="B525" s="5" t="n"/>
      <c r="C525" s="5" t="n"/>
      <c r="D525" s="5" t="n"/>
      <c r="E525" s="5" t="n"/>
      <c r="F525" s="5" t="n"/>
    </row>
    <row r="526" ht="15.75" customHeight="1" s="115">
      <c r="A526" s="5" t="n"/>
      <c r="B526" s="5" t="n"/>
      <c r="C526" s="5" t="n"/>
      <c r="D526" s="5" t="n"/>
      <c r="E526" s="5" t="n"/>
      <c r="F526" s="5" t="n"/>
    </row>
    <row r="527" ht="15.75" customHeight="1" s="115">
      <c r="A527" s="5" t="n"/>
      <c r="B527" s="5" t="n"/>
      <c r="C527" s="5" t="n"/>
      <c r="D527" s="5" t="n"/>
      <c r="E527" s="5" t="n"/>
      <c r="F527" s="5" t="n"/>
    </row>
    <row r="528" ht="15.75" customHeight="1" s="115">
      <c r="A528" s="5" t="n"/>
      <c r="B528" s="5" t="n"/>
      <c r="C528" s="5" t="n"/>
      <c r="D528" s="5" t="n"/>
      <c r="E528" s="5" t="n"/>
      <c r="F528" s="5" t="n"/>
    </row>
    <row r="529" ht="15.75" customHeight="1" s="115">
      <c r="A529" s="5" t="n"/>
      <c r="B529" s="5" t="n"/>
      <c r="C529" s="5" t="n"/>
      <c r="D529" s="5" t="n"/>
      <c r="E529" s="5" t="n"/>
      <c r="F529" s="5" t="n"/>
    </row>
    <row r="530" ht="15.75" customHeight="1" s="115">
      <c r="A530" s="5" t="n"/>
      <c r="B530" s="5" t="n"/>
      <c r="C530" s="5" t="n"/>
      <c r="D530" s="5" t="n"/>
      <c r="E530" s="5" t="n"/>
      <c r="F530" s="5" t="n"/>
    </row>
    <row r="531" ht="15.75" customHeight="1" s="115">
      <c r="A531" s="5" t="n"/>
      <c r="B531" s="5" t="n"/>
      <c r="C531" s="5" t="n"/>
      <c r="D531" s="5" t="n"/>
      <c r="E531" s="5" t="n"/>
      <c r="F531" s="5" t="n"/>
    </row>
    <row r="532" ht="15.75" customHeight="1" s="115">
      <c r="A532" s="5" t="n"/>
      <c r="B532" s="5" t="n"/>
      <c r="C532" s="5" t="n"/>
      <c r="D532" s="5" t="n"/>
      <c r="E532" s="5" t="n"/>
      <c r="F532" s="5" t="n"/>
    </row>
    <row r="533" ht="15.75" customHeight="1" s="115">
      <c r="A533" s="5" t="n"/>
      <c r="B533" s="5" t="n"/>
      <c r="C533" s="5" t="n"/>
      <c r="D533" s="5" t="n"/>
      <c r="E533" s="5" t="n"/>
      <c r="F533" s="5" t="n"/>
    </row>
    <row r="534" ht="15.75" customHeight="1" s="115">
      <c r="A534" s="5" t="n"/>
      <c r="B534" s="5" t="n"/>
      <c r="C534" s="5" t="n"/>
      <c r="D534" s="5" t="n"/>
      <c r="E534" s="5" t="n"/>
      <c r="F534" s="5" t="n"/>
    </row>
    <row r="535" ht="15.75" customHeight="1" s="115">
      <c r="A535" s="5" t="n"/>
      <c r="B535" s="5" t="n"/>
      <c r="C535" s="5" t="n"/>
      <c r="D535" s="5" t="n"/>
      <c r="E535" s="5" t="n"/>
      <c r="F535" s="5" t="n"/>
    </row>
    <row r="536" ht="15.75" customHeight="1" s="115">
      <c r="A536" s="5" t="n"/>
      <c r="B536" s="5" t="n"/>
      <c r="C536" s="5" t="n"/>
      <c r="D536" s="5" t="n"/>
      <c r="E536" s="5" t="n"/>
      <c r="F536" s="5" t="n"/>
    </row>
    <row r="537" ht="15.75" customHeight="1" s="115">
      <c r="A537" s="5" t="n"/>
      <c r="B537" s="5" t="n"/>
      <c r="C537" s="5" t="n"/>
      <c r="D537" s="5" t="n"/>
      <c r="E537" s="5" t="n"/>
      <c r="F537" s="5" t="n"/>
    </row>
    <row r="538" ht="15.75" customHeight="1" s="115">
      <c r="A538" s="5" t="n"/>
      <c r="B538" s="5" t="n"/>
      <c r="C538" s="5" t="n"/>
      <c r="D538" s="5" t="n"/>
      <c r="E538" s="5" t="n"/>
      <c r="F538" s="5" t="n"/>
    </row>
    <row r="539" ht="15.75" customHeight="1" s="115">
      <c r="A539" s="5" t="n"/>
      <c r="B539" s="5" t="n"/>
      <c r="C539" s="5" t="n"/>
      <c r="D539" s="5" t="n"/>
      <c r="E539" s="5" t="n"/>
      <c r="F539" s="5" t="n"/>
    </row>
    <row r="540" ht="15.75" customHeight="1" s="115">
      <c r="A540" s="5" t="n"/>
      <c r="B540" s="5" t="n"/>
      <c r="C540" s="5" t="n"/>
      <c r="D540" s="5" t="n"/>
      <c r="E540" s="5" t="n"/>
      <c r="F540" s="5" t="n"/>
    </row>
    <row r="541" ht="15.75" customHeight="1" s="115">
      <c r="A541" s="5" t="n"/>
      <c r="B541" s="5" t="n"/>
      <c r="C541" s="5" t="n"/>
      <c r="D541" s="5" t="n"/>
      <c r="E541" s="5" t="n"/>
      <c r="F541" s="5" t="n"/>
    </row>
    <row r="542" ht="15.75" customHeight="1" s="115">
      <c r="A542" s="5" t="n"/>
      <c r="B542" s="5" t="n"/>
      <c r="C542" s="5" t="n"/>
      <c r="D542" s="5" t="n"/>
      <c r="E542" s="5" t="n"/>
      <c r="F542" s="5" t="n"/>
    </row>
    <row r="543" ht="15.75" customHeight="1" s="115">
      <c r="A543" s="5" t="n"/>
      <c r="B543" s="5" t="n"/>
      <c r="C543" s="5" t="n"/>
      <c r="D543" s="5" t="n"/>
      <c r="E543" s="5" t="n"/>
      <c r="F543" s="5" t="n"/>
    </row>
    <row r="544" ht="15.75" customHeight="1" s="115">
      <c r="A544" s="5" t="n"/>
      <c r="B544" s="5" t="n"/>
      <c r="C544" s="5" t="n"/>
      <c r="D544" s="5" t="n"/>
      <c r="E544" s="5" t="n"/>
      <c r="F544" s="5" t="n"/>
    </row>
    <row r="545" ht="15.75" customHeight="1" s="115">
      <c r="A545" s="5" t="n"/>
      <c r="B545" s="5" t="n"/>
      <c r="C545" s="5" t="n"/>
      <c r="D545" s="5" t="n"/>
      <c r="E545" s="5" t="n"/>
      <c r="F545" s="5" t="n"/>
    </row>
    <row r="546" ht="15.75" customHeight="1" s="115">
      <c r="A546" s="5" t="n"/>
      <c r="B546" s="5" t="n"/>
      <c r="C546" s="5" t="n"/>
      <c r="D546" s="5" t="n"/>
      <c r="E546" s="5" t="n"/>
      <c r="F546" s="5" t="n"/>
    </row>
    <row r="547" ht="15.75" customHeight="1" s="115">
      <c r="A547" s="5" t="n"/>
      <c r="B547" s="5" t="n"/>
      <c r="C547" s="5" t="n"/>
      <c r="D547" s="5" t="n"/>
      <c r="E547" s="5" t="n"/>
      <c r="F547" s="5" t="n"/>
    </row>
    <row r="548" ht="15.75" customHeight="1" s="115">
      <c r="A548" s="5" t="n"/>
      <c r="B548" s="5" t="n"/>
      <c r="C548" s="5" t="n"/>
      <c r="D548" s="5" t="n"/>
      <c r="E548" s="5" t="n"/>
      <c r="F548" s="5" t="n"/>
    </row>
    <row r="549" ht="15.75" customHeight="1" s="115">
      <c r="A549" s="5" t="n"/>
      <c r="B549" s="5" t="n"/>
      <c r="C549" s="5" t="n"/>
      <c r="D549" s="5" t="n"/>
      <c r="E549" s="5" t="n"/>
      <c r="F549" s="5" t="n"/>
    </row>
    <row r="550" ht="15.75" customHeight="1" s="115">
      <c r="A550" s="5" t="n"/>
      <c r="B550" s="5" t="n"/>
      <c r="C550" s="5" t="n"/>
      <c r="D550" s="5" t="n"/>
      <c r="E550" s="5" t="n"/>
      <c r="F550" s="5" t="n"/>
    </row>
    <row r="551" ht="15.75" customHeight="1" s="115">
      <c r="A551" s="5" t="n"/>
      <c r="B551" s="5" t="n"/>
      <c r="C551" s="5" t="n"/>
      <c r="D551" s="5" t="n"/>
      <c r="E551" s="5" t="n"/>
      <c r="F551" s="5" t="n"/>
    </row>
    <row r="552" ht="15.75" customHeight="1" s="115">
      <c r="A552" s="5" t="n"/>
      <c r="B552" s="5" t="n"/>
      <c r="C552" s="5" t="n"/>
      <c r="D552" s="5" t="n"/>
      <c r="E552" s="5" t="n"/>
      <c r="F552" s="5" t="n"/>
    </row>
    <row r="553" ht="15.75" customHeight="1" s="115">
      <c r="A553" s="5" t="n"/>
      <c r="B553" s="5" t="n"/>
      <c r="C553" s="5" t="n"/>
      <c r="D553" s="5" t="n"/>
      <c r="E553" s="5" t="n"/>
      <c r="F553" s="5" t="n"/>
    </row>
    <row r="554" ht="15.75" customHeight="1" s="115">
      <c r="A554" s="5" t="n"/>
      <c r="B554" s="5" t="n"/>
      <c r="C554" s="5" t="n"/>
      <c r="D554" s="5" t="n"/>
      <c r="E554" s="5" t="n"/>
      <c r="F554" s="5" t="n"/>
    </row>
    <row r="555" ht="15.75" customHeight="1" s="115">
      <c r="A555" s="5" t="n"/>
      <c r="B555" s="5" t="n"/>
      <c r="C555" s="5" t="n"/>
      <c r="D555" s="5" t="n"/>
      <c r="E555" s="5" t="n"/>
      <c r="F555" s="5" t="n"/>
    </row>
    <row r="556" ht="15.75" customHeight="1" s="115">
      <c r="A556" s="5" t="n"/>
      <c r="B556" s="5" t="n"/>
      <c r="C556" s="5" t="n"/>
      <c r="D556" s="5" t="n"/>
      <c r="E556" s="5" t="n"/>
      <c r="F556" s="5" t="n"/>
    </row>
    <row r="557" ht="15.75" customHeight="1" s="115">
      <c r="A557" s="5" t="n"/>
      <c r="B557" s="5" t="n"/>
      <c r="C557" s="5" t="n"/>
      <c r="D557" s="5" t="n"/>
      <c r="E557" s="5" t="n"/>
      <c r="F557" s="5" t="n"/>
    </row>
    <row r="558" ht="15.75" customHeight="1" s="115">
      <c r="A558" s="5" t="n"/>
      <c r="B558" s="5" t="n"/>
      <c r="C558" s="5" t="n"/>
      <c r="D558" s="5" t="n"/>
      <c r="E558" s="5" t="n"/>
      <c r="F558" s="5" t="n"/>
    </row>
    <row r="559" ht="15.75" customHeight="1" s="115">
      <c r="A559" s="5" t="n"/>
      <c r="B559" s="5" t="n"/>
      <c r="C559" s="5" t="n"/>
      <c r="D559" s="5" t="n"/>
      <c r="E559" s="5" t="n"/>
      <c r="F559" s="5" t="n"/>
    </row>
    <row r="560" ht="15.75" customHeight="1" s="115">
      <c r="A560" s="5" t="n"/>
      <c r="B560" s="5" t="n"/>
      <c r="C560" s="5" t="n"/>
      <c r="D560" s="5" t="n"/>
      <c r="E560" s="5" t="n"/>
      <c r="F560" s="5" t="n"/>
    </row>
    <row r="561" ht="15.75" customHeight="1" s="115">
      <c r="A561" s="5" t="n"/>
      <c r="B561" s="5" t="n"/>
      <c r="C561" s="5" t="n"/>
      <c r="D561" s="5" t="n"/>
      <c r="E561" s="5" t="n"/>
      <c r="F561" s="5" t="n"/>
    </row>
    <row r="562" ht="15.75" customHeight="1" s="115">
      <c r="A562" s="5" t="n"/>
      <c r="B562" s="5" t="n"/>
      <c r="C562" s="5" t="n"/>
      <c r="D562" s="5" t="n"/>
      <c r="E562" s="5" t="n"/>
      <c r="F562" s="5" t="n"/>
    </row>
    <row r="563" ht="15.75" customHeight="1" s="115">
      <c r="A563" s="5" t="n"/>
      <c r="B563" s="5" t="n"/>
      <c r="C563" s="5" t="n"/>
      <c r="D563" s="5" t="n"/>
      <c r="E563" s="5" t="n"/>
      <c r="F563" s="5" t="n"/>
    </row>
    <row r="564" ht="15.75" customHeight="1" s="115">
      <c r="A564" s="5" t="n"/>
      <c r="B564" s="5" t="n"/>
      <c r="C564" s="5" t="n"/>
      <c r="D564" s="5" t="n"/>
      <c r="E564" s="5" t="n"/>
      <c r="F564" s="5" t="n"/>
    </row>
    <row r="565" ht="15.75" customHeight="1" s="115">
      <c r="A565" s="5" t="n"/>
      <c r="B565" s="5" t="n"/>
      <c r="C565" s="5" t="n"/>
      <c r="D565" s="5" t="n"/>
      <c r="E565" s="5" t="n"/>
      <c r="F565" s="5" t="n"/>
    </row>
    <row r="566" ht="15.75" customHeight="1" s="115">
      <c r="A566" s="5" t="n"/>
      <c r="B566" s="5" t="n"/>
      <c r="C566" s="5" t="n"/>
      <c r="D566" s="5" t="n"/>
      <c r="E566" s="5" t="n"/>
      <c r="F566" s="5" t="n"/>
    </row>
    <row r="567" ht="15.75" customHeight="1" s="115">
      <c r="A567" s="5" t="n"/>
      <c r="B567" s="5" t="n"/>
      <c r="C567" s="5" t="n"/>
      <c r="D567" s="5" t="n"/>
      <c r="E567" s="5" t="n"/>
      <c r="F567" s="5" t="n"/>
    </row>
    <row r="568" ht="15.75" customHeight="1" s="115">
      <c r="A568" s="5" t="n"/>
      <c r="B568" s="5" t="n"/>
      <c r="C568" s="5" t="n"/>
      <c r="D568" s="5" t="n"/>
      <c r="E568" s="5" t="n"/>
      <c r="F568" s="5" t="n"/>
    </row>
    <row r="569" ht="15.75" customHeight="1" s="115">
      <c r="A569" s="5" t="n"/>
      <c r="B569" s="5" t="n"/>
      <c r="C569" s="5" t="n"/>
      <c r="D569" s="5" t="n"/>
      <c r="E569" s="5" t="n"/>
      <c r="F569" s="5" t="n"/>
    </row>
    <row r="570" ht="15.75" customHeight="1" s="115">
      <c r="A570" s="5" t="n"/>
      <c r="B570" s="5" t="n"/>
      <c r="C570" s="5" t="n"/>
      <c r="D570" s="5" t="n"/>
      <c r="E570" s="5" t="n"/>
      <c r="F570" s="5" t="n"/>
    </row>
    <row r="571" ht="15.75" customHeight="1" s="115">
      <c r="A571" s="5" t="n"/>
      <c r="B571" s="5" t="n"/>
      <c r="C571" s="5" t="n"/>
      <c r="D571" s="5" t="n"/>
      <c r="E571" s="5" t="n"/>
      <c r="F571" s="5" t="n"/>
    </row>
    <row r="572" ht="15.75" customHeight="1" s="115">
      <c r="A572" s="5" t="n"/>
      <c r="B572" s="5" t="n"/>
      <c r="C572" s="5" t="n"/>
      <c r="D572" s="5" t="n"/>
      <c r="E572" s="5" t="n"/>
      <c r="F572" s="5" t="n"/>
    </row>
    <row r="573" ht="15.75" customHeight="1" s="115">
      <c r="A573" s="5" t="n"/>
      <c r="B573" s="5" t="n"/>
      <c r="C573" s="5" t="n"/>
      <c r="D573" s="5" t="n"/>
      <c r="E573" s="5" t="n"/>
      <c r="F573" s="5" t="n"/>
    </row>
    <row r="574" ht="15.75" customHeight="1" s="115">
      <c r="A574" s="5" t="n"/>
      <c r="B574" s="5" t="n"/>
      <c r="C574" s="5" t="n"/>
      <c r="D574" s="5" t="n"/>
      <c r="E574" s="5" t="n"/>
      <c r="F574" s="5" t="n"/>
    </row>
    <row r="575" ht="15.75" customHeight="1" s="115">
      <c r="A575" s="5" t="n"/>
      <c r="B575" s="5" t="n"/>
      <c r="C575" s="5" t="n"/>
      <c r="D575" s="5" t="n"/>
      <c r="E575" s="5" t="n"/>
      <c r="F575" s="5" t="n"/>
    </row>
    <row r="576" ht="15.75" customHeight="1" s="115">
      <c r="A576" s="5" t="n"/>
      <c r="B576" s="5" t="n"/>
      <c r="C576" s="5" t="n"/>
      <c r="D576" s="5" t="n"/>
      <c r="E576" s="5" t="n"/>
      <c r="F576" s="5" t="n"/>
    </row>
    <row r="577" ht="15.75" customHeight="1" s="115">
      <c r="A577" s="5" t="n"/>
      <c r="B577" s="5" t="n"/>
      <c r="C577" s="5" t="n"/>
      <c r="D577" s="5" t="n"/>
      <c r="E577" s="5" t="n"/>
      <c r="F577" s="5" t="n"/>
    </row>
    <row r="578" ht="15.75" customHeight="1" s="115">
      <c r="A578" s="5" t="n"/>
      <c r="B578" s="5" t="n"/>
      <c r="C578" s="5" t="n"/>
      <c r="D578" s="5" t="n"/>
      <c r="E578" s="5" t="n"/>
      <c r="F578" s="5" t="n"/>
    </row>
    <row r="579" ht="15.75" customHeight="1" s="115">
      <c r="A579" s="5" t="n"/>
      <c r="B579" s="5" t="n"/>
      <c r="C579" s="5" t="n"/>
      <c r="D579" s="5" t="n"/>
      <c r="E579" s="5" t="n"/>
      <c r="F579" s="5" t="n"/>
    </row>
    <row r="580" ht="15.75" customHeight="1" s="115">
      <c r="A580" s="5" t="n"/>
      <c r="B580" s="5" t="n"/>
      <c r="C580" s="5" t="n"/>
      <c r="D580" s="5" t="n"/>
      <c r="E580" s="5" t="n"/>
      <c r="F580" s="5" t="n"/>
    </row>
    <row r="581" ht="15.75" customHeight="1" s="115">
      <c r="A581" s="5" t="n"/>
      <c r="B581" s="5" t="n"/>
      <c r="C581" s="5" t="n"/>
      <c r="D581" s="5" t="n"/>
      <c r="E581" s="5" t="n"/>
      <c r="F581" s="5" t="n"/>
    </row>
    <row r="582" ht="15.75" customHeight="1" s="115">
      <c r="A582" s="5" t="n"/>
      <c r="B582" s="5" t="n"/>
      <c r="C582" s="5" t="n"/>
      <c r="D582" s="5" t="n"/>
      <c r="E582" s="5" t="n"/>
      <c r="F582" s="5" t="n"/>
    </row>
    <row r="583" ht="15.75" customHeight="1" s="115">
      <c r="A583" s="5" t="n"/>
      <c r="B583" s="5" t="n"/>
      <c r="C583" s="5" t="n"/>
      <c r="D583" s="5" t="n"/>
      <c r="E583" s="5" t="n"/>
      <c r="F583" s="5" t="n"/>
    </row>
    <row r="584" ht="15.75" customHeight="1" s="115">
      <c r="A584" s="5" t="n"/>
      <c r="B584" s="5" t="n"/>
      <c r="C584" s="5" t="n"/>
      <c r="D584" s="5" t="n"/>
      <c r="E584" s="5" t="n"/>
      <c r="F584" s="5" t="n"/>
    </row>
    <row r="585" ht="15.75" customHeight="1" s="115">
      <c r="A585" s="5" t="n"/>
      <c r="B585" s="5" t="n"/>
      <c r="C585" s="5" t="n"/>
      <c r="D585" s="5" t="n"/>
      <c r="E585" s="5" t="n"/>
      <c r="F585" s="5" t="n"/>
    </row>
    <row r="586" ht="15.75" customHeight="1" s="115">
      <c r="A586" s="5" t="n"/>
      <c r="B586" s="5" t="n"/>
      <c r="C586" s="5" t="n"/>
      <c r="D586" s="5" t="n"/>
      <c r="E586" s="5" t="n"/>
      <c r="F586" s="5" t="n"/>
    </row>
    <row r="587" ht="15.75" customHeight="1" s="115">
      <c r="A587" s="5" t="n"/>
      <c r="B587" s="5" t="n"/>
      <c r="C587" s="5" t="n"/>
      <c r="D587" s="5" t="n"/>
      <c r="E587" s="5" t="n"/>
      <c r="F587" s="5" t="n"/>
    </row>
    <row r="588" ht="15.75" customHeight="1" s="115">
      <c r="A588" s="5" t="n"/>
      <c r="B588" s="5" t="n"/>
      <c r="C588" s="5" t="n"/>
      <c r="D588" s="5" t="n"/>
      <c r="E588" s="5" t="n"/>
      <c r="F588" s="5" t="n"/>
    </row>
    <row r="589" ht="15.75" customHeight="1" s="115">
      <c r="A589" s="5" t="n"/>
      <c r="B589" s="5" t="n"/>
      <c r="C589" s="5" t="n"/>
      <c r="D589" s="5" t="n"/>
      <c r="E589" s="5" t="n"/>
      <c r="F589" s="5" t="n"/>
    </row>
    <row r="590" ht="15.75" customHeight="1" s="115">
      <c r="A590" s="5" t="n"/>
      <c r="B590" s="5" t="n"/>
      <c r="C590" s="5" t="n"/>
      <c r="D590" s="5" t="n"/>
      <c r="E590" s="5" t="n"/>
      <c r="F590" s="5" t="n"/>
    </row>
    <row r="591" ht="15.75" customHeight="1" s="115">
      <c r="A591" s="5" t="n"/>
      <c r="B591" s="5" t="n"/>
      <c r="C591" s="5" t="n"/>
      <c r="D591" s="5" t="n"/>
      <c r="E591" s="5" t="n"/>
      <c r="F591" s="5" t="n"/>
    </row>
    <row r="592" ht="15.75" customHeight="1" s="115">
      <c r="A592" s="5" t="n"/>
      <c r="B592" s="5" t="n"/>
      <c r="C592" s="5" t="n"/>
      <c r="D592" s="5" t="n"/>
      <c r="E592" s="5" t="n"/>
      <c r="F592" s="5" t="n"/>
    </row>
    <row r="593" ht="15.75" customHeight="1" s="115">
      <c r="A593" s="5" t="n"/>
      <c r="B593" s="5" t="n"/>
      <c r="C593" s="5" t="n"/>
      <c r="D593" s="5" t="n"/>
      <c r="E593" s="5" t="n"/>
      <c r="F593" s="5" t="n"/>
    </row>
    <row r="594" ht="15.75" customHeight="1" s="115">
      <c r="A594" s="5" t="n"/>
      <c r="B594" s="5" t="n"/>
      <c r="C594" s="5" t="n"/>
      <c r="D594" s="5" t="n"/>
      <c r="E594" s="5" t="n"/>
      <c r="F594" s="5" t="n"/>
    </row>
    <row r="595" ht="15.75" customHeight="1" s="115">
      <c r="A595" s="5" t="n"/>
      <c r="B595" s="5" t="n"/>
      <c r="C595" s="5" t="n"/>
      <c r="D595" s="5" t="n"/>
      <c r="E595" s="5" t="n"/>
      <c r="F595" s="5" t="n"/>
    </row>
    <row r="596" ht="15.75" customHeight="1" s="115">
      <c r="A596" s="5" t="n"/>
      <c r="B596" s="5" t="n"/>
      <c r="C596" s="5" t="n"/>
      <c r="D596" s="5" t="n"/>
      <c r="E596" s="5" t="n"/>
      <c r="F596" s="5" t="n"/>
    </row>
    <row r="597" ht="15.75" customHeight="1" s="115">
      <c r="A597" s="5" t="n"/>
      <c r="B597" s="5" t="n"/>
      <c r="C597" s="5" t="n"/>
      <c r="D597" s="5" t="n"/>
      <c r="E597" s="5" t="n"/>
      <c r="F597" s="5" t="n"/>
    </row>
    <row r="598" ht="15.75" customHeight="1" s="115">
      <c r="A598" s="5" t="n"/>
      <c r="B598" s="5" t="n"/>
      <c r="C598" s="5" t="n"/>
      <c r="D598" s="5" t="n"/>
      <c r="E598" s="5" t="n"/>
      <c r="F598" s="5" t="n"/>
    </row>
    <row r="599" ht="15.75" customHeight="1" s="115">
      <c r="A599" s="5" t="n"/>
      <c r="B599" s="5" t="n"/>
      <c r="C599" s="5" t="n"/>
      <c r="D599" s="5" t="n"/>
      <c r="E599" s="5" t="n"/>
      <c r="F599" s="5" t="n"/>
    </row>
    <row r="600" ht="15.75" customHeight="1" s="115">
      <c r="A600" s="5" t="n"/>
      <c r="B600" s="5" t="n"/>
      <c r="C600" s="5" t="n"/>
      <c r="D600" s="5" t="n"/>
      <c r="E600" s="5" t="n"/>
      <c r="F600" s="5" t="n"/>
    </row>
    <row r="601" ht="15.75" customHeight="1" s="115">
      <c r="A601" s="5" t="n"/>
      <c r="B601" s="5" t="n"/>
      <c r="C601" s="5" t="n"/>
      <c r="D601" s="5" t="n"/>
      <c r="E601" s="5" t="n"/>
      <c r="F601" s="5" t="n"/>
    </row>
    <row r="602" ht="15.75" customHeight="1" s="115">
      <c r="A602" s="5" t="n"/>
      <c r="B602" s="5" t="n"/>
      <c r="C602" s="5" t="n"/>
      <c r="D602" s="5" t="n"/>
      <c r="E602" s="5" t="n"/>
      <c r="F602" s="5" t="n"/>
    </row>
    <row r="603" ht="15.75" customHeight="1" s="115">
      <c r="A603" s="5" t="n"/>
      <c r="B603" s="5" t="n"/>
      <c r="C603" s="5" t="n"/>
      <c r="D603" s="5" t="n"/>
      <c r="E603" s="5" t="n"/>
      <c r="F603" s="5" t="n"/>
    </row>
    <row r="604" ht="15.75" customHeight="1" s="115">
      <c r="A604" s="5" t="n"/>
      <c r="B604" s="5" t="n"/>
      <c r="C604" s="5" t="n"/>
      <c r="D604" s="5" t="n"/>
      <c r="E604" s="5" t="n"/>
      <c r="F604" s="5" t="n"/>
    </row>
    <row r="605" ht="15.75" customHeight="1" s="115">
      <c r="A605" s="5" t="n"/>
      <c r="B605" s="5" t="n"/>
      <c r="C605" s="5" t="n"/>
      <c r="D605" s="5" t="n"/>
      <c r="E605" s="5" t="n"/>
      <c r="F605" s="5" t="n"/>
    </row>
    <row r="606" ht="15.75" customHeight="1" s="115">
      <c r="A606" s="5" t="n"/>
      <c r="B606" s="5" t="n"/>
      <c r="C606" s="5" t="n"/>
      <c r="D606" s="5" t="n"/>
      <c r="E606" s="5" t="n"/>
      <c r="F606" s="5" t="n"/>
    </row>
    <row r="607" ht="15.75" customHeight="1" s="115">
      <c r="A607" s="5" t="n"/>
      <c r="B607" s="5" t="n"/>
      <c r="C607" s="5" t="n"/>
      <c r="D607" s="5" t="n"/>
      <c r="E607" s="5" t="n"/>
      <c r="F607" s="5" t="n"/>
    </row>
    <row r="608" ht="15.75" customHeight="1" s="115">
      <c r="A608" s="5" t="n"/>
      <c r="B608" s="5" t="n"/>
      <c r="C608" s="5" t="n"/>
      <c r="D608" s="5" t="n"/>
      <c r="E608" s="5" t="n"/>
      <c r="F608" s="5" t="n"/>
    </row>
    <row r="609" ht="15.75" customHeight="1" s="115">
      <c r="A609" s="5" t="n"/>
      <c r="B609" s="5" t="n"/>
      <c r="C609" s="5" t="n"/>
      <c r="D609" s="5" t="n"/>
      <c r="E609" s="5" t="n"/>
      <c r="F609" s="5" t="n"/>
    </row>
    <row r="610" ht="15.75" customHeight="1" s="115">
      <c r="A610" s="5" t="n"/>
      <c r="B610" s="5" t="n"/>
      <c r="C610" s="5" t="n"/>
      <c r="D610" s="5" t="n"/>
      <c r="E610" s="5" t="n"/>
      <c r="F610" s="5" t="n"/>
    </row>
    <row r="611" ht="15.75" customHeight="1" s="115">
      <c r="A611" s="5" t="n"/>
      <c r="B611" s="5" t="n"/>
      <c r="C611" s="5" t="n"/>
      <c r="D611" s="5" t="n"/>
      <c r="E611" s="5" t="n"/>
      <c r="F611" s="5" t="n"/>
    </row>
    <row r="612" ht="15.75" customHeight="1" s="115">
      <c r="A612" s="5" t="n"/>
      <c r="B612" s="5" t="n"/>
      <c r="C612" s="5" t="n"/>
      <c r="D612" s="5" t="n"/>
      <c r="E612" s="5" t="n"/>
      <c r="F612" s="5" t="n"/>
    </row>
    <row r="613" ht="15.75" customHeight="1" s="115">
      <c r="A613" s="5" t="n"/>
      <c r="B613" s="5" t="n"/>
      <c r="C613" s="5" t="n"/>
      <c r="D613" s="5" t="n"/>
      <c r="E613" s="5" t="n"/>
      <c r="F613" s="5" t="n"/>
    </row>
    <row r="614" ht="15.75" customHeight="1" s="115">
      <c r="A614" s="5" t="n"/>
      <c r="B614" s="5" t="n"/>
      <c r="C614" s="5" t="n"/>
      <c r="D614" s="5" t="n"/>
      <c r="E614" s="5" t="n"/>
      <c r="F614" s="5" t="n"/>
    </row>
    <row r="615" ht="15.75" customHeight="1" s="115">
      <c r="A615" s="5" t="n"/>
      <c r="B615" s="5" t="n"/>
      <c r="C615" s="5" t="n"/>
      <c r="D615" s="5" t="n"/>
      <c r="E615" s="5" t="n"/>
      <c r="F615" s="5" t="n"/>
    </row>
    <row r="616" ht="15.75" customHeight="1" s="115">
      <c r="A616" s="5" t="n"/>
      <c r="B616" s="5" t="n"/>
      <c r="C616" s="5" t="n"/>
      <c r="D616" s="5" t="n"/>
      <c r="E616" s="5" t="n"/>
      <c r="F616" s="5" t="n"/>
    </row>
    <row r="617" ht="15.75" customHeight="1" s="115">
      <c r="A617" s="5" t="n"/>
      <c r="B617" s="5" t="n"/>
      <c r="C617" s="5" t="n"/>
      <c r="D617" s="5" t="n"/>
      <c r="E617" s="5" t="n"/>
      <c r="F617" s="5" t="n"/>
    </row>
    <row r="618" ht="15.75" customHeight="1" s="115">
      <c r="A618" s="5" t="n"/>
      <c r="B618" s="5" t="n"/>
      <c r="C618" s="5" t="n"/>
      <c r="D618" s="5" t="n"/>
      <c r="E618" s="5" t="n"/>
      <c r="F618" s="5" t="n"/>
    </row>
    <row r="619" ht="15.75" customHeight="1" s="115">
      <c r="A619" s="5" t="n"/>
      <c r="B619" s="5" t="n"/>
      <c r="C619" s="5" t="n"/>
      <c r="D619" s="5" t="n"/>
      <c r="E619" s="5" t="n"/>
      <c r="F619" s="5" t="n"/>
    </row>
    <row r="620" ht="15.75" customHeight="1" s="115">
      <c r="A620" s="5" t="n"/>
      <c r="B620" s="5" t="n"/>
      <c r="C620" s="5" t="n"/>
      <c r="D620" s="5" t="n"/>
      <c r="E620" s="5" t="n"/>
      <c r="F620" s="5" t="n"/>
    </row>
    <row r="621" ht="15.75" customHeight="1" s="115">
      <c r="A621" s="5" t="n"/>
      <c r="B621" s="5" t="n"/>
      <c r="C621" s="5" t="n"/>
      <c r="D621" s="5" t="n"/>
      <c r="E621" s="5" t="n"/>
      <c r="F621" s="5" t="n"/>
    </row>
    <row r="622" ht="15.75" customHeight="1" s="115">
      <c r="A622" s="5" t="n"/>
      <c r="B622" s="5" t="n"/>
      <c r="C622" s="5" t="n"/>
      <c r="D622" s="5" t="n"/>
      <c r="E622" s="5" t="n"/>
      <c r="F622" s="5" t="n"/>
    </row>
    <row r="623" ht="15.75" customHeight="1" s="115">
      <c r="A623" s="5" t="n"/>
      <c r="B623" s="5" t="n"/>
      <c r="C623" s="5" t="n"/>
      <c r="D623" s="5" t="n"/>
      <c r="E623" s="5" t="n"/>
      <c r="F623" s="5" t="n"/>
    </row>
    <row r="624" ht="15.75" customHeight="1" s="115">
      <c r="A624" s="5" t="n"/>
      <c r="B624" s="5" t="n"/>
      <c r="C624" s="5" t="n"/>
      <c r="D624" s="5" t="n"/>
      <c r="E624" s="5" t="n"/>
      <c r="F624" s="5" t="n"/>
    </row>
    <row r="625" ht="15.75" customHeight="1" s="115">
      <c r="A625" s="5" t="n"/>
      <c r="B625" s="5" t="n"/>
      <c r="C625" s="5" t="n"/>
      <c r="D625" s="5" t="n"/>
      <c r="E625" s="5" t="n"/>
      <c r="F625" s="5" t="n"/>
    </row>
    <row r="626" ht="15.75" customHeight="1" s="115">
      <c r="A626" s="5" t="n"/>
      <c r="B626" s="5" t="n"/>
      <c r="C626" s="5" t="n"/>
      <c r="D626" s="5" t="n"/>
      <c r="E626" s="5" t="n"/>
      <c r="F626" s="5" t="n"/>
    </row>
    <row r="627" ht="15.75" customHeight="1" s="115">
      <c r="A627" s="5" t="n"/>
      <c r="B627" s="5" t="n"/>
      <c r="C627" s="5" t="n"/>
      <c r="D627" s="5" t="n"/>
      <c r="E627" s="5" t="n"/>
      <c r="F627" s="5" t="n"/>
    </row>
    <row r="628" ht="15.75" customHeight="1" s="115">
      <c r="A628" s="5" t="n"/>
      <c r="B628" s="5" t="n"/>
      <c r="C628" s="5" t="n"/>
      <c r="D628" s="5" t="n"/>
      <c r="E628" s="5" t="n"/>
      <c r="F628" s="5" t="n"/>
    </row>
    <row r="629" ht="15.75" customHeight="1" s="115">
      <c r="A629" s="5" t="n"/>
      <c r="B629" s="5" t="n"/>
      <c r="C629" s="5" t="n"/>
      <c r="D629" s="5" t="n"/>
      <c r="E629" s="5" t="n"/>
      <c r="F629" s="5" t="n"/>
    </row>
    <row r="630" ht="15.75" customHeight="1" s="115">
      <c r="A630" s="5" t="n"/>
      <c r="B630" s="5" t="n"/>
      <c r="C630" s="5" t="n"/>
      <c r="D630" s="5" t="n"/>
      <c r="E630" s="5" t="n"/>
      <c r="F630" s="5" t="n"/>
    </row>
    <row r="631" ht="15.75" customHeight="1" s="115">
      <c r="A631" s="5" t="n"/>
      <c r="B631" s="5" t="n"/>
      <c r="C631" s="5" t="n"/>
      <c r="D631" s="5" t="n"/>
      <c r="E631" s="5" t="n"/>
      <c r="F631" s="5" t="n"/>
    </row>
    <row r="632" ht="15.75" customHeight="1" s="115">
      <c r="A632" s="5" t="n"/>
      <c r="B632" s="5" t="n"/>
      <c r="C632" s="5" t="n"/>
      <c r="D632" s="5" t="n"/>
      <c r="E632" s="5" t="n"/>
      <c r="F632" s="5" t="n"/>
    </row>
    <row r="633" ht="15.75" customHeight="1" s="115">
      <c r="A633" s="5" t="n"/>
      <c r="B633" s="5" t="n"/>
      <c r="C633" s="5" t="n"/>
      <c r="D633" s="5" t="n"/>
      <c r="E633" s="5" t="n"/>
      <c r="F633" s="5" t="n"/>
    </row>
    <row r="634" ht="15.75" customHeight="1" s="115">
      <c r="A634" s="5" t="n"/>
      <c r="B634" s="5" t="n"/>
      <c r="C634" s="5" t="n"/>
      <c r="D634" s="5" t="n"/>
      <c r="E634" s="5" t="n"/>
      <c r="F634" s="5" t="n"/>
    </row>
    <row r="635" ht="15.75" customHeight="1" s="115">
      <c r="A635" s="5" t="n"/>
      <c r="B635" s="5" t="n"/>
      <c r="C635" s="5" t="n"/>
      <c r="D635" s="5" t="n"/>
      <c r="E635" s="5" t="n"/>
      <c r="F635" s="5" t="n"/>
    </row>
    <row r="636" ht="15.75" customHeight="1" s="115">
      <c r="A636" s="5" t="n"/>
      <c r="B636" s="5" t="n"/>
      <c r="C636" s="5" t="n"/>
      <c r="D636" s="5" t="n"/>
      <c r="E636" s="5" t="n"/>
      <c r="F636" s="5" t="n"/>
    </row>
    <row r="637" ht="15.75" customHeight="1" s="115">
      <c r="A637" s="5" t="n"/>
      <c r="B637" s="5" t="n"/>
      <c r="C637" s="5" t="n"/>
      <c r="D637" s="5" t="n"/>
      <c r="E637" s="5" t="n"/>
      <c r="F637" s="5" t="n"/>
    </row>
    <row r="638" ht="15.75" customHeight="1" s="115">
      <c r="A638" s="5" t="n"/>
      <c r="B638" s="5" t="n"/>
      <c r="C638" s="5" t="n"/>
      <c r="D638" s="5" t="n"/>
      <c r="E638" s="5" t="n"/>
      <c r="F638" s="5" t="n"/>
    </row>
    <row r="639" ht="15.75" customHeight="1" s="115">
      <c r="A639" s="5" t="n"/>
      <c r="B639" s="5" t="n"/>
      <c r="C639" s="5" t="n"/>
      <c r="D639" s="5" t="n"/>
      <c r="E639" s="5" t="n"/>
      <c r="F639" s="5" t="n"/>
    </row>
    <row r="640" ht="15.75" customHeight="1" s="115">
      <c r="A640" s="5" t="n"/>
      <c r="B640" s="5" t="n"/>
      <c r="C640" s="5" t="n"/>
      <c r="D640" s="5" t="n"/>
      <c r="E640" s="5" t="n"/>
      <c r="F640" s="5" t="n"/>
    </row>
    <row r="641" ht="15.75" customHeight="1" s="115">
      <c r="A641" s="5" t="n"/>
      <c r="B641" s="5" t="n"/>
      <c r="C641" s="5" t="n"/>
      <c r="D641" s="5" t="n"/>
      <c r="E641" s="5" t="n"/>
      <c r="F641" s="5" t="n"/>
    </row>
    <row r="642" ht="15.75" customHeight="1" s="115">
      <c r="A642" s="5" t="n"/>
      <c r="B642" s="5" t="n"/>
      <c r="C642" s="5" t="n"/>
      <c r="D642" s="5" t="n"/>
      <c r="E642" s="5" t="n"/>
      <c r="F642" s="5" t="n"/>
    </row>
    <row r="643" ht="15.75" customHeight="1" s="115">
      <c r="A643" s="5" t="n"/>
      <c r="B643" s="5" t="n"/>
      <c r="C643" s="5" t="n"/>
      <c r="D643" s="5" t="n"/>
      <c r="E643" s="5" t="n"/>
      <c r="F643" s="5" t="n"/>
    </row>
    <row r="644" ht="15.75" customHeight="1" s="115">
      <c r="A644" s="5" t="n"/>
      <c r="B644" s="5" t="n"/>
      <c r="C644" s="5" t="n"/>
      <c r="D644" s="5" t="n"/>
      <c r="E644" s="5" t="n"/>
      <c r="F644" s="5" t="n"/>
    </row>
    <row r="645" ht="15.75" customHeight="1" s="115">
      <c r="A645" s="5" t="n"/>
      <c r="B645" s="5" t="n"/>
      <c r="C645" s="5" t="n"/>
      <c r="D645" s="5" t="n"/>
      <c r="E645" s="5" t="n"/>
      <c r="F645" s="5" t="n"/>
    </row>
    <row r="646" ht="15.75" customHeight="1" s="115">
      <c r="A646" s="5" t="n"/>
      <c r="B646" s="5" t="n"/>
      <c r="C646" s="5" t="n"/>
      <c r="D646" s="5" t="n"/>
      <c r="E646" s="5" t="n"/>
      <c r="F646" s="5" t="n"/>
    </row>
    <row r="647" ht="15.75" customHeight="1" s="115">
      <c r="A647" s="5" t="n"/>
      <c r="B647" s="5" t="n"/>
      <c r="C647" s="5" t="n"/>
      <c r="D647" s="5" t="n"/>
      <c r="E647" s="5" t="n"/>
      <c r="F647" s="5" t="n"/>
    </row>
    <row r="648" ht="15.75" customHeight="1" s="115">
      <c r="A648" s="5" t="n"/>
      <c r="B648" s="5" t="n"/>
      <c r="C648" s="5" t="n"/>
      <c r="D648" s="5" t="n"/>
      <c r="E648" s="5" t="n"/>
      <c r="F648" s="5" t="n"/>
    </row>
    <row r="649" ht="15.75" customHeight="1" s="115">
      <c r="A649" s="5" t="n"/>
      <c r="B649" s="5" t="n"/>
      <c r="C649" s="5" t="n"/>
      <c r="D649" s="5" t="n"/>
      <c r="E649" s="5" t="n"/>
      <c r="F649" s="5" t="n"/>
    </row>
    <row r="650" ht="15.75" customHeight="1" s="115">
      <c r="A650" s="5" t="n"/>
      <c r="B650" s="5" t="n"/>
      <c r="C650" s="5" t="n"/>
      <c r="D650" s="5" t="n"/>
      <c r="E650" s="5" t="n"/>
      <c r="F650" s="5" t="n"/>
    </row>
    <row r="651" ht="15.75" customHeight="1" s="115">
      <c r="A651" s="5" t="n"/>
      <c r="B651" s="5" t="n"/>
      <c r="C651" s="5" t="n"/>
      <c r="D651" s="5" t="n"/>
      <c r="E651" s="5" t="n"/>
      <c r="F651" s="5" t="n"/>
    </row>
    <row r="652" ht="15.75" customHeight="1" s="115">
      <c r="A652" s="5" t="n"/>
      <c r="B652" s="5" t="n"/>
      <c r="C652" s="5" t="n"/>
      <c r="D652" s="5" t="n"/>
      <c r="E652" s="5" t="n"/>
      <c r="F652" s="5" t="n"/>
    </row>
    <row r="653" ht="15.75" customHeight="1" s="115">
      <c r="A653" s="5" t="n"/>
      <c r="B653" s="5" t="n"/>
      <c r="C653" s="5" t="n"/>
      <c r="D653" s="5" t="n"/>
      <c r="E653" s="5" t="n"/>
      <c r="F653" s="5" t="n"/>
    </row>
    <row r="654" ht="15.75" customHeight="1" s="115">
      <c r="A654" s="5" t="n"/>
      <c r="B654" s="5" t="n"/>
      <c r="C654" s="5" t="n"/>
      <c r="D654" s="5" t="n"/>
      <c r="E654" s="5" t="n"/>
      <c r="F654" s="5" t="n"/>
    </row>
    <row r="655" ht="15.75" customHeight="1" s="115">
      <c r="A655" s="5" t="n"/>
      <c r="B655" s="5" t="n"/>
      <c r="C655" s="5" t="n"/>
      <c r="D655" s="5" t="n"/>
      <c r="E655" s="5" t="n"/>
      <c r="F655" s="5" t="n"/>
    </row>
    <row r="656" ht="15.75" customHeight="1" s="115">
      <c r="A656" s="5" t="n"/>
      <c r="B656" s="5" t="n"/>
      <c r="C656" s="5" t="n"/>
      <c r="D656" s="5" t="n"/>
      <c r="E656" s="5" t="n"/>
      <c r="F656" s="5" t="n"/>
    </row>
    <row r="657" ht="15.75" customHeight="1" s="115">
      <c r="A657" s="5" t="n"/>
      <c r="B657" s="5" t="n"/>
      <c r="C657" s="5" t="n"/>
      <c r="D657" s="5" t="n"/>
      <c r="E657" s="5" t="n"/>
      <c r="F657" s="5" t="n"/>
    </row>
    <row r="658" ht="15.75" customHeight="1" s="115">
      <c r="A658" s="5" t="n"/>
      <c r="B658" s="5" t="n"/>
      <c r="C658" s="5" t="n"/>
      <c r="D658" s="5" t="n"/>
      <c r="E658" s="5" t="n"/>
      <c r="F658" s="5" t="n"/>
    </row>
    <row r="659" ht="15.75" customHeight="1" s="115">
      <c r="A659" s="5" t="n"/>
      <c r="B659" s="5" t="n"/>
      <c r="C659" s="5" t="n"/>
      <c r="D659" s="5" t="n"/>
      <c r="E659" s="5" t="n"/>
      <c r="F659" s="5" t="n"/>
    </row>
    <row r="660" ht="15.75" customHeight="1" s="115">
      <c r="A660" s="5" t="n"/>
      <c r="B660" s="5" t="n"/>
      <c r="C660" s="5" t="n"/>
      <c r="D660" s="5" t="n"/>
      <c r="E660" s="5" t="n"/>
      <c r="F660" s="5" t="n"/>
    </row>
    <row r="661" ht="15.75" customHeight="1" s="115">
      <c r="A661" s="5" t="n"/>
      <c r="B661" s="5" t="n"/>
      <c r="C661" s="5" t="n"/>
      <c r="D661" s="5" t="n"/>
      <c r="E661" s="5" t="n"/>
      <c r="F661" s="5" t="n"/>
    </row>
    <row r="662" ht="15.75" customHeight="1" s="115">
      <c r="A662" s="5" t="n"/>
      <c r="B662" s="5" t="n"/>
      <c r="C662" s="5" t="n"/>
      <c r="D662" s="5" t="n"/>
      <c r="E662" s="5" t="n"/>
      <c r="F662" s="5" t="n"/>
    </row>
    <row r="663" ht="15.75" customHeight="1" s="115">
      <c r="A663" s="5" t="n"/>
      <c r="B663" s="5" t="n"/>
      <c r="C663" s="5" t="n"/>
      <c r="D663" s="5" t="n"/>
      <c r="E663" s="5" t="n"/>
      <c r="F663" s="5" t="n"/>
    </row>
    <row r="664" ht="15.75" customHeight="1" s="115">
      <c r="A664" s="5" t="n"/>
      <c r="B664" s="5" t="n"/>
      <c r="C664" s="5" t="n"/>
      <c r="D664" s="5" t="n"/>
      <c r="E664" s="5" t="n"/>
      <c r="F664" s="5" t="n"/>
    </row>
    <row r="665" ht="15.75" customHeight="1" s="115">
      <c r="A665" s="5" t="n"/>
      <c r="B665" s="5" t="n"/>
      <c r="C665" s="5" t="n"/>
      <c r="D665" s="5" t="n"/>
      <c r="E665" s="5" t="n"/>
      <c r="F665" s="5" t="n"/>
    </row>
    <row r="666" ht="15.75" customHeight="1" s="115">
      <c r="A666" s="5" t="n"/>
      <c r="B666" s="5" t="n"/>
      <c r="C666" s="5" t="n"/>
      <c r="D666" s="5" t="n"/>
      <c r="E666" s="5" t="n"/>
      <c r="F666" s="5" t="n"/>
    </row>
    <row r="667" ht="15.75" customHeight="1" s="115">
      <c r="A667" s="5" t="n"/>
      <c r="B667" s="5" t="n"/>
      <c r="C667" s="5" t="n"/>
      <c r="D667" s="5" t="n"/>
      <c r="E667" s="5" t="n"/>
      <c r="F667" s="5" t="n"/>
    </row>
    <row r="668" ht="15.75" customHeight="1" s="115">
      <c r="A668" s="5" t="n"/>
      <c r="B668" s="5" t="n"/>
      <c r="C668" s="5" t="n"/>
      <c r="D668" s="5" t="n"/>
      <c r="E668" s="5" t="n"/>
      <c r="F668" s="5" t="n"/>
    </row>
    <row r="669" ht="15.75" customHeight="1" s="115">
      <c r="A669" s="5" t="n"/>
      <c r="B669" s="5" t="n"/>
      <c r="C669" s="5" t="n"/>
      <c r="D669" s="5" t="n"/>
      <c r="E669" s="5" t="n"/>
      <c r="F669" s="5" t="n"/>
    </row>
    <row r="670" ht="15.75" customHeight="1" s="115">
      <c r="A670" s="5" t="n"/>
      <c r="B670" s="5" t="n"/>
      <c r="C670" s="5" t="n"/>
      <c r="D670" s="5" t="n"/>
      <c r="E670" s="5" t="n"/>
      <c r="F670" s="5" t="n"/>
    </row>
    <row r="671" ht="15.75" customHeight="1" s="115">
      <c r="A671" s="5" t="n"/>
      <c r="B671" s="5" t="n"/>
      <c r="C671" s="5" t="n"/>
      <c r="D671" s="5" t="n"/>
      <c r="E671" s="5" t="n"/>
      <c r="F671" s="5" t="n"/>
    </row>
    <row r="672" ht="15.75" customHeight="1" s="115">
      <c r="A672" s="5" t="n"/>
      <c r="B672" s="5" t="n"/>
      <c r="C672" s="5" t="n"/>
      <c r="D672" s="5" t="n"/>
      <c r="E672" s="5" t="n"/>
      <c r="F672" s="5" t="n"/>
    </row>
    <row r="673" ht="15.75" customHeight="1" s="115">
      <c r="A673" s="5" t="n"/>
      <c r="B673" s="5" t="n"/>
      <c r="C673" s="5" t="n"/>
      <c r="D673" s="5" t="n"/>
      <c r="E673" s="5" t="n"/>
      <c r="F673" s="5" t="n"/>
    </row>
    <row r="674" ht="15.75" customHeight="1" s="115">
      <c r="A674" s="5" t="n"/>
      <c r="B674" s="5" t="n"/>
      <c r="C674" s="5" t="n"/>
      <c r="D674" s="5" t="n"/>
      <c r="E674" s="5" t="n"/>
      <c r="F674" s="5" t="n"/>
    </row>
    <row r="675" ht="15.75" customHeight="1" s="115">
      <c r="A675" s="5" t="n"/>
      <c r="B675" s="5" t="n"/>
      <c r="C675" s="5" t="n"/>
      <c r="D675" s="5" t="n"/>
      <c r="E675" s="5" t="n"/>
      <c r="F675" s="5" t="n"/>
    </row>
    <row r="676" ht="15.75" customHeight="1" s="115">
      <c r="A676" s="5" t="n"/>
      <c r="B676" s="5" t="n"/>
      <c r="C676" s="5" t="n"/>
      <c r="D676" s="5" t="n"/>
      <c r="E676" s="5" t="n"/>
      <c r="F676" s="5" t="n"/>
    </row>
    <row r="677" ht="15.75" customHeight="1" s="115">
      <c r="A677" s="5" t="n"/>
      <c r="B677" s="5" t="n"/>
      <c r="C677" s="5" t="n"/>
      <c r="D677" s="5" t="n"/>
      <c r="E677" s="5" t="n"/>
      <c r="F677" s="5" t="n"/>
    </row>
    <row r="678" ht="15.75" customHeight="1" s="115">
      <c r="A678" s="5" t="n"/>
      <c r="B678" s="5" t="n"/>
      <c r="C678" s="5" t="n"/>
      <c r="D678" s="5" t="n"/>
      <c r="E678" s="5" t="n"/>
      <c r="F678" s="5" t="n"/>
    </row>
    <row r="679" ht="15.75" customHeight="1" s="115">
      <c r="A679" s="5" t="n"/>
      <c r="B679" s="5" t="n"/>
      <c r="C679" s="5" t="n"/>
      <c r="D679" s="5" t="n"/>
      <c r="E679" s="5" t="n"/>
      <c r="F679" s="5" t="n"/>
    </row>
    <row r="680" ht="15.75" customHeight="1" s="115">
      <c r="A680" s="5" t="n"/>
      <c r="B680" s="5" t="n"/>
      <c r="C680" s="5" t="n"/>
      <c r="D680" s="5" t="n"/>
      <c r="E680" s="5" t="n"/>
      <c r="F680" s="5" t="n"/>
    </row>
    <row r="681" ht="15.75" customHeight="1" s="115">
      <c r="A681" s="5" t="n"/>
      <c r="B681" s="5" t="n"/>
      <c r="C681" s="5" t="n"/>
      <c r="D681" s="5" t="n"/>
      <c r="E681" s="5" t="n"/>
      <c r="F681" s="5" t="n"/>
    </row>
    <row r="682" ht="15.75" customHeight="1" s="115">
      <c r="A682" s="5" t="n"/>
      <c r="B682" s="5" t="n"/>
      <c r="C682" s="5" t="n"/>
      <c r="D682" s="5" t="n"/>
      <c r="E682" s="5" t="n"/>
      <c r="F682" s="5" t="n"/>
    </row>
    <row r="683" ht="15.75" customHeight="1" s="115">
      <c r="A683" s="5" t="n"/>
      <c r="B683" s="5" t="n"/>
      <c r="C683" s="5" t="n"/>
      <c r="D683" s="5" t="n"/>
      <c r="E683" s="5" t="n"/>
      <c r="F683" s="5" t="n"/>
    </row>
    <row r="684" ht="15.75" customHeight="1" s="115">
      <c r="A684" s="5" t="n"/>
      <c r="B684" s="5" t="n"/>
      <c r="C684" s="5" t="n"/>
      <c r="D684" s="5" t="n"/>
      <c r="E684" s="5" t="n"/>
      <c r="F684" s="5" t="n"/>
    </row>
    <row r="685" ht="15.75" customHeight="1" s="115">
      <c r="A685" s="5" t="n"/>
      <c r="B685" s="5" t="n"/>
      <c r="C685" s="5" t="n"/>
      <c r="D685" s="5" t="n"/>
      <c r="E685" s="5" t="n"/>
      <c r="F685" s="5" t="n"/>
    </row>
    <row r="686" ht="15.75" customHeight="1" s="115">
      <c r="A686" s="5" t="n"/>
      <c r="B686" s="5" t="n"/>
      <c r="C686" s="5" t="n"/>
      <c r="D686" s="5" t="n"/>
      <c r="E686" s="5" t="n"/>
      <c r="F686" s="5" t="n"/>
    </row>
    <row r="687" ht="15.75" customHeight="1" s="115">
      <c r="A687" s="5" t="n"/>
      <c r="B687" s="5" t="n"/>
      <c r="C687" s="5" t="n"/>
      <c r="D687" s="5" t="n"/>
      <c r="E687" s="5" t="n"/>
      <c r="F687" s="5" t="n"/>
    </row>
    <row r="688" ht="15.75" customHeight="1" s="115">
      <c r="A688" s="5" t="n"/>
      <c r="B688" s="5" t="n"/>
      <c r="C688" s="5" t="n"/>
      <c r="D688" s="5" t="n"/>
      <c r="E688" s="5" t="n"/>
      <c r="F688" s="5" t="n"/>
    </row>
    <row r="689" ht="15.75" customHeight="1" s="115">
      <c r="A689" s="5" t="n"/>
      <c r="B689" s="5" t="n"/>
      <c r="C689" s="5" t="n"/>
      <c r="D689" s="5" t="n"/>
      <c r="E689" s="5" t="n"/>
      <c r="F689" s="5" t="n"/>
    </row>
    <row r="690" ht="15.75" customHeight="1" s="115">
      <c r="A690" s="5" t="n"/>
      <c r="B690" s="5" t="n"/>
      <c r="C690" s="5" t="n"/>
      <c r="D690" s="5" t="n"/>
      <c r="E690" s="5" t="n"/>
      <c r="F690" s="5" t="n"/>
    </row>
    <row r="691" ht="15.75" customHeight="1" s="115">
      <c r="A691" s="5" t="n"/>
      <c r="B691" s="5" t="n"/>
      <c r="C691" s="5" t="n"/>
      <c r="D691" s="5" t="n"/>
      <c r="E691" s="5" t="n"/>
      <c r="F691" s="5" t="n"/>
    </row>
    <row r="692" ht="15.75" customHeight="1" s="115">
      <c r="A692" s="5" t="n"/>
      <c r="B692" s="5" t="n"/>
      <c r="C692" s="5" t="n"/>
      <c r="D692" s="5" t="n"/>
      <c r="E692" s="5" t="n"/>
      <c r="F692" s="5" t="n"/>
    </row>
    <row r="693" ht="15.75" customHeight="1" s="115">
      <c r="A693" s="5" t="n"/>
      <c r="B693" s="5" t="n"/>
      <c r="C693" s="5" t="n"/>
      <c r="D693" s="5" t="n"/>
      <c r="E693" s="5" t="n"/>
      <c r="F693" s="5" t="n"/>
    </row>
    <row r="694" ht="15.75" customHeight="1" s="115">
      <c r="A694" s="5" t="n"/>
      <c r="B694" s="5" t="n"/>
      <c r="C694" s="5" t="n"/>
      <c r="D694" s="5" t="n"/>
      <c r="E694" s="5" t="n"/>
      <c r="F694" s="5" t="n"/>
    </row>
    <row r="695" ht="15.75" customHeight="1" s="115">
      <c r="A695" s="5" t="n"/>
      <c r="B695" s="5" t="n"/>
      <c r="C695" s="5" t="n"/>
      <c r="D695" s="5" t="n"/>
      <c r="E695" s="5" t="n"/>
      <c r="F695" s="5" t="n"/>
    </row>
    <row r="696" ht="15.75" customHeight="1" s="115">
      <c r="A696" s="5" t="n"/>
      <c r="B696" s="5" t="n"/>
      <c r="C696" s="5" t="n"/>
      <c r="D696" s="5" t="n"/>
      <c r="E696" s="5" t="n"/>
      <c r="F696" s="5" t="n"/>
    </row>
    <row r="697" ht="15.75" customHeight="1" s="115">
      <c r="A697" s="5" t="n"/>
      <c r="B697" s="5" t="n"/>
      <c r="C697" s="5" t="n"/>
      <c r="D697" s="5" t="n"/>
      <c r="E697" s="5" t="n"/>
      <c r="F697" s="5" t="n"/>
    </row>
    <row r="698" ht="15.75" customHeight="1" s="115">
      <c r="A698" s="5" t="n"/>
      <c r="B698" s="5" t="n"/>
      <c r="C698" s="5" t="n"/>
      <c r="D698" s="5" t="n"/>
      <c r="E698" s="5" t="n"/>
      <c r="F698" s="5" t="n"/>
    </row>
    <row r="699" ht="15.75" customHeight="1" s="115">
      <c r="A699" s="5" t="n"/>
      <c r="B699" s="5" t="n"/>
      <c r="C699" s="5" t="n"/>
      <c r="D699" s="5" t="n"/>
      <c r="E699" s="5" t="n"/>
      <c r="F699" s="5" t="n"/>
    </row>
    <row r="700" ht="15.75" customHeight="1" s="115">
      <c r="A700" s="5" t="n"/>
      <c r="B700" s="5" t="n"/>
      <c r="C700" s="5" t="n"/>
      <c r="D700" s="5" t="n"/>
      <c r="E700" s="5" t="n"/>
      <c r="F700" s="5" t="n"/>
    </row>
    <row r="701" ht="15.75" customHeight="1" s="115">
      <c r="A701" s="5" t="n"/>
      <c r="B701" s="5" t="n"/>
      <c r="C701" s="5" t="n"/>
      <c r="D701" s="5" t="n"/>
      <c r="E701" s="5" t="n"/>
      <c r="F701" s="5" t="n"/>
    </row>
    <row r="702" ht="15.75" customHeight="1" s="115">
      <c r="A702" s="5" t="n"/>
      <c r="B702" s="5" t="n"/>
      <c r="C702" s="5" t="n"/>
      <c r="D702" s="5" t="n"/>
      <c r="E702" s="5" t="n"/>
      <c r="F702" s="5" t="n"/>
    </row>
    <row r="703" ht="15.75" customHeight="1" s="115">
      <c r="A703" s="5" t="n"/>
      <c r="B703" s="5" t="n"/>
      <c r="C703" s="5" t="n"/>
      <c r="D703" s="5" t="n"/>
      <c r="E703" s="5" t="n"/>
      <c r="F703" s="5" t="n"/>
    </row>
    <row r="704" ht="15.75" customHeight="1" s="115">
      <c r="A704" s="5" t="n"/>
      <c r="B704" s="5" t="n"/>
      <c r="C704" s="5" t="n"/>
      <c r="D704" s="5" t="n"/>
      <c r="E704" s="5" t="n"/>
      <c r="F704" s="5" t="n"/>
    </row>
    <row r="705" ht="15.75" customHeight="1" s="115">
      <c r="A705" s="5" t="n"/>
      <c r="B705" s="5" t="n"/>
      <c r="C705" s="5" t="n"/>
      <c r="D705" s="5" t="n"/>
      <c r="E705" s="5" t="n"/>
      <c r="F705" s="5" t="n"/>
    </row>
    <row r="706" ht="15.75" customHeight="1" s="115">
      <c r="A706" s="5" t="n"/>
      <c r="B706" s="5" t="n"/>
      <c r="C706" s="5" t="n"/>
      <c r="D706" s="5" t="n"/>
      <c r="E706" s="5" t="n"/>
      <c r="F706" s="5" t="n"/>
    </row>
    <row r="707" ht="15.75" customHeight="1" s="115">
      <c r="A707" s="5" t="n"/>
      <c r="B707" s="5" t="n"/>
      <c r="C707" s="5" t="n"/>
      <c r="D707" s="5" t="n"/>
      <c r="E707" s="5" t="n"/>
      <c r="F707" s="5" t="n"/>
    </row>
    <row r="708" ht="15.75" customHeight="1" s="115">
      <c r="A708" s="5" t="n"/>
      <c r="B708" s="5" t="n"/>
      <c r="C708" s="5" t="n"/>
      <c r="D708" s="5" t="n"/>
      <c r="E708" s="5" t="n"/>
      <c r="F708" s="5" t="n"/>
    </row>
    <row r="709" ht="15.75" customHeight="1" s="115">
      <c r="A709" s="5" t="n"/>
      <c r="B709" s="5" t="n"/>
      <c r="C709" s="5" t="n"/>
      <c r="D709" s="5" t="n"/>
      <c r="E709" s="5" t="n"/>
      <c r="F709" s="5" t="n"/>
    </row>
    <row r="710" ht="15.75" customHeight="1" s="115">
      <c r="A710" s="5" t="n"/>
      <c r="B710" s="5" t="n"/>
      <c r="C710" s="5" t="n"/>
      <c r="D710" s="5" t="n"/>
      <c r="E710" s="5" t="n"/>
      <c r="F710" s="5" t="n"/>
    </row>
    <row r="711" ht="15.75" customHeight="1" s="115">
      <c r="A711" s="5" t="n"/>
      <c r="B711" s="5" t="n"/>
      <c r="C711" s="5" t="n"/>
      <c r="D711" s="5" t="n"/>
      <c r="E711" s="5" t="n"/>
      <c r="F711" s="5" t="n"/>
    </row>
    <row r="712" ht="15.75" customHeight="1" s="115">
      <c r="A712" s="5" t="n"/>
      <c r="B712" s="5" t="n"/>
      <c r="C712" s="5" t="n"/>
      <c r="D712" s="5" t="n"/>
      <c r="E712" s="5" t="n"/>
      <c r="F712" s="5" t="n"/>
    </row>
    <row r="713" ht="15.75" customHeight="1" s="115">
      <c r="A713" s="5" t="n"/>
      <c r="B713" s="5" t="n"/>
      <c r="C713" s="5" t="n"/>
      <c r="D713" s="5" t="n"/>
      <c r="E713" s="5" t="n"/>
      <c r="F713" s="5" t="n"/>
    </row>
    <row r="714" ht="15.75" customHeight="1" s="115">
      <c r="A714" s="5" t="n"/>
      <c r="B714" s="5" t="n"/>
      <c r="C714" s="5" t="n"/>
      <c r="D714" s="5" t="n"/>
      <c r="E714" s="5" t="n"/>
      <c r="F714" s="5" t="n"/>
    </row>
    <row r="715" ht="15.75" customHeight="1" s="115">
      <c r="A715" s="5" t="n"/>
      <c r="B715" s="5" t="n"/>
      <c r="C715" s="5" t="n"/>
      <c r="D715" s="5" t="n"/>
      <c r="E715" s="5" t="n"/>
      <c r="F715" s="5" t="n"/>
    </row>
    <row r="716" ht="15.75" customHeight="1" s="115">
      <c r="A716" s="5" t="n"/>
      <c r="B716" s="5" t="n"/>
      <c r="C716" s="5" t="n"/>
      <c r="D716" s="5" t="n"/>
      <c r="E716" s="5" t="n"/>
      <c r="F716" s="5" t="n"/>
    </row>
    <row r="717" ht="15.75" customHeight="1" s="115">
      <c r="A717" s="5" t="n"/>
      <c r="B717" s="5" t="n"/>
      <c r="C717" s="5" t="n"/>
      <c r="D717" s="5" t="n"/>
      <c r="E717" s="5" t="n"/>
      <c r="F717" s="5" t="n"/>
    </row>
    <row r="718" ht="15.75" customHeight="1" s="115">
      <c r="A718" s="5" t="n"/>
      <c r="B718" s="5" t="n"/>
      <c r="C718" s="5" t="n"/>
      <c r="D718" s="5" t="n"/>
      <c r="E718" s="5" t="n"/>
      <c r="F718" s="5" t="n"/>
    </row>
    <row r="719" ht="15.75" customHeight="1" s="115">
      <c r="A719" s="5" t="n"/>
      <c r="B719" s="5" t="n"/>
      <c r="C719" s="5" t="n"/>
      <c r="D719" s="5" t="n"/>
      <c r="E719" s="5" t="n"/>
      <c r="F719" s="5" t="n"/>
    </row>
    <row r="720" ht="15.75" customHeight="1" s="115">
      <c r="A720" s="5" t="n"/>
      <c r="B720" s="5" t="n"/>
      <c r="C720" s="5" t="n"/>
      <c r="D720" s="5" t="n"/>
      <c r="E720" s="5" t="n"/>
      <c r="F720" s="5" t="n"/>
    </row>
    <row r="721" ht="15.75" customHeight="1" s="115">
      <c r="A721" s="5" t="n"/>
      <c r="B721" s="5" t="n"/>
      <c r="C721" s="5" t="n"/>
      <c r="D721" s="5" t="n"/>
      <c r="E721" s="5" t="n"/>
      <c r="F721" s="5" t="n"/>
    </row>
    <row r="722" ht="15.75" customHeight="1" s="115">
      <c r="A722" s="5" t="n"/>
      <c r="B722" s="5" t="n"/>
      <c r="C722" s="5" t="n"/>
      <c r="D722" s="5" t="n"/>
      <c r="E722" s="5" t="n"/>
      <c r="F722" s="5" t="n"/>
    </row>
    <row r="723" ht="15.75" customHeight="1" s="115">
      <c r="A723" s="5" t="n"/>
      <c r="B723" s="5" t="n"/>
      <c r="C723" s="5" t="n"/>
      <c r="D723" s="5" t="n"/>
      <c r="E723" s="5" t="n"/>
      <c r="F723" s="5" t="n"/>
    </row>
    <row r="724" ht="15.75" customHeight="1" s="115">
      <c r="A724" s="5" t="n"/>
      <c r="B724" s="5" t="n"/>
      <c r="C724" s="5" t="n"/>
      <c r="D724" s="5" t="n"/>
      <c r="E724" s="5" t="n"/>
      <c r="F724" s="5" t="n"/>
    </row>
    <row r="725" ht="15.75" customHeight="1" s="115">
      <c r="A725" s="5" t="n"/>
      <c r="B725" s="5" t="n"/>
      <c r="C725" s="5" t="n"/>
      <c r="D725" s="5" t="n"/>
      <c r="E725" s="5" t="n"/>
      <c r="F725" s="5" t="n"/>
    </row>
    <row r="726" ht="15.75" customHeight="1" s="115">
      <c r="A726" s="5" t="n"/>
      <c r="B726" s="5" t="n"/>
      <c r="C726" s="5" t="n"/>
      <c r="D726" s="5" t="n"/>
      <c r="E726" s="5" t="n"/>
      <c r="F726" s="5" t="n"/>
    </row>
    <row r="727" ht="15.75" customHeight="1" s="115">
      <c r="A727" s="5" t="n"/>
      <c r="B727" s="5" t="n"/>
      <c r="C727" s="5" t="n"/>
      <c r="D727" s="5" t="n"/>
      <c r="E727" s="5" t="n"/>
      <c r="F727" s="5" t="n"/>
    </row>
    <row r="728" ht="15.75" customHeight="1" s="115">
      <c r="A728" s="5" t="n"/>
      <c r="B728" s="5" t="n"/>
      <c r="C728" s="5" t="n"/>
      <c r="D728" s="5" t="n"/>
      <c r="E728" s="5" t="n"/>
      <c r="F728" s="5" t="n"/>
    </row>
    <row r="729" ht="15.75" customHeight="1" s="115">
      <c r="A729" s="5" t="n"/>
      <c r="B729" s="5" t="n"/>
      <c r="C729" s="5" t="n"/>
      <c r="D729" s="5" t="n"/>
      <c r="E729" s="5" t="n"/>
      <c r="F729" s="5" t="n"/>
    </row>
    <row r="730" ht="15.75" customHeight="1" s="115">
      <c r="A730" s="5" t="n"/>
      <c r="B730" s="5" t="n"/>
      <c r="C730" s="5" t="n"/>
      <c r="D730" s="5" t="n"/>
      <c r="E730" s="5" t="n"/>
      <c r="F730" s="5" t="n"/>
    </row>
    <row r="731" ht="15.75" customHeight="1" s="115">
      <c r="A731" s="5" t="n"/>
      <c r="B731" s="5" t="n"/>
      <c r="C731" s="5" t="n"/>
      <c r="D731" s="5" t="n"/>
      <c r="E731" s="5" t="n"/>
      <c r="F731" s="5" t="n"/>
    </row>
    <row r="732" ht="15.75" customHeight="1" s="115">
      <c r="A732" s="5" t="n"/>
      <c r="B732" s="5" t="n"/>
      <c r="C732" s="5" t="n"/>
      <c r="D732" s="5" t="n"/>
      <c r="E732" s="5" t="n"/>
      <c r="F732" s="5" t="n"/>
    </row>
    <row r="733" ht="15.75" customHeight="1" s="115">
      <c r="A733" s="5" t="n"/>
      <c r="B733" s="5" t="n"/>
      <c r="C733" s="5" t="n"/>
      <c r="D733" s="5" t="n"/>
      <c r="E733" s="5" t="n"/>
      <c r="F733" s="5" t="n"/>
    </row>
    <row r="734" ht="15.75" customHeight="1" s="115">
      <c r="A734" s="5" t="n"/>
      <c r="B734" s="5" t="n"/>
      <c r="C734" s="5" t="n"/>
      <c r="D734" s="5" t="n"/>
      <c r="E734" s="5" t="n"/>
      <c r="F734" s="5" t="n"/>
    </row>
    <row r="735" ht="15.75" customHeight="1" s="115">
      <c r="A735" s="5" t="n"/>
      <c r="B735" s="5" t="n"/>
      <c r="C735" s="5" t="n"/>
      <c r="D735" s="5" t="n"/>
      <c r="E735" s="5" t="n"/>
      <c r="F735" s="5" t="n"/>
    </row>
    <row r="736" ht="15.75" customHeight="1" s="115">
      <c r="A736" s="5" t="n"/>
      <c r="B736" s="5" t="n"/>
      <c r="C736" s="5" t="n"/>
      <c r="D736" s="5" t="n"/>
      <c r="E736" s="5" t="n"/>
      <c r="F736" s="5" t="n"/>
    </row>
    <row r="737" ht="15.75" customHeight="1" s="115">
      <c r="A737" s="5" t="n"/>
      <c r="B737" s="5" t="n"/>
      <c r="C737" s="5" t="n"/>
      <c r="D737" s="5" t="n"/>
      <c r="E737" s="5" t="n"/>
      <c r="F737" s="5" t="n"/>
    </row>
    <row r="738" ht="15.75" customHeight="1" s="115">
      <c r="A738" s="5" t="n"/>
      <c r="B738" s="5" t="n"/>
      <c r="C738" s="5" t="n"/>
      <c r="D738" s="5" t="n"/>
      <c r="E738" s="5" t="n"/>
      <c r="F738" s="5" t="n"/>
    </row>
    <row r="739" ht="15.75" customHeight="1" s="115">
      <c r="A739" s="5" t="n"/>
      <c r="B739" s="5" t="n"/>
      <c r="C739" s="5" t="n"/>
      <c r="D739" s="5" t="n"/>
      <c r="E739" s="5" t="n"/>
      <c r="F739" s="5" t="n"/>
    </row>
    <row r="740" ht="15.75" customHeight="1" s="115">
      <c r="A740" s="5" t="n"/>
      <c r="B740" s="5" t="n"/>
      <c r="C740" s="5" t="n"/>
      <c r="D740" s="5" t="n"/>
      <c r="E740" s="5" t="n"/>
      <c r="F740" s="5" t="n"/>
    </row>
    <row r="741" ht="15.75" customHeight="1" s="115">
      <c r="A741" s="5" t="n"/>
      <c r="B741" s="5" t="n"/>
      <c r="C741" s="5" t="n"/>
      <c r="D741" s="5" t="n"/>
      <c r="E741" s="5" t="n"/>
      <c r="F741" s="5" t="n"/>
    </row>
    <row r="742" ht="15.75" customHeight="1" s="115">
      <c r="A742" s="5" t="n"/>
      <c r="B742" s="5" t="n"/>
      <c r="C742" s="5" t="n"/>
      <c r="D742" s="5" t="n"/>
      <c r="E742" s="5" t="n"/>
      <c r="F742" s="5" t="n"/>
    </row>
    <row r="743" ht="15.75" customHeight="1" s="115">
      <c r="A743" s="5" t="n"/>
      <c r="B743" s="5" t="n"/>
      <c r="C743" s="5" t="n"/>
      <c r="D743" s="5" t="n"/>
      <c r="E743" s="5" t="n"/>
      <c r="F743" s="5" t="n"/>
    </row>
    <row r="744" ht="15.75" customHeight="1" s="115">
      <c r="A744" s="5" t="n"/>
      <c r="B744" s="5" t="n"/>
      <c r="C744" s="5" t="n"/>
      <c r="D744" s="5" t="n"/>
      <c r="E744" s="5" t="n"/>
      <c r="F744" s="5" t="n"/>
    </row>
    <row r="745" ht="15.75" customHeight="1" s="115">
      <c r="A745" s="5" t="n"/>
      <c r="B745" s="5" t="n"/>
      <c r="C745" s="5" t="n"/>
      <c r="D745" s="5" t="n"/>
      <c r="E745" s="5" t="n"/>
      <c r="F745" s="5" t="n"/>
    </row>
    <row r="746" ht="15.75" customHeight="1" s="115">
      <c r="A746" s="5" t="n"/>
      <c r="B746" s="5" t="n"/>
      <c r="C746" s="5" t="n"/>
      <c r="D746" s="5" t="n"/>
      <c r="E746" s="5" t="n"/>
      <c r="F746" s="5" t="n"/>
    </row>
    <row r="747" ht="15.75" customHeight="1" s="115">
      <c r="A747" s="5" t="n"/>
      <c r="B747" s="5" t="n"/>
      <c r="C747" s="5" t="n"/>
      <c r="D747" s="5" t="n"/>
      <c r="E747" s="5" t="n"/>
      <c r="F747" s="5" t="n"/>
    </row>
    <row r="748" ht="15.75" customHeight="1" s="115">
      <c r="A748" s="5" t="n"/>
      <c r="B748" s="5" t="n"/>
      <c r="C748" s="5" t="n"/>
      <c r="D748" s="5" t="n"/>
      <c r="E748" s="5" t="n"/>
      <c r="F748" s="5" t="n"/>
    </row>
    <row r="749" ht="15.75" customHeight="1" s="115">
      <c r="A749" s="5" t="n"/>
      <c r="B749" s="5" t="n"/>
      <c r="C749" s="5" t="n"/>
      <c r="D749" s="5" t="n"/>
      <c r="E749" s="5" t="n"/>
      <c r="F749" s="5" t="n"/>
    </row>
    <row r="750" ht="15.75" customHeight="1" s="115">
      <c r="A750" s="5" t="n"/>
      <c r="B750" s="5" t="n"/>
      <c r="C750" s="5" t="n"/>
      <c r="D750" s="5" t="n"/>
      <c r="E750" s="5" t="n"/>
      <c r="F750" s="5" t="n"/>
    </row>
    <row r="751" ht="15.75" customHeight="1" s="115">
      <c r="A751" s="5" t="n"/>
      <c r="B751" s="5" t="n"/>
      <c r="C751" s="5" t="n"/>
      <c r="D751" s="5" t="n"/>
      <c r="E751" s="5" t="n"/>
      <c r="F751" s="5" t="n"/>
    </row>
    <row r="752" ht="15.75" customHeight="1" s="115">
      <c r="A752" s="5" t="n"/>
      <c r="B752" s="5" t="n"/>
      <c r="C752" s="5" t="n"/>
      <c r="D752" s="5" t="n"/>
      <c r="E752" s="5" t="n"/>
      <c r="F752" s="5" t="n"/>
    </row>
    <row r="753" ht="15.75" customHeight="1" s="115">
      <c r="A753" s="5" t="n"/>
      <c r="B753" s="5" t="n"/>
      <c r="C753" s="5" t="n"/>
      <c r="D753" s="5" t="n"/>
      <c r="E753" s="5" t="n"/>
      <c r="F753" s="5" t="n"/>
    </row>
    <row r="754" ht="15.75" customHeight="1" s="115">
      <c r="A754" s="5" t="n"/>
      <c r="B754" s="5" t="n"/>
      <c r="C754" s="5" t="n"/>
      <c r="D754" s="5" t="n"/>
      <c r="E754" s="5" t="n"/>
      <c r="F754" s="5" t="n"/>
    </row>
    <row r="755" ht="15.75" customHeight="1" s="115">
      <c r="A755" s="5" t="n"/>
      <c r="B755" s="5" t="n"/>
      <c r="C755" s="5" t="n"/>
      <c r="D755" s="5" t="n"/>
      <c r="E755" s="5" t="n"/>
      <c r="F755" s="5" t="n"/>
    </row>
    <row r="756" ht="15.75" customHeight="1" s="115">
      <c r="A756" s="5" t="n"/>
      <c r="B756" s="5" t="n"/>
      <c r="C756" s="5" t="n"/>
      <c r="D756" s="5" t="n"/>
      <c r="E756" s="5" t="n"/>
      <c r="F756" s="5" t="n"/>
    </row>
    <row r="757" ht="15.75" customHeight="1" s="115">
      <c r="A757" s="5" t="n"/>
      <c r="B757" s="5" t="n"/>
      <c r="C757" s="5" t="n"/>
      <c r="D757" s="5" t="n"/>
      <c r="E757" s="5" t="n"/>
      <c r="F757" s="5" t="n"/>
    </row>
    <row r="758" ht="15.75" customHeight="1" s="115">
      <c r="A758" s="5" t="n"/>
      <c r="B758" s="5" t="n"/>
      <c r="C758" s="5" t="n"/>
      <c r="D758" s="5" t="n"/>
      <c r="E758" s="5" t="n"/>
      <c r="F758" s="5" t="n"/>
    </row>
    <row r="759" ht="15.75" customHeight="1" s="115">
      <c r="A759" s="5" t="n"/>
      <c r="B759" s="5" t="n"/>
      <c r="C759" s="5" t="n"/>
      <c r="D759" s="5" t="n"/>
      <c r="E759" s="5" t="n"/>
      <c r="F759" s="5" t="n"/>
    </row>
    <row r="760" ht="15.75" customHeight="1" s="115">
      <c r="A760" s="5" t="n"/>
      <c r="B760" s="5" t="n"/>
      <c r="C760" s="5" t="n"/>
      <c r="D760" s="5" t="n"/>
      <c r="E760" s="5" t="n"/>
      <c r="F760" s="5" t="n"/>
    </row>
    <row r="761" ht="15.75" customHeight="1" s="115">
      <c r="A761" s="5" t="n"/>
      <c r="B761" s="5" t="n"/>
      <c r="C761" s="5" t="n"/>
      <c r="D761" s="5" t="n"/>
      <c r="E761" s="5" t="n"/>
      <c r="F761" s="5" t="n"/>
    </row>
    <row r="762" ht="15.75" customHeight="1" s="115">
      <c r="A762" s="5" t="n"/>
      <c r="B762" s="5" t="n"/>
      <c r="C762" s="5" t="n"/>
      <c r="D762" s="5" t="n"/>
      <c r="E762" s="5" t="n"/>
      <c r="F762" s="5" t="n"/>
    </row>
    <row r="763" ht="15.75" customHeight="1" s="115">
      <c r="A763" s="5" t="n"/>
      <c r="B763" s="5" t="n"/>
      <c r="C763" s="5" t="n"/>
      <c r="D763" s="5" t="n"/>
      <c r="E763" s="5" t="n"/>
      <c r="F763" s="5" t="n"/>
    </row>
    <row r="764" ht="15.75" customHeight="1" s="115">
      <c r="A764" s="5" t="n"/>
      <c r="B764" s="5" t="n"/>
      <c r="C764" s="5" t="n"/>
      <c r="D764" s="5" t="n"/>
      <c r="E764" s="5" t="n"/>
      <c r="F764" s="5" t="n"/>
    </row>
    <row r="765" ht="15.75" customHeight="1" s="115">
      <c r="A765" s="5" t="n"/>
      <c r="B765" s="5" t="n"/>
      <c r="C765" s="5" t="n"/>
      <c r="D765" s="5" t="n"/>
      <c r="E765" s="5" t="n"/>
      <c r="F765" s="5" t="n"/>
    </row>
    <row r="766" ht="15.75" customHeight="1" s="115">
      <c r="A766" s="5" t="n"/>
      <c r="B766" s="5" t="n"/>
      <c r="C766" s="5" t="n"/>
      <c r="D766" s="5" t="n"/>
      <c r="E766" s="5" t="n"/>
      <c r="F766" s="5" t="n"/>
    </row>
    <row r="767" ht="15.75" customHeight="1" s="115">
      <c r="A767" s="5" t="n"/>
      <c r="B767" s="5" t="n"/>
      <c r="C767" s="5" t="n"/>
      <c r="D767" s="5" t="n"/>
      <c r="E767" s="5" t="n"/>
      <c r="F767" s="5" t="n"/>
    </row>
    <row r="768" ht="15.75" customHeight="1" s="115">
      <c r="A768" s="5" t="n"/>
      <c r="B768" s="5" t="n"/>
      <c r="C768" s="5" t="n"/>
      <c r="D768" s="5" t="n"/>
      <c r="E768" s="5" t="n"/>
      <c r="F768" s="5" t="n"/>
    </row>
    <row r="769" ht="15.75" customHeight="1" s="115">
      <c r="A769" s="5" t="n"/>
      <c r="B769" s="5" t="n"/>
      <c r="C769" s="5" t="n"/>
      <c r="D769" s="5" t="n"/>
      <c r="E769" s="5" t="n"/>
      <c r="F769" s="5" t="n"/>
    </row>
    <row r="770" ht="15.75" customHeight="1" s="115">
      <c r="A770" s="5" t="n"/>
      <c r="B770" s="5" t="n"/>
      <c r="C770" s="5" t="n"/>
      <c r="D770" s="5" t="n"/>
      <c r="E770" s="5" t="n"/>
      <c r="F770" s="5" t="n"/>
    </row>
    <row r="771" ht="15.75" customHeight="1" s="115">
      <c r="A771" s="5" t="n"/>
      <c r="B771" s="5" t="n"/>
      <c r="C771" s="5" t="n"/>
      <c r="D771" s="5" t="n"/>
      <c r="E771" s="5" t="n"/>
      <c r="F771" s="5" t="n"/>
    </row>
    <row r="772" ht="15.75" customHeight="1" s="115">
      <c r="A772" s="5" t="n"/>
      <c r="B772" s="5" t="n"/>
      <c r="C772" s="5" t="n"/>
      <c r="D772" s="5" t="n"/>
      <c r="E772" s="5" t="n"/>
      <c r="F772" s="5" t="n"/>
    </row>
    <row r="773" ht="15.75" customHeight="1" s="115">
      <c r="A773" s="5" t="n"/>
      <c r="B773" s="5" t="n"/>
      <c r="C773" s="5" t="n"/>
      <c r="D773" s="5" t="n"/>
      <c r="E773" s="5" t="n"/>
      <c r="F773" s="5" t="n"/>
    </row>
    <row r="774" ht="15.75" customHeight="1" s="115">
      <c r="A774" s="5" t="n"/>
      <c r="B774" s="5" t="n"/>
      <c r="C774" s="5" t="n"/>
      <c r="D774" s="5" t="n"/>
      <c r="E774" s="5" t="n"/>
      <c r="F774" s="5" t="n"/>
    </row>
    <row r="775" ht="15.75" customHeight="1" s="115">
      <c r="A775" s="5" t="n"/>
      <c r="B775" s="5" t="n"/>
      <c r="C775" s="5" t="n"/>
      <c r="D775" s="5" t="n"/>
      <c r="E775" s="5" t="n"/>
      <c r="F775" s="5" t="n"/>
    </row>
    <row r="776" ht="15.75" customHeight="1" s="115">
      <c r="A776" s="5" t="n"/>
      <c r="B776" s="5" t="n"/>
      <c r="C776" s="5" t="n"/>
      <c r="D776" s="5" t="n"/>
      <c r="E776" s="5" t="n"/>
      <c r="F776" s="5" t="n"/>
    </row>
    <row r="777" ht="15.75" customHeight="1" s="115">
      <c r="A777" s="5" t="n"/>
      <c r="B777" s="5" t="n"/>
      <c r="C777" s="5" t="n"/>
      <c r="D777" s="5" t="n"/>
      <c r="E777" s="5" t="n"/>
      <c r="F777" s="5" t="n"/>
    </row>
    <row r="778" ht="15.75" customHeight="1" s="115">
      <c r="A778" s="5" t="n"/>
      <c r="B778" s="5" t="n"/>
      <c r="C778" s="5" t="n"/>
      <c r="D778" s="5" t="n"/>
      <c r="E778" s="5" t="n"/>
      <c r="F778" s="5" t="n"/>
    </row>
    <row r="779" ht="15.75" customHeight="1" s="115">
      <c r="A779" s="5" t="n"/>
      <c r="B779" s="5" t="n"/>
      <c r="C779" s="5" t="n"/>
      <c r="D779" s="5" t="n"/>
      <c r="E779" s="5" t="n"/>
      <c r="F779" s="5" t="n"/>
    </row>
    <row r="780" ht="15.75" customHeight="1" s="115">
      <c r="A780" s="5" t="n"/>
      <c r="B780" s="5" t="n"/>
      <c r="C780" s="5" t="n"/>
      <c r="D780" s="5" t="n"/>
      <c r="E780" s="5" t="n"/>
      <c r="F780" s="5" t="n"/>
    </row>
    <row r="781" ht="15.75" customHeight="1" s="115">
      <c r="A781" s="5" t="n"/>
      <c r="B781" s="5" t="n"/>
      <c r="C781" s="5" t="n"/>
      <c r="D781" s="5" t="n"/>
      <c r="E781" s="5" t="n"/>
      <c r="F781" s="5" t="n"/>
    </row>
    <row r="782" ht="15.75" customHeight="1" s="115">
      <c r="A782" s="5" t="n"/>
      <c r="B782" s="5" t="n"/>
      <c r="C782" s="5" t="n"/>
      <c r="D782" s="5" t="n"/>
      <c r="E782" s="5" t="n"/>
      <c r="F782" s="5" t="n"/>
    </row>
    <row r="783" ht="15.75" customHeight="1" s="115">
      <c r="A783" s="5" t="n"/>
      <c r="B783" s="5" t="n"/>
      <c r="C783" s="5" t="n"/>
      <c r="D783" s="5" t="n"/>
      <c r="E783" s="5" t="n"/>
      <c r="F783" s="5" t="n"/>
    </row>
    <row r="784" ht="15.75" customHeight="1" s="115">
      <c r="A784" s="5" t="n"/>
      <c r="B784" s="5" t="n"/>
      <c r="C784" s="5" t="n"/>
      <c r="D784" s="5" t="n"/>
      <c r="E784" s="5" t="n"/>
      <c r="F784" s="5" t="n"/>
    </row>
    <row r="785" ht="15.75" customHeight="1" s="115">
      <c r="A785" s="5" t="n"/>
      <c r="B785" s="5" t="n"/>
      <c r="C785" s="5" t="n"/>
      <c r="D785" s="5" t="n"/>
      <c r="E785" s="5" t="n"/>
      <c r="F785" s="5" t="n"/>
    </row>
    <row r="786" ht="15.75" customHeight="1" s="115">
      <c r="A786" s="5" t="n"/>
      <c r="B786" s="5" t="n"/>
      <c r="C786" s="5" t="n"/>
      <c r="D786" s="5" t="n"/>
      <c r="E786" s="5" t="n"/>
      <c r="F786" s="5" t="n"/>
    </row>
    <row r="787" ht="15.75" customHeight="1" s="115">
      <c r="A787" s="5" t="n"/>
      <c r="B787" s="5" t="n"/>
      <c r="C787" s="5" t="n"/>
      <c r="D787" s="5" t="n"/>
      <c r="E787" s="5" t="n"/>
      <c r="F787" s="5" t="n"/>
    </row>
    <row r="788" ht="15.75" customHeight="1" s="115">
      <c r="A788" s="5" t="n"/>
      <c r="B788" s="5" t="n"/>
      <c r="C788" s="5" t="n"/>
      <c r="D788" s="5" t="n"/>
      <c r="E788" s="5" t="n"/>
      <c r="F788" s="5" t="n"/>
    </row>
    <row r="789" ht="15.75" customHeight="1" s="115">
      <c r="A789" s="5" t="n"/>
      <c r="B789" s="5" t="n"/>
      <c r="C789" s="5" t="n"/>
      <c r="D789" s="5" t="n"/>
      <c r="E789" s="5" t="n"/>
      <c r="F789" s="5" t="n"/>
    </row>
    <row r="790" ht="15.75" customHeight="1" s="115">
      <c r="A790" s="5" t="n"/>
      <c r="B790" s="5" t="n"/>
      <c r="C790" s="5" t="n"/>
      <c r="D790" s="5" t="n"/>
      <c r="E790" s="5" t="n"/>
      <c r="F790" s="5" t="n"/>
    </row>
    <row r="791" ht="15.75" customHeight="1" s="115">
      <c r="A791" s="5" t="n"/>
      <c r="B791" s="5" t="n"/>
      <c r="C791" s="5" t="n"/>
      <c r="D791" s="5" t="n"/>
      <c r="E791" s="5" t="n"/>
      <c r="F791" s="5" t="n"/>
    </row>
    <row r="792" ht="15.75" customHeight="1" s="115">
      <c r="A792" s="5" t="n"/>
      <c r="B792" s="5" t="n"/>
      <c r="C792" s="5" t="n"/>
      <c r="D792" s="5" t="n"/>
      <c r="E792" s="5" t="n"/>
      <c r="F792" s="5" t="n"/>
    </row>
    <row r="793" ht="15.75" customHeight="1" s="115">
      <c r="A793" s="5" t="n"/>
      <c r="B793" s="5" t="n"/>
      <c r="C793" s="5" t="n"/>
      <c r="D793" s="5" t="n"/>
      <c r="E793" s="5" t="n"/>
      <c r="F793" s="5" t="n"/>
    </row>
    <row r="794" ht="15.75" customHeight="1" s="115">
      <c r="A794" s="5" t="n"/>
      <c r="B794" s="5" t="n"/>
      <c r="C794" s="5" t="n"/>
      <c r="D794" s="5" t="n"/>
      <c r="E794" s="5" t="n"/>
      <c r="F794" s="5" t="n"/>
    </row>
    <row r="795" ht="15.75" customHeight="1" s="115">
      <c r="A795" s="5" t="n"/>
      <c r="B795" s="5" t="n"/>
      <c r="C795" s="5" t="n"/>
      <c r="D795" s="5" t="n"/>
      <c r="E795" s="5" t="n"/>
      <c r="F795" s="5" t="n"/>
    </row>
    <row r="796" ht="15.75" customHeight="1" s="115">
      <c r="A796" s="5" t="n"/>
      <c r="B796" s="5" t="n"/>
      <c r="C796" s="5" t="n"/>
      <c r="D796" s="5" t="n"/>
      <c r="E796" s="5" t="n"/>
      <c r="F796" s="5" t="n"/>
    </row>
    <row r="797" ht="15.75" customHeight="1" s="115">
      <c r="A797" s="5" t="n"/>
      <c r="B797" s="5" t="n"/>
      <c r="C797" s="5" t="n"/>
      <c r="D797" s="5" t="n"/>
      <c r="E797" s="5" t="n"/>
      <c r="F797" s="5" t="n"/>
    </row>
    <row r="798" ht="15.75" customHeight="1" s="115">
      <c r="A798" s="5" t="n"/>
      <c r="B798" s="5" t="n"/>
      <c r="C798" s="5" t="n"/>
      <c r="D798" s="5" t="n"/>
      <c r="E798" s="5" t="n"/>
      <c r="F798" s="5" t="n"/>
    </row>
    <row r="799" ht="15.75" customHeight="1" s="115">
      <c r="A799" s="5" t="n"/>
      <c r="B799" s="5" t="n"/>
      <c r="C799" s="5" t="n"/>
      <c r="D799" s="5" t="n"/>
      <c r="E799" s="5" t="n"/>
      <c r="F799" s="5" t="n"/>
    </row>
    <row r="800" ht="15.75" customHeight="1" s="115">
      <c r="A800" s="5" t="n"/>
      <c r="B800" s="5" t="n"/>
      <c r="C800" s="5" t="n"/>
      <c r="D800" s="5" t="n"/>
      <c r="E800" s="5" t="n"/>
      <c r="F800" s="5" t="n"/>
    </row>
    <row r="801" ht="15.75" customHeight="1" s="115">
      <c r="A801" s="5" t="n"/>
      <c r="B801" s="5" t="n"/>
      <c r="C801" s="5" t="n"/>
      <c r="D801" s="5" t="n"/>
      <c r="E801" s="5" t="n"/>
      <c r="F801" s="5" t="n"/>
    </row>
    <row r="802" ht="15.75" customHeight="1" s="115">
      <c r="A802" s="5" t="n"/>
      <c r="B802" s="5" t="n"/>
      <c r="C802" s="5" t="n"/>
      <c r="D802" s="5" t="n"/>
      <c r="E802" s="5" t="n"/>
      <c r="F802" s="5" t="n"/>
    </row>
    <row r="803" ht="15.75" customHeight="1" s="115">
      <c r="A803" s="5" t="n"/>
      <c r="B803" s="5" t="n"/>
      <c r="C803" s="5" t="n"/>
      <c r="D803" s="5" t="n"/>
      <c r="E803" s="5" t="n"/>
      <c r="F803" s="5" t="n"/>
    </row>
    <row r="804" ht="15.75" customHeight="1" s="115">
      <c r="A804" s="5" t="n"/>
      <c r="B804" s="5" t="n"/>
      <c r="C804" s="5" t="n"/>
      <c r="D804" s="5" t="n"/>
      <c r="E804" s="5" t="n"/>
      <c r="F804" s="5" t="n"/>
    </row>
    <row r="805" ht="15.75" customHeight="1" s="115">
      <c r="A805" s="5" t="n"/>
      <c r="B805" s="5" t="n"/>
      <c r="C805" s="5" t="n"/>
      <c r="D805" s="5" t="n"/>
      <c r="E805" s="5" t="n"/>
      <c r="F805" s="5" t="n"/>
    </row>
    <row r="806" ht="15.75" customHeight="1" s="115">
      <c r="A806" s="5" t="n"/>
      <c r="B806" s="5" t="n"/>
      <c r="C806" s="5" t="n"/>
      <c r="D806" s="5" t="n"/>
      <c r="E806" s="5" t="n"/>
      <c r="F806" s="5" t="n"/>
    </row>
    <row r="807" ht="15.75" customHeight="1" s="115">
      <c r="A807" s="5" t="n"/>
      <c r="B807" s="5" t="n"/>
      <c r="C807" s="5" t="n"/>
      <c r="D807" s="5" t="n"/>
      <c r="E807" s="5" t="n"/>
      <c r="F807" s="5" t="n"/>
    </row>
    <row r="808" ht="15.75" customHeight="1" s="115">
      <c r="A808" s="5" t="n"/>
      <c r="B808" s="5" t="n"/>
      <c r="C808" s="5" t="n"/>
      <c r="D808" s="5" t="n"/>
      <c r="E808" s="5" t="n"/>
      <c r="F808" s="5" t="n"/>
    </row>
    <row r="809" ht="15.75" customHeight="1" s="115">
      <c r="A809" s="5" t="n"/>
      <c r="B809" s="5" t="n"/>
      <c r="C809" s="5" t="n"/>
      <c r="D809" s="5" t="n"/>
      <c r="E809" s="5" t="n"/>
      <c r="F809" s="5" t="n"/>
    </row>
    <row r="810" ht="15.75" customHeight="1" s="115">
      <c r="A810" s="5" t="n"/>
      <c r="B810" s="5" t="n"/>
      <c r="C810" s="5" t="n"/>
      <c r="D810" s="5" t="n"/>
      <c r="E810" s="5" t="n"/>
      <c r="F810" s="5" t="n"/>
    </row>
    <row r="811" ht="15.75" customHeight="1" s="115">
      <c r="A811" s="5" t="n"/>
      <c r="B811" s="5" t="n"/>
      <c r="C811" s="5" t="n"/>
      <c r="D811" s="5" t="n"/>
      <c r="E811" s="5" t="n"/>
      <c r="F811" s="5" t="n"/>
    </row>
    <row r="812" ht="15.75" customHeight="1" s="115">
      <c r="A812" s="5" t="n"/>
      <c r="B812" s="5" t="n"/>
      <c r="C812" s="5" t="n"/>
      <c r="D812" s="5" t="n"/>
      <c r="E812" s="5" t="n"/>
      <c r="F812" s="5" t="n"/>
    </row>
    <row r="813" ht="15.75" customHeight="1" s="115">
      <c r="A813" s="5" t="n"/>
      <c r="B813" s="5" t="n"/>
      <c r="C813" s="5" t="n"/>
      <c r="D813" s="5" t="n"/>
      <c r="E813" s="5" t="n"/>
      <c r="F813" s="5" t="n"/>
    </row>
    <row r="814" ht="15.75" customHeight="1" s="115">
      <c r="A814" s="5" t="n"/>
      <c r="B814" s="5" t="n"/>
      <c r="C814" s="5" t="n"/>
      <c r="D814" s="5" t="n"/>
      <c r="E814" s="5" t="n"/>
      <c r="F814" s="5" t="n"/>
    </row>
    <row r="815" ht="15.75" customHeight="1" s="115">
      <c r="A815" s="5" t="n"/>
      <c r="B815" s="5" t="n"/>
      <c r="C815" s="5" t="n"/>
      <c r="D815" s="5" t="n"/>
      <c r="E815" s="5" t="n"/>
      <c r="F815" s="5" t="n"/>
    </row>
    <row r="816" ht="15.75" customHeight="1" s="115">
      <c r="A816" s="5" t="n"/>
      <c r="B816" s="5" t="n"/>
      <c r="C816" s="5" t="n"/>
      <c r="D816" s="5" t="n"/>
      <c r="E816" s="5" t="n"/>
      <c r="F816" s="5" t="n"/>
    </row>
    <row r="817" ht="15.75" customHeight="1" s="115">
      <c r="A817" s="5" t="n"/>
      <c r="B817" s="5" t="n"/>
      <c r="C817" s="5" t="n"/>
      <c r="D817" s="5" t="n"/>
      <c r="E817" s="5" t="n"/>
      <c r="F817" s="5" t="n"/>
    </row>
    <row r="818" ht="15.75" customHeight="1" s="115">
      <c r="A818" s="5" t="n"/>
      <c r="B818" s="5" t="n"/>
      <c r="C818" s="5" t="n"/>
      <c r="D818" s="5" t="n"/>
      <c r="E818" s="5" t="n"/>
      <c r="F818" s="5" t="n"/>
    </row>
    <row r="819" ht="15.75" customHeight="1" s="115">
      <c r="A819" s="5" t="n"/>
      <c r="B819" s="5" t="n"/>
      <c r="C819" s="5" t="n"/>
      <c r="D819" s="5" t="n"/>
      <c r="E819" s="5" t="n"/>
      <c r="F819" s="5" t="n"/>
    </row>
    <row r="820" ht="15.75" customHeight="1" s="115">
      <c r="A820" s="5" t="n"/>
      <c r="B820" s="5" t="n"/>
      <c r="C820" s="5" t="n"/>
      <c r="D820" s="5" t="n"/>
      <c r="E820" s="5" t="n"/>
      <c r="F820" s="5" t="n"/>
    </row>
    <row r="821" ht="15.75" customHeight="1" s="115">
      <c r="A821" s="5" t="n"/>
      <c r="B821" s="5" t="n"/>
      <c r="C821" s="5" t="n"/>
      <c r="D821" s="5" t="n"/>
      <c r="E821" s="5" t="n"/>
      <c r="F821" s="5" t="n"/>
    </row>
    <row r="822" ht="15.75" customHeight="1" s="115">
      <c r="A822" s="5" t="n"/>
      <c r="B822" s="5" t="n"/>
      <c r="C822" s="5" t="n"/>
      <c r="D822" s="5" t="n"/>
      <c r="E822" s="5" t="n"/>
      <c r="F822" s="5" t="n"/>
    </row>
    <row r="823" ht="15.75" customHeight="1" s="115">
      <c r="A823" s="5" t="n"/>
      <c r="B823" s="5" t="n"/>
      <c r="C823" s="5" t="n"/>
      <c r="D823" s="5" t="n"/>
      <c r="E823" s="5" t="n"/>
      <c r="F823" s="5" t="n"/>
    </row>
    <row r="824" ht="15.75" customHeight="1" s="115">
      <c r="A824" s="5" t="n"/>
      <c r="B824" s="5" t="n"/>
      <c r="C824" s="5" t="n"/>
      <c r="D824" s="5" t="n"/>
      <c r="E824" s="5" t="n"/>
      <c r="F824" s="5" t="n"/>
    </row>
    <row r="825" ht="15.75" customHeight="1" s="115">
      <c r="A825" s="5" t="n"/>
      <c r="B825" s="5" t="n"/>
      <c r="C825" s="5" t="n"/>
      <c r="D825" s="5" t="n"/>
      <c r="E825" s="5" t="n"/>
      <c r="F825" s="5" t="n"/>
    </row>
    <row r="826" ht="15.75" customHeight="1" s="115">
      <c r="A826" s="5" t="n"/>
      <c r="B826" s="5" t="n"/>
      <c r="C826" s="5" t="n"/>
      <c r="D826" s="5" t="n"/>
      <c r="E826" s="5" t="n"/>
      <c r="F826" s="5" t="n"/>
    </row>
    <row r="827" ht="15.75" customHeight="1" s="115">
      <c r="A827" s="5" t="n"/>
      <c r="B827" s="5" t="n"/>
      <c r="C827" s="5" t="n"/>
      <c r="D827" s="5" t="n"/>
      <c r="E827" s="5" t="n"/>
      <c r="F827" s="5" t="n"/>
    </row>
    <row r="828" ht="15.75" customHeight="1" s="115">
      <c r="A828" s="5" t="n"/>
      <c r="B828" s="5" t="n"/>
      <c r="C828" s="5" t="n"/>
      <c r="D828" s="5" t="n"/>
      <c r="E828" s="5" t="n"/>
      <c r="F828" s="5" t="n"/>
    </row>
    <row r="829" ht="15.75" customHeight="1" s="115">
      <c r="A829" s="5" t="n"/>
      <c r="B829" s="5" t="n"/>
      <c r="C829" s="5" t="n"/>
      <c r="D829" s="5" t="n"/>
      <c r="E829" s="5" t="n"/>
      <c r="F829" s="5" t="n"/>
    </row>
    <row r="830" ht="15.75" customHeight="1" s="115">
      <c r="A830" s="5" t="n"/>
      <c r="B830" s="5" t="n"/>
      <c r="C830" s="5" t="n"/>
      <c r="D830" s="5" t="n"/>
      <c r="E830" s="5" t="n"/>
      <c r="F830" s="5" t="n"/>
    </row>
    <row r="831" ht="15.75" customHeight="1" s="115">
      <c r="A831" s="5" t="n"/>
      <c r="B831" s="5" t="n"/>
      <c r="C831" s="5" t="n"/>
      <c r="D831" s="5" t="n"/>
      <c r="E831" s="5" t="n"/>
      <c r="F831" s="5" t="n"/>
    </row>
    <row r="832" ht="15.75" customHeight="1" s="115">
      <c r="A832" s="5" t="n"/>
      <c r="B832" s="5" t="n"/>
      <c r="C832" s="5" t="n"/>
      <c r="D832" s="5" t="n"/>
      <c r="E832" s="5" t="n"/>
      <c r="F832" s="5" t="n"/>
    </row>
    <row r="833" ht="15.75" customHeight="1" s="115">
      <c r="A833" s="5" t="n"/>
      <c r="B833" s="5" t="n"/>
      <c r="C833" s="5" t="n"/>
      <c r="D833" s="5" t="n"/>
      <c r="E833" s="5" t="n"/>
      <c r="F833" s="5" t="n"/>
    </row>
    <row r="834" ht="15.75" customHeight="1" s="115">
      <c r="A834" s="5" t="n"/>
      <c r="B834" s="5" t="n"/>
      <c r="C834" s="5" t="n"/>
      <c r="D834" s="5" t="n"/>
      <c r="E834" s="5" t="n"/>
      <c r="F834" s="5" t="n"/>
    </row>
    <row r="835" ht="15.75" customHeight="1" s="115">
      <c r="A835" s="5" t="n"/>
      <c r="B835" s="5" t="n"/>
      <c r="C835" s="5" t="n"/>
      <c r="D835" s="5" t="n"/>
      <c r="E835" s="5" t="n"/>
      <c r="F835" s="5" t="n"/>
    </row>
    <row r="836" ht="15.75" customHeight="1" s="115">
      <c r="A836" s="5" t="n"/>
      <c r="B836" s="5" t="n"/>
      <c r="C836" s="5" t="n"/>
      <c r="D836" s="5" t="n"/>
      <c r="E836" s="5" t="n"/>
      <c r="F836" s="5" t="n"/>
    </row>
    <row r="837" ht="15.75" customHeight="1" s="115">
      <c r="A837" s="5" t="n"/>
      <c r="B837" s="5" t="n"/>
      <c r="C837" s="5" t="n"/>
      <c r="D837" s="5" t="n"/>
      <c r="E837" s="5" t="n"/>
      <c r="F837" s="5" t="n"/>
    </row>
    <row r="838" ht="15.75" customHeight="1" s="115">
      <c r="A838" s="5" t="n"/>
      <c r="B838" s="5" t="n"/>
      <c r="C838" s="5" t="n"/>
      <c r="D838" s="5" t="n"/>
      <c r="E838" s="5" t="n"/>
      <c r="F838" s="5" t="n"/>
    </row>
    <row r="839" ht="15.75" customHeight="1" s="115">
      <c r="A839" s="5" t="n"/>
      <c r="B839" s="5" t="n"/>
      <c r="C839" s="5" t="n"/>
      <c r="D839" s="5" t="n"/>
      <c r="E839" s="5" t="n"/>
      <c r="F839" s="5" t="n"/>
    </row>
    <row r="840" ht="15.75" customHeight="1" s="115">
      <c r="A840" s="5" t="n"/>
      <c r="B840" s="5" t="n"/>
      <c r="C840" s="5" t="n"/>
      <c r="D840" s="5" t="n"/>
      <c r="E840" s="5" t="n"/>
      <c r="F840" s="5" t="n"/>
    </row>
    <row r="841" ht="15.75" customHeight="1" s="115">
      <c r="A841" s="5" t="n"/>
      <c r="B841" s="5" t="n"/>
      <c r="C841" s="5" t="n"/>
      <c r="D841" s="5" t="n"/>
      <c r="E841" s="5" t="n"/>
      <c r="F841" s="5" t="n"/>
    </row>
    <row r="842" ht="15.75" customHeight="1" s="115">
      <c r="A842" s="5" t="n"/>
      <c r="B842" s="5" t="n"/>
      <c r="C842" s="5" t="n"/>
      <c r="D842" s="5" t="n"/>
      <c r="E842" s="5" t="n"/>
      <c r="F842" s="5" t="n"/>
    </row>
    <row r="843" ht="15.75" customHeight="1" s="115">
      <c r="A843" s="5" t="n"/>
      <c r="B843" s="5" t="n"/>
      <c r="C843" s="5" t="n"/>
      <c r="D843" s="5" t="n"/>
      <c r="E843" s="5" t="n"/>
      <c r="F843" s="5" t="n"/>
    </row>
    <row r="844" ht="15.75" customHeight="1" s="115">
      <c r="A844" s="5" t="n"/>
      <c r="B844" s="5" t="n"/>
      <c r="C844" s="5" t="n"/>
      <c r="D844" s="5" t="n"/>
      <c r="E844" s="5" t="n"/>
      <c r="F844" s="5" t="n"/>
    </row>
    <row r="845" ht="15.75" customHeight="1" s="115">
      <c r="A845" s="5" t="n"/>
      <c r="B845" s="5" t="n"/>
      <c r="C845" s="5" t="n"/>
      <c r="D845" s="5" t="n"/>
      <c r="E845" s="5" t="n"/>
      <c r="F845" s="5" t="n"/>
    </row>
    <row r="846" ht="15.75" customHeight="1" s="115">
      <c r="A846" s="5" t="n"/>
      <c r="B846" s="5" t="n"/>
      <c r="C846" s="5" t="n"/>
      <c r="D846" s="5" t="n"/>
      <c r="E846" s="5" t="n"/>
      <c r="F846" s="5" t="n"/>
    </row>
    <row r="847" ht="15.75" customHeight="1" s="115">
      <c r="A847" s="5" t="n"/>
      <c r="B847" s="5" t="n"/>
      <c r="C847" s="5" t="n"/>
      <c r="D847" s="5" t="n"/>
      <c r="E847" s="5" t="n"/>
      <c r="F847" s="5" t="n"/>
    </row>
    <row r="848" ht="15.75" customHeight="1" s="115">
      <c r="A848" s="5" t="n"/>
      <c r="B848" s="5" t="n"/>
      <c r="C848" s="5" t="n"/>
      <c r="D848" s="5" t="n"/>
      <c r="E848" s="5" t="n"/>
      <c r="F848" s="5" t="n"/>
    </row>
    <row r="849" ht="15.75" customHeight="1" s="115">
      <c r="A849" s="5" t="n"/>
      <c r="B849" s="5" t="n"/>
      <c r="C849" s="5" t="n"/>
      <c r="D849" s="5" t="n"/>
      <c r="E849" s="5" t="n"/>
      <c r="F849" s="5" t="n"/>
    </row>
    <row r="850" ht="15.75" customHeight="1" s="115">
      <c r="A850" s="5" t="n"/>
      <c r="B850" s="5" t="n"/>
      <c r="C850" s="5" t="n"/>
      <c r="D850" s="5" t="n"/>
      <c r="E850" s="5" t="n"/>
      <c r="F850" s="5" t="n"/>
    </row>
    <row r="851" ht="15.75" customHeight="1" s="115">
      <c r="A851" s="5" t="n"/>
      <c r="B851" s="5" t="n"/>
      <c r="C851" s="5" t="n"/>
      <c r="D851" s="5" t="n"/>
      <c r="E851" s="5" t="n"/>
      <c r="F851" s="5" t="n"/>
    </row>
    <row r="852" ht="15.75" customHeight="1" s="115">
      <c r="A852" s="5" t="n"/>
      <c r="B852" s="5" t="n"/>
      <c r="C852" s="5" t="n"/>
      <c r="D852" s="5" t="n"/>
      <c r="E852" s="5" t="n"/>
      <c r="F852" s="5" t="n"/>
    </row>
    <row r="853" ht="15.75" customHeight="1" s="115">
      <c r="A853" s="5" t="n"/>
      <c r="B853" s="5" t="n"/>
      <c r="C853" s="5" t="n"/>
      <c r="D853" s="5" t="n"/>
      <c r="E853" s="5" t="n"/>
      <c r="F853" s="5" t="n"/>
    </row>
    <row r="854" ht="15.75" customHeight="1" s="115">
      <c r="A854" s="5" t="n"/>
      <c r="B854" s="5" t="n"/>
      <c r="C854" s="5" t="n"/>
      <c r="D854" s="5" t="n"/>
      <c r="E854" s="5" t="n"/>
      <c r="F854" s="5" t="n"/>
    </row>
    <row r="855" ht="15.75" customHeight="1" s="115">
      <c r="A855" s="5" t="n"/>
      <c r="B855" s="5" t="n"/>
      <c r="C855" s="5" t="n"/>
      <c r="D855" s="5" t="n"/>
      <c r="E855" s="5" t="n"/>
      <c r="F855" s="5" t="n"/>
    </row>
    <row r="856" ht="15.75" customHeight="1" s="115">
      <c r="A856" s="5" t="n"/>
      <c r="B856" s="5" t="n"/>
      <c r="C856" s="5" t="n"/>
      <c r="D856" s="5" t="n"/>
      <c r="E856" s="5" t="n"/>
      <c r="F856" s="5" t="n"/>
    </row>
    <row r="857" ht="15.75" customHeight="1" s="115">
      <c r="A857" s="5" t="n"/>
      <c r="B857" s="5" t="n"/>
      <c r="C857" s="5" t="n"/>
      <c r="D857" s="5" t="n"/>
      <c r="E857" s="5" t="n"/>
      <c r="F857" s="5" t="n"/>
    </row>
    <row r="858" ht="15.75" customHeight="1" s="115">
      <c r="A858" s="5" t="n"/>
      <c r="B858" s="5" t="n"/>
      <c r="C858" s="5" t="n"/>
      <c r="D858" s="5" t="n"/>
      <c r="E858" s="5" t="n"/>
      <c r="F858" s="5" t="n"/>
    </row>
    <row r="859" ht="15.75" customHeight="1" s="115">
      <c r="A859" s="5" t="n"/>
      <c r="B859" s="5" t="n"/>
      <c r="C859" s="5" t="n"/>
      <c r="D859" s="5" t="n"/>
      <c r="E859" s="5" t="n"/>
      <c r="F859" s="5" t="n"/>
    </row>
    <row r="860" ht="15.75" customHeight="1" s="115">
      <c r="A860" s="5" t="n"/>
      <c r="B860" s="5" t="n"/>
      <c r="C860" s="5" t="n"/>
      <c r="D860" s="5" t="n"/>
      <c r="E860" s="5" t="n"/>
      <c r="F860" s="5" t="n"/>
    </row>
    <row r="861" ht="15.75" customHeight="1" s="115">
      <c r="A861" s="5" t="n"/>
      <c r="B861" s="5" t="n"/>
      <c r="C861" s="5" t="n"/>
      <c r="D861" s="5" t="n"/>
      <c r="E861" s="5" t="n"/>
      <c r="F861" s="5" t="n"/>
    </row>
    <row r="862" ht="15.75" customHeight="1" s="115">
      <c r="A862" s="5" t="n"/>
      <c r="B862" s="5" t="n"/>
      <c r="C862" s="5" t="n"/>
      <c r="D862" s="5" t="n"/>
      <c r="E862" s="5" t="n"/>
      <c r="F862" s="5" t="n"/>
    </row>
    <row r="863" ht="15.75" customHeight="1" s="115">
      <c r="A863" s="5" t="n"/>
      <c r="B863" s="5" t="n"/>
      <c r="C863" s="5" t="n"/>
      <c r="D863" s="5" t="n"/>
      <c r="E863" s="5" t="n"/>
      <c r="F863" s="5" t="n"/>
    </row>
    <row r="864" ht="15.75" customHeight="1" s="115">
      <c r="A864" s="5" t="n"/>
      <c r="B864" s="5" t="n"/>
      <c r="C864" s="5" t="n"/>
      <c r="D864" s="5" t="n"/>
      <c r="E864" s="5" t="n"/>
      <c r="F864" s="5" t="n"/>
    </row>
    <row r="865" ht="15.75" customHeight="1" s="115">
      <c r="A865" s="5" t="n"/>
      <c r="B865" s="5" t="n"/>
      <c r="C865" s="5" t="n"/>
      <c r="D865" s="5" t="n"/>
      <c r="E865" s="5" t="n"/>
      <c r="F865" s="5" t="n"/>
    </row>
    <row r="866" ht="15.75" customHeight="1" s="115">
      <c r="A866" s="5" t="n"/>
      <c r="B866" s="5" t="n"/>
      <c r="C866" s="5" t="n"/>
      <c r="D866" s="5" t="n"/>
      <c r="E866" s="5" t="n"/>
      <c r="F866" s="5" t="n"/>
    </row>
    <row r="867" ht="15.75" customHeight="1" s="115">
      <c r="A867" s="5" t="n"/>
      <c r="B867" s="5" t="n"/>
      <c r="C867" s="5" t="n"/>
      <c r="D867" s="5" t="n"/>
      <c r="E867" s="5" t="n"/>
      <c r="F867" s="5" t="n"/>
    </row>
    <row r="868" ht="15.75" customHeight="1" s="115">
      <c r="A868" s="5" t="n"/>
      <c r="B868" s="5" t="n"/>
      <c r="C868" s="5" t="n"/>
      <c r="D868" s="5" t="n"/>
      <c r="E868" s="5" t="n"/>
      <c r="F868" s="5" t="n"/>
    </row>
    <row r="869" ht="15.75" customHeight="1" s="115">
      <c r="A869" s="5" t="n"/>
      <c r="B869" s="5" t="n"/>
      <c r="C869" s="5" t="n"/>
      <c r="D869" s="5" t="n"/>
      <c r="E869" s="5" t="n"/>
      <c r="F869" s="5" t="n"/>
    </row>
    <row r="870" ht="15.75" customHeight="1" s="115">
      <c r="A870" s="5" t="n"/>
      <c r="B870" s="5" t="n"/>
      <c r="C870" s="5" t="n"/>
      <c r="D870" s="5" t="n"/>
      <c r="E870" s="5" t="n"/>
      <c r="F870" s="5" t="n"/>
    </row>
    <row r="871" ht="15.75" customHeight="1" s="115">
      <c r="A871" s="5" t="n"/>
      <c r="B871" s="5" t="n"/>
      <c r="C871" s="5" t="n"/>
      <c r="D871" s="5" t="n"/>
      <c r="E871" s="5" t="n"/>
      <c r="F871" s="5" t="n"/>
    </row>
    <row r="872" ht="15.75" customHeight="1" s="115">
      <c r="A872" s="5" t="n"/>
      <c r="B872" s="5" t="n"/>
      <c r="C872" s="5" t="n"/>
      <c r="D872" s="5" t="n"/>
      <c r="E872" s="5" t="n"/>
      <c r="F872" s="5" t="n"/>
    </row>
    <row r="873" ht="15.75" customHeight="1" s="115">
      <c r="A873" s="5" t="n"/>
      <c r="B873" s="5" t="n"/>
      <c r="C873" s="5" t="n"/>
      <c r="D873" s="5" t="n"/>
      <c r="E873" s="5" t="n"/>
      <c r="F873" s="5" t="n"/>
    </row>
    <row r="874" ht="15.75" customHeight="1" s="115">
      <c r="A874" s="5" t="n"/>
      <c r="B874" s="5" t="n"/>
      <c r="C874" s="5" t="n"/>
      <c r="D874" s="5" t="n"/>
      <c r="E874" s="5" t="n"/>
      <c r="F874" s="5" t="n"/>
    </row>
    <row r="875" ht="15.75" customHeight="1" s="115">
      <c r="A875" s="5" t="n"/>
      <c r="B875" s="5" t="n"/>
      <c r="C875" s="5" t="n"/>
      <c r="D875" s="5" t="n"/>
      <c r="E875" s="5" t="n"/>
      <c r="F875" s="5" t="n"/>
    </row>
    <row r="876" ht="15.75" customHeight="1" s="115">
      <c r="A876" s="5" t="n"/>
      <c r="B876" s="5" t="n"/>
      <c r="C876" s="5" t="n"/>
      <c r="D876" s="5" t="n"/>
      <c r="E876" s="5" t="n"/>
      <c r="F876" s="5" t="n"/>
    </row>
    <row r="877" ht="15.75" customHeight="1" s="115">
      <c r="A877" s="5" t="n"/>
      <c r="B877" s="5" t="n"/>
      <c r="C877" s="5" t="n"/>
      <c r="D877" s="5" t="n"/>
      <c r="E877" s="5" t="n"/>
      <c r="F877" s="5" t="n"/>
    </row>
    <row r="878" ht="15.75" customHeight="1" s="115">
      <c r="A878" s="5" t="n"/>
      <c r="B878" s="5" t="n"/>
      <c r="C878" s="5" t="n"/>
      <c r="D878" s="5" t="n"/>
      <c r="E878" s="5" t="n"/>
      <c r="F878" s="5" t="n"/>
    </row>
    <row r="879" ht="15.75" customHeight="1" s="115">
      <c r="A879" s="5" t="n"/>
      <c r="B879" s="5" t="n"/>
      <c r="C879" s="5" t="n"/>
      <c r="D879" s="5" t="n"/>
      <c r="E879" s="5" t="n"/>
      <c r="F879" s="5" t="n"/>
    </row>
    <row r="880" ht="15.75" customHeight="1" s="115">
      <c r="A880" s="5" t="n"/>
      <c r="B880" s="5" t="n"/>
      <c r="C880" s="5" t="n"/>
      <c r="D880" s="5" t="n"/>
      <c r="E880" s="5" t="n"/>
      <c r="F880" s="5" t="n"/>
    </row>
    <row r="881" ht="15.75" customHeight="1" s="115">
      <c r="A881" s="5" t="n"/>
      <c r="B881" s="5" t="n"/>
      <c r="C881" s="5" t="n"/>
      <c r="D881" s="5" t="n"/>
      <c r="E881" s="5" t="n"/>
      <c r="F881" s="5" t="n"/>
    </row>
    <row r="882" ht="15.75" customHeight="1" s="115">
      <c r="A882" s="5" t="n"/>
      <c r="B882" s="5" t="n"/>
      <c r="C882" s="5" t="n"/>
      <c r="D882" s="5" t="n"/>
      <c r="E882" s="5" t="n"/>
      <c r="F882" s="5" t="n"/>
    </row>
    <row r="883" ht="15.75" customHeight="1" s="115">
      <c r="A883" s="5" t="n"/>
      <c r="B883" s="5" t="n"/>
      <c r="C883" s="5" t="n"/>
      <c r="D883" s="5" t="n"/>
      <c r="E883" s="5" t="n"/>
      <c r="F883" s="5" t="n"/>
    </row>
    <row r="884" ht="15.75" customHeight="1" s="115">
      <c r="A884" s="5" t="n"/>
      <c r="B884" s="5" t="n"/>
      <c r="C884" s="5" t="n"/>
      <c r="D884" s="5" t="n"/>
      <c r="E884" s="5" t="n"/>
      <c r="F884" s="5" t="n"/>
    </row>
    <row r="885" ht="15.75" customHeight="1" s="115">
      <c r="A885" s="5" t="n"/>
      <c r="B885" s="5" t="n"/>
      <c r="C885" s="5" t="n"/>
      <c r="D885" s="5" t="n"/>
      <c r="E885" s="5" t="n"/>
      <c r="F885" s="5" t="n"/>
    </row>
    <row r="886" ht="15.75" customHeight="1" s="115">
      <c r="A886" s="5" t="n"/>
      <c r="B886" s="5" t="n"/>
      <c r="C886" s="5" t="n"/>
      <c r="D886" s="5" t="n"/>
      <c r="E886" s="5" t="n"/>
      <c r="F886" s="5" t="n"/>
    </row>
    <row r="887" ht="15.75" customHeight="1" s="115">
      <c r="A887" s="5" t="n"/>
      <c r="B887" s="5" t="n"/>
      <c r="C887" s="5" t="n"/>
      <c r="D887" s="5" t="n"/>
      <c r="E887" s="5" t="n"/>
      <c r="F887" s="5" t="n"/>
    </row>
    <row r="888" ht="15.75" customHeight="1" s="115">
      <c r="A888" s="5" t="n"/>
      <c r="B888" s="5" t="n"/>
      <c r="C888" s="5" t="n"/>
      <c r="D888" s="5" t="n"/>
      <c r="E888" s="5" t="n"/>
      <c r="F888" s="5" t="n"/>
    </row>
    <row r="889" ht="15.75" customHeight="1" s="115">
      <c r="A889" s="5" t="n"/>
      <c r="B889" s="5" t="n"/>
      <c r="C889" s="5" t="n"/>
      <c r="D889" s="5" t="n"/>
      <c r="E889" s="5" t="n"/>
      <c r="F889" s="5" t="n"/>
    </row>
    <row r="890" ht="15.75" customHeight="1" s="115">
      <c r="A890" s="5" t="n"/>
      <c r="B890" s="5" t="n"/>
      <c r="C890" s="5" t="n"/>
      <c r="D890" s="5" t="n"/>
      <c r="E890" s="5" t="n"/>
      <c r="F890" s="5" t="n"/>
    </row>
    <row r="891" ht="15.75" customHeight="1" s="115">
      <c r="A891" s="5" t="n"/>
      <c r="B891" s="5" t="n"/>
      <c r="C891" s="5" t="n"/>
      <c r="D891" s="5" t="n"/>
      <c r="E891" s="5" t="n"/>
      <c r="F891" s="5" t="n"/>
    </row>
    <row r="892" ht="15.75" customHeight="1" s="115">
      <c r="A892" s="5" t="n"/>
      <c r="B892" s="5" t="n"/>
      <c r="C892" s="5" t="n"/>
      <c r="D892" s="5" t="n"/>
      <c r="E892" s="5" t="n"/>
      <c r="F892" s="5" t="n"/>
    </row>
    <row r="893" ht="15.75" customHeight="1" s="115">
      <c r="A893" s="5" t="n"/>
      <c r="B893" s="5" t="n"/>
      <c r="C893" s="5" t="n"/>
      <c r="D893" s="5" t="n"/>
      <c r="E893" s="5" t="n"/>
      <c r="F893" s="5" t="n"/>
    </row>
    <row r="894" ht="15.75" customHeight="1" s="115">
      <c r="A894" s="5" t="n"/>
      <c r="B894" s="5" t="n"/>
      <c r="C894" s="5" t="n"/>
      <c r="D894" s="5" t="n"/>
      <c r="E894" s="5" t="n"/>
      <c r="F894" s="5" t="n"/>
    </row>
    <row r="895" ht="15.75" customHeight="1" s="115">
      <c r="A895" s="5" t="n"/>
      <c r="B895" s="5" t="n"/>
      <c r="C895" s="5" t="n"/>
      <c r="D895" s="5" t="n"/>
      <c r="E895" s="5" t="n"/>
      <c r="F895" s="5" t="n"/>
    </row>
    <row r="896" ht="15.75" customHeight="1" s="115">
      <c r="A896" s="5" t="n"/>
      <c r="B896" s="5" t="n"/>
      <c r="C896" s="5" t="n"/>
      <c r="D896" s="5" t="n"/>
      <c r="E896" s="5" t="n"/>
      <c r="F896" s="5" t="n"/>
    </row>
    <row r="897" ht="15.75" customHeight="1" s="115">
      <c r="A897" s="5" t="n"/>
      <c r="B897" s="5" t="n"/>
      <c r="C897" s="5" t="n"/>
      <c r="D897" s="5" t="n"/>
      <c r="E897" s="5" t="n"/>
      <c r="F897" s="5" t="n"/>
    </row>
    <row r="898" ht="15.75" customHeight="1" s="115">
      <c r="A898" s="5" t="n"/>
      <c r="B898" s="5" t="n"/>
      <c r="C898" s="5" t="n"/>
      <c r="D898" s="5" t="n"/>
      <c r="E898" s="5" t="n"/>
      <c r="F898" s="5" t="n"/>
    </row>
    <row r="899" ht="15.75" customHeight="1" s="115">
      <c r="A899" s="5" t="n"/>
      <c r="B899" s="5" t="n"/>
      <c r="C899" s="5" t="n"/>
      <c r="D899" s="5" t="n"/>
      <c r="E899" s="5" t="n"/>
      <c r="F899" s="5" t="n"/>
    </row>
    <row r="900" ht="15.75" customHeight="1" s="115">
      <c r="A900" s="5" t="n"/>
      <c r="B900" s="5" t="n"/>
      <c r="C900" s="5" t="n"/>
      <c r="D900" s="5" t="n"/>
      <c r="E900" s="5" t="n"/>
      <c r="F900" s="5" t="n"/>
    </row>
    <row r="901" ht="15.75" customHeight="1" s="115">
      <c r="A901" s="5" t="n"/>
      <c r="B901" s="5" t="n"/>
      <c r="C901" s="5" t="n"/>
      <c r="D901" s="5" t="n"/>
      <c r="E901" s="5" t="n"/>
      <c r="F901" s="5" t="n"/>
    </row>
    <row r="902" ht="15.75" customHeight="1" s="115">
      <c r="A902" s="5" t="n"/>
      <c r="B902" s="5" t="n"/>
      <c r="C902" s="5" t="n"/>
      <c r="D902" s="5" t="n"/>
      <c r="E902" s="5" t="n"/>
      <c r="F902" s="5" t="n"/>
    </row>
    <row r="903" ht="15.75" customHeight="1" s="115">
      <c r="A903" s="5" t="n"/>
      <c r="B903" s="5" t="n"/>
      <c r="C903" s="5" t="n"/>
      <c r="D903" s="5" t="n"/>
      <c r="E903" s="5" t="n"/>
      <c r="F903" s="5" t="n"/>
    </row>
    <row r="904" ht="15.75" customHeight="1" s="115">
      <c r="A904" s="5" t="n"/>
      <c r="B904" s="5" t="n"/>
      <c r="C904" s="5" t="n"/>
      <c r="D904" s="5" t="n"/>
      <c r="E904" s="5" t="n"/>
      <c r="F904" s="5" t="n"/>
    </row>
    <row r="905" ht="15.75" customHeight="1" s="115">
      <c r="A905" s="5" t="n"/>
      <c r="B905" s="5" t="n"/>
      <c r="C905" s="5" t="n"/>
      <c r="D905" s="5" t="n"/>
      <c r="E905" s="5" t="n"/>
      <c r="F905" s="5" t="n"/>
    </row>
    <row r="906" ht="15.75" customHeight="1" s="115">
      <c r="A906" s="5" t="n"/>
      <c r="B906" s="5" t="n"/>
      <c r="C906" s="5" t="n"/>
      <c r="D906" s="5" t="n"/>
      <c r="E906" s="5" t="n"/>
      <c r="F906" s="5" t="n"/>
    </row>
    <row r="907" ht="15.75" customHeight="1" s="115">
      <c r="A907" s="5" t="n"/>
      <c r="B907" s="5" t="n"/>
      <c r="C907" s="5" t="n"/>
      <c r="D907" s="5" t="n"/>
      <c r="E907" s="5" t="n"/>
      <c r="F907" s="5" t="n"/>
    </row>
    <row r="908" ht="15.75" customHeight="1" s="115">
      <c r="A908" s="5" t="n"/>
      <c r="B908" s="5" t="n"/>
      <c r="C908" s="5" t="n"/>
      <c r="D908" s="5" t="n"/>
      <c r="E908" s="5" t="n"/>
      <c r="F908" s="5" t="n"/>
    </row>
    <row r="909" ht="15.75" customHeight="1" s="115">
      <c r="A909" s="5" t="n"/>
      <c r="B909" s="5" t="n"/>
      <c r="C909" s="5" t="n"/>
      <c r="D909" s="5" t="n"/>
      <c r="E909" s="5" t="n"/>
      <c r="F909" s="5" t="n"/>
    </row>
    <row r="910" ht="15.75" customHeight="1" s="115">
      <c r="A910" s="5" t="n"/>
      <c r="B910" s="5" t="n"/>
      <c r="C910" s="5" t="n"/>
      <c r="D910" s="5" t="n"/>
      <c r="E910" s="5" t="n"/>
      <c r="F910" s="5" t="n"/>
    </row>
    <row r="911" ht="15.75" customHeight="1" s="115">
      <c r="A911" s="5" t="n"/>
      <c r="B911" s="5" t="n"/>
      <c r="C911" s="5" t="n"/>
      <c r="D911" s="5" t="n"/>
      <c r="E911" s="5" t="n"/>
      <c r="F911" s="5" t="n"/>
    </row>
    <row r="912" ht="15.75" customHeight="1" s="115">
      <c r="A912" s="5" t="n"/>
      <c r="B912" s="5" t="n"/>
      <c r="C912" s="5" t="n"/>
      <c r="D912" s="5" t="n"/>
      <c r="E912" s="5" t="n"/>
      <c r="F912" s="5" t="n"/>
    </row>
    <row r="913" ht="15.75" customHeight="1" s="115">
      <c r="A913" s="5" t="n"/>
      <c r="B913" s="5" t="n"/>
      <c r="C913" s="5" t="n"/>
      <c r="D913" s="5" t="n"/>
      <c r="E913" s="5" t="n"/>
      <c r="F913" s="5" t="n"/>
    </row>
    <row r="914" ht="15.75" customHeight="1" s="115">
      <c r="A914" s="5" t="n"/>
      <c r="B914" s="5" t="n"/>
      <c r="C914" s="5" t="n"/>
      <c r="D914" s="5" t="n"/>
      <c r="E914" s="5" t="n"/>
      <c r="F914" s="5" t="n"/>
    </row>
    <row r="915" ht="15.75" customHeight="1" s="115">
      <c r="A915" s="5" t="n"/>
      <c r="B915" s="5" t="n"/>
      <c r="C915" s="5" t="n"/>
      <c r="D915" s="5" t="n"/>
      <c r="E915" s="5" t="n"/>
      <c r="F915" s="5" t="n"/>
    </row>
    <row r="916" ht="15.75" customHeight="1" s="115">
      <c r="A916" s="5" t="n"/>
      <c r="B916" s="5" t="n"/>
      <c r="C916" s="5" t="n"/>
      <c r="D916" s="5" t="n"/>
      <c r="E916" s="5" t="n"/>
      <c r="F916" s="5" t="n"/>
    </row>
    <row r="917" ht="15.75" customHeight="1" s="115">
      <c r="A917" s="5" t="n"/>
      <c r="B917" s="5" t="n"/>
      <c r="C917" s="5" t="n"/>
      <c r="D917" s="5" t="n"/>
      <c r="E917" s="5" t="n"/>
      <c r="F917" s="5" t="n"/>
    </row>
    <row r="918" ht="15.75" customHeight="1" s="115">
      <c r="A918" s="5" t="n"/>
      <c r="B918" s="5" t="n"/>
      <c r="C918" s="5" t="n"/>
      <c r="D918" s="5" t="n"/>
      <c r="E918" s="5" t="n"/>
      <c r="F918" s="5" t="n"/>
    </row>
    <row r="919" ht="15.75" customHeight="1" s="115">
      <c r="A919" s="5" t="n"/>
      <c r="B919" s="5" t="n"/>
      <c r="C919" s="5" t="n"/>
      <c r="D919" s="5" t="n"/>
      <c r="E919" s="5" t="n"/>
      <c r="F919" s="5" t="n"/>
    </row>
    <row r="920" ht="15.75" customHeight="1" s="115">
      <c r="A920" s="5" t="n"/>
      <c r="B920" s="5" t="n"/>
      <c r="C920" s="5" t="n"/>
      <c r="D920" s="5" t="n"/>
      <c r="E920" s="5" t="n"/>
      <c r="F920" s="5" t="n"/>
    </row>
    <row r="921" ht="15.75" customHeight="1" s="115">
      <c r="A921" s="5" t="n"/>
      <c r="B921" s="5" t="n"/>
      <c r="C921" s="5" t="n"/>
      <c r="D921" s="5" t="n"/>
      <c r="E921" s="5" t="n"/>
      <c r="F921" s="5" t="n"/>
    </row>
    <row r="922" ht="15.75" customHeight="1" s="115">
      <c r="A922" s="5" t="n"/>
      <c r="B922" s="5" t="n"/>
      <c r="C922" s="5" t="n"/>
      <c r="D922" s="5" t="n"/>
      <c r="E922" s="5" t="n"/>
      <c r="F922" s="5" t="n"/>
    </row>
    <row r="923" ht="15.75" customHeight="1" s="115">
      <c r="A923" s="5" t="n"/>
      <c r="B923" s="5" t="n"/>
      <c r="C923" s="5" t="n"/>
      <c r="D923" s="5" t="n"/>
      <c r="E923" s="5" t="n"/>
      <c r="F923" s="5" t="n"/>
    </row>
    <row r="924" ht="15.75" customHeight="1" s="115">
      <c r="A924" s="5" t="n"/>
      <c r="B924" s="5" t="n"/>
      <c r="C924" s="5" t="n"/>
      <c r="D924" s="5" t="n"/>
      <c r="E924" s="5" t="n"/>
      <c r="F924" s="5" t="n"/>
    </row>
    <row r="925" ht="15.75" customHeight="1" s="115">
      <c r="A925" s="5" t="n"/>
      <c r="B925" s="5" t="n"/>
      <c r="C925" s="5" t="n"/>
      <c r="D925" s="5" t="n"/>
      <c r="E925" s="5" t="n"/>
      <c r="F925" s="5" t="n"/>
    </row>
    <row r="926" ht="15.75" customHeight="1" s="115">
      <c r="A926" s="5" t="n"/>
      <c r="B926" s="5" t="n"/>
      <c r="C926" s="5" t="n"/>
      <c r="D926" s="5" t="n"/>
      <c r="E926" s="5" t="n"/>
      <c r="F926" s="5" t="n"/>
    </row>
    <row r="927" ht="15.75" customHeight="1" s="115">
      <c r="A927" s="5" t="n"/>
      <c r="B927" s="5" t="n"/>
      <c r="C927" s="5" t="n"/>
      <c r="D927" s="5" t="n"/>
      <c r="E927" s="5" t="n"/>
      <c r="F927" s="5" t="n"/>
    </row>
    <row r="928" ht="15.75" customHeight="1" s="115">
      <c r="A928" s="5" t="n"/>
      <c r="B928" s="5" t="n"/>
      <c r="C928" s="5" t="n"/>
      <c r="D928" s="5" t="n"/>
      <c r="E928" s="5" t="n"/>
      <c r="F928" s="5" t="n"/>
    </row>
    <row r="929" ht="15.75" customHeight="1" s="115">
      <c r="A929" s="5" t="n"/>
      <c r="B929" s="5" t="n"/>
      <c r="C929" s="5" t="n"/>
      <c r="D929" s="5" t="n"/>
      <c r="E929" s="5" t="n"/>
      <c r="F929" s="5" t="n"/>
    </row>
    <row r="930" ht="15.75" customHeight="1" s="115">
      <c r="A930" s="5" t="n"/>
      <c r="B930" s="5" t="n"/>
      <c r="C930" s="5" t="n"/>
      <c r="D930" s="5" t="n"/>
      <c r="E930" s="5" t="n"/>
      <c r="F930" s="5" t="n"/>
    </row>
    <row r="931" ht="15.75" customHeight="1" s="115">
      <c r="A931" s="5" t="n"/>
      <c r="B931" s="5" t="n"/>
      <c r="C931" s="5" t="n"/>
      <c r="D931" s="5" t="n"/>
      <c r="E931" s="5" t="n"/>
      <c r="F931" s="5" t="n"/>
    </row>
    <row r="932" ht="15.75" customHeight="1" s="115">
      <c r="A932" s="5" t="n"/>
      <c r="B932" s="5" t="n"/>
      <c r="C932" s="5" t="n"/>
      <c r="D932" s="5" t="n"/>
      <c r="E932" s="5" t="n"/>
      <c r="F932" s="5" t="n"/>
    </row>
    <row r="933" ht="15.75" customHeight="1" s="115">
      <c r="A933" s="5" t="n"/>
      <c r="B933" s="5" t="n"/>
      <c r="C933" s="5" t="n"/>
      <c r="D933" s="5" t="n"/>
      <c r="E933" s="5" t="n"/>
      <c r="F933" s="5" t="n"/>
    </row>
    <row r="934" ht="15.75" customHeight="1" s="115">
      <c r="A934" s="5" t="n"/>
      <c r="B934" s="5" t="n"/>
      <c r="C934" s="5" t="n"/>
      <c r="D934" s="5" t="n"/>
      <c r="E934" s="5" t="n"/>
      <c r="F934" s="5" t="n"/>
    </row>
    <row r="935" ht="15.75" customHeight="1" s="115">
      <c r="A935" s="5" t="n"/>
      <c r="B935" s="5" t="n"/>
      <c r="C935" s="5" t="n"/>
      <c r="D935" s="5" t="n"/>
      <c r="E935" s="5" t="n"/>
      <c r="F935" s="5" t="n"/>
    </row>
    <row r="936" ht="15.75" customHeight="1" s="115">
      <c r="A936" s="5" t="n"/>
      <c r="B936" s="5" t="n"/>
      <c r="C936" s="5" t="n"/>
      <c r="D936" s="5" t="n"/>
      <c r="E936" s="5" t="n"/>
      <c r="F936" s="5" t="n"/>
    </row>
    <row r="937" ht="15.75" customHeight="1" s="115">
      <c r="A937" s="5" t="n"/>
      <c r="B937" s="5" t="n"/>
      <c r="C937" s="5" t="n"/>
      <c r="D937" s="5" t="n"/>
      <c r="E937" s="5" t="n"/>
      <c r="F937" s="5" t="n"/>
    </row>
    <row r="938" ht="15.75" customHeight="1" s="115">
      <c r="A938" s="5" t="n"/>
      <c r="B938" s="5" t="n"/>
      <c r="C938" s="5" t="n"/>
      <c r="D938" s="5" t="n"/>
      <c r="E938" s="5" t="n"/>
      <c r="F938" s="5" t="n"/>
    </row>
    <row r="939" ht="15.75" customHeight="1" s="115">
      <c r="A939" s="5" t="n"/>
      <c r="B939" s="5" t="n"/>
      <c r="C939" s="5" t="n"/>
      <c r="D939" s="5" t="n"/>
      <c r="E939" s="5" t="n"/>
      <c r="F939" s="5" t="n"/>
    </row>
    <row r="940" ht="15.75" customHeight="1" s="115">
      <c r="A940" s="5" t="n"/>
      <c r="B940" s="5" t="n"/>
      <c r="C940" s="5" t="n"/>
      <c r="D940" s="5" t="n"/>
      <c r="E940" s="5" t="n"/>
      <c r="F940" s="5" t="n"/>
    </row>
    <row r="941" ht="15.75" customHeight="1" s="115">
      <c r="A941" s="5" t="n"/>
      <c r="B941" s="5" t="n"/>
      <c r="C941" s="5" t="n"/>
      <c r="D941" s="5" t="n"/>
      <c r="E941" s="5" t="n"/>
      <c r="F941" s="5" t="n"/>
    </row>
    <row r="942" ht="15.75" customHeight="1" s="115">
      <c r="A942" s="5" t="n"/>
      <c r="B942" s="5" t="n"/>
      <c r="C942" s="5" t="n"/>
      <c r="D942" s="5" t="n"/>
      <c r="E942" s="5" t="n"/>
      <c r="F942" s="5" t="n"/>
    </row>
    <row r="943" ht="15.75" customHeight="1" s="115">
      <c r="A943" s="5" t="n"/>
      <c r="B943" s="5" t="n"/>
      <c r="C943" s="5" t="n"/>
      <c r="D943" s="5" t="n"/>
      <c r="E943" s="5" t="n"/>
      <c r="F943" s="5" t="n"/>
    </row>
    <row r="944" ht="15.75" customHeight="1" s="115">
      <c r="A944" s="5" t="n"/>
      <c r="B944" s="5" t="n"/>
      <c r="C944" s="5" t="n"/>
      <c r="D944" s="5" t="n"/>
      <c r="E944" s="5" t="n"/>
      <c r="F944" s="5" t="n"/>
    </row>
    <row r="945" ht="15.75" customHeight="1" s="115">
      <c r="A945" s="5" t="n"/>
      <c r="B945" s="5" t="n"/>
      <c r="C945" s="5" t="n"/>
      <c r="D945" s="5" t="n"/>
      <c r="E945" s="5" t="n"/>
      <c r="F945" s="5" t="n"/>
    </row>
    <row r="946" ht="15.75" customHeight="1" s="115">
      <c r="A946" s="5" t="n"/>
      <c r="B946" s="5" t="n"/>
      <c r="C946" s="5" t="n"/>
      <c r="D946" s="5" t="n"/>
      <c r="E946" s="5" t="n"/>
      <c r="F946" s="5" t="n"/>
    </row>
    <row r="947" ht="15.75" customHeight="1" s="115">
      <c r="A947" s="5" t="n"/>
      <c r="B947" s="5" t="n"/>
      <c r="C947" s="5" t="n"/>
      <c r="D947" s="5" t="n"/>
      <c r="E947" s="5" t="n"/>
      <c r="F947" s="5" t="n"/>
    </row>
    <row r="948" ht="15.75" customHeight="1" s="115">
      <c r="A948" s="5" t="n"/>
      <c r="B948" s="5" t="n"/>
      <c r="C948" s="5" t="n"/>
      <c r="D948" s="5" t="n"/>
      <c r="E948" s="5" t="n"/>
      <c r="F948" s="5" t="n"/>
    </row>
    <row r="949" ht="15.75" customHeight="1" s="115">
      <c r="A949" s="5" t="n"/>
      <c r="B949" s="5" t="n"/>
      <c r="C949" s="5" t="n"/>
      <c r="D949" s="5" t="n"/>
      <c r="E949" s="5" t="n"/>
      <c r="F949" s="5" t="n"/>
    </row>
    <row r="950" ht="15.75" customHeight="1" s="115">
      <c r="A950" s="5" t="n"/>
      <c r="B950" s="5" t="n"/>
      <c r="C950" s="5" t="n"/>
      <c r="D950" s="5" t="n"/>
      <c r="E950" s="5" t="n"/>
      <c r="F950" s="5" t="n"/>
    </row>
    <row r="951" ht="15.75" customHeight="1" s="115">
      <c r="A951" s="5" t="n"/>
      <c r="B951" s="5" t="n"/>
      <c r="C951" s="5" t="n"/>
      <c r="D951" s="5" t="n"/>
      <c r="E951" s="5" t="n"/>
      <c r="F951" s="5" t="n"/>
    </row>
    <row r="952" ht="15.75" customHeight="1" s="115">
      <c r="A952" s="5" t="n"/>
      <c r="B952" s="5" t="n"/>
      <c r="C952" s="5" t="n"/>
      <c r="D952" s="5" t="n"/>
      <c r="E952" s="5" t="n"/>
      <c r="F952" s="5" t="n"/>
    </row>
    <row r="953" ht="15.75" customHeight="1" s="115">
      <c r="A953" s="5" t="n"/>
      <c r="B953" s="5" t="n"/>
      <c r="C953" s="5" t="n"/>
      <c r="D953" s="5" t="n"/>
      <c r="E953" s="5" t="n"/>
      <c r="F953" s="5" t="n"/>
    </row>
    <row r="954" ht="15.75" customHeight="1" s="115">
      <c r="A954" s="5" t="n"/>
      <c r="B954" s="5" t="n"/>
      <c r="C954" s="5" t="n"/>
      <c r="D954" s="5" t="n"/>
      <c r="E954" s="5" t="n"/>
      <c r="F954" s="5" t="n"/>
    </row>
    <row r="955" ht="15.75" customHeight="1" s="115">
      <c r="A955" s="5" t="n"/>
      <c r="B955" s="5" t="n"/>
      <c r="C955" s="5" t="n"/>
      <c r="D955" s="5" t="n"/>
      <c r="E955" s="5" t="n"/>
      <c r="F955" s="5" t="n"/>
    </row>
    <row r="956" ht="15.75" customHeight="1" s="115">
      <c r="A956" s="5" t="n"/>
      <c r="B956" s="5" t="n"/>
      <c r="C956" s="5" t="n"/>
      <c r="D956" s="5" t="n"/>
      <c r="E956" s="5" t="n"/>
      <c r="F956" s="5" t="n"/>
    </row>
    <row r="957" ht="15.75" customHeight="1" s="115">
      <c r="A957" s="5" t="n"/>
      <c r="B957" s="5" t="n"/>
      <c r="C957" s="5" t="n"/>
      <c r="D957" s="5" t="n"/>
      <c r="E957" s="5" t="n"/>
      <c r="F957" s="5" t="n"/>
    </row>
    <row r="958" ht="15.75" customHeight="1" s="115">
      <c r="A958" s="5" t="n"/>
      <c r="B958" s="5" t="n"/>
      <c r="C958" s="5" t="n"/>
      <c r="D958" s="5" t="n"/>
      <c r="E958" s="5" t="n"/>
      <c r="F958" s="5" t="n"/>
    </row>
    <row r="959" ht="15.75" customHeight="1" s="115">
      <c r="A959" s="5" t="n"/>
      <c r="B959" s="5" t="n"/>
      <c r="C959" s="5" t="n"/>
      <c r="D959" s="5" t="n"/>
      <c r="E959" s="5" t="n"/>
      <c r="F959" s="5" t="n"/>
    </row>
    <row r="960" ht="15.75" customHeight="1" s="115">
      <c r="A960" s="5" t="n"/>
      <c r="B960" s="5" t="n"/>
      <c r="C960" s="5" t="n"/>
      <c r="D960" s="5" t="n"/>
      <c r="E960" s="5" t="n"/>
      <c r="F960" s="5" t="n"/>
    </row>
    <row r="961" ht="15.75" customHeight="1" s="115">
      <c r="A961" s="5" t="n"/>
      <c r="B961" s="5" t="n"/>
      <c r="C961" s="5" t="n"/>
      <c r="D961" s="5" t="n"/>
      <c r="E961" s="5" t="n"/>
      <c r="F961" s="5" t="n"/>
    </row>
    <row r="962" ht="15.75" customHeight="1" s="115">
      <c r="A962" s="5" t="n"/>
      <c r="B962" s="5" t="n"/>
      <c r="C962" s="5" t="n"/>
      <c r="D962" s="5" t="n"/>
      <c r="E962" s="5" t="n"/>
      <c r="F962" s="5" t="n"/>
    </row>
    <row r="963" ht="15.75" customHeight="1" s="115">
      <c r="A963" s="5" t="n"/>
      <c r="B963" s="5" t="n"/>
      <c r="C963" s="5" t="n"/>
      <c r="D963" s="5" t="n"/>
      <c r="E963" s="5" t="n"/>
      <c r="F963" s="5" t="n"/>
    </row>
    <row r="964" ht="15.75" customHeight="1" s="115">
      <c r="A964" s="5" t="n"/>
      <c r="B964" s="5" t="n"/>
      <c r="C964" s="5" t="n"/>
      <c r="D964" s="5" t="n"/>
      <c r="E964" s="5" t="n"/>
      <c r="F964" s="5" t="n"/>
    </row>
    <row r="965" ht="15.75" customHeight="1" s="115">
      <c r="A965" s="5" t="n"/>
      <c r="B965" s="5" t="n"/>
      <c r="C965" s="5" t="n"/>
      <c r="D965" s="5" t="n"/>
      <c r="E965" s="5" t="n"/>
      <c r="F965" s="5" t="n"/>
    </row>
    <row r="966" ht="15.75" customHeight="1" s="115">
      <c r="A966" s="5" t="n"/>
      <c r="B966" s="5" t="n"/>
      <c r="C966" s="5" t="n"/>
      <c r="D966" s="5" t="n"/>
      <c r="E966" s="5" t="n"/>
      <c r="F966" s="5" t="n"/>
    </row>
    <row r="967" ht="15.75" customHeight="1" s="115">
      <c r="A967" s="5" t="n"/>
      <c r="B967" s="5" t="n"/>
      <c r="C967" s="5" t="n"/>
      <c r="D967" s="5" t="n"/>
      <c r="E967" s="5" t="n"/>
      <c r="F967" s="5" t="n"/>
    </row>
    <row r="968" ht="15.75" customHeight="1" s="115">
      <c r="A968" s="5" t="n"/>
      <c r="B968" s="5" t="n"/>
      <c r="C968" s="5" t="n"/>
      <c r="D968" s="5" t="n"/>
      <c r="E968" s="5" t="n"/>
      <c r="F968" s="5" t="n"/>
    </row>
    <row r="969" ht="15.75" customHeight="1" s="115">
      <c r="A969" s="5" t="n"/>
      <c r="B969" s="5" t="n"/>
      <c r="C969" s="5" t="n"/>
      <c r="D969" s="5" t="n"/>
      <c r="E969" s="5" t="n"/>
      <c r="F969" s="5" t="n"/>
    </row>
    <row r="970" ht="15.75" customHeight="1" s="115">
      <c r="A970" s="5" t="n"/>
      <c r="B970" s="5" t="n"/>
      <c r="C970" s="5" t="n"/>
      <c r="D970" s="5" t="n"/>
      <c r="E970" s="5" t="n"/>
      <c r="F970" s="5" t="n"/>
    </row>
    <row r="971" ht="15.75" customHeight="1" s="115">
      <c r="A971" s="5" t="n"/>
      <c r="B971" s="5" t="n"/>
      <c r="C971" s="5" t="n"/>
      <c r="D971" s="5" t="n"/>
      <c r="E971" s="5" t="n"/>
      <c r="F971" s="5" t="n"/>
    </row>
    <row r="972" ht="15.75" customHeight="1" s="115">
      <c r="A972" s="5" t="n"/>
      <c r="B972" s="5" t="n"/>
      <c r="C972" s="5" t="n"/>
      <c r="D972" s="5" t="n"/>
      <c r="E972" s="5" t="n"/>
      <c r="F972" s="5" t="n"/>
    </row>
    <row r="973" ht="15.75" customHeight="1" s="115">
      <c r="A973" s="5" t="n"/>
      <c r="B973" s="5" t="n"/>
      <c r="C973" s="5" t="n"/>
      <c r="D973" s="5" t="n"/>
      <c r="E973" s="5" t="n"/>
      <c r="F973" s="5" t="n"/>
    </row>
    <row r="974" ht="15.75" customHeight="1" s="115">
      <c r="A974" s="5" t="n"/>
      <c r="B974" s="5" t="n"/>
      <c r="C974" s="5" t="n"/>
      <c r="D974" s="5" t="n"/>
      <c r="E974" s="5" t="n"/>
      <c r="F974" s="5" t="n"/>
    </row>
    <row r="975" ht="15.75" customHeight="1" s="115">
      <c r="A975" s="5" t="n"/>
      <c r="B975" s="5" t="n"/>
      <c r="C975" s="5" t="n"/>
      <c r="D975" s="5" t="n"/>
      <c r="E975" s="5" t="n"/>
      <c r="F975" s="5" t="n"/>
    </row>
    <row r="976" ht="15.75" customHeight="1" s="115">
      <c r="A976" s="5" t="n"/>
      <c r="B976" s="5" t="n"/>
      <c r="C976" s="5" t="n"/>
      <c r="D976" s="5" t="n"/>
      <c r="E976" s="5" t="n"/>
      <c r="F976" s="5" t="n"/>
    </row>
    <row r="977" ht="15.75" customHeight="1" s="115">
      <c r="A977" s="5" t="n"/>
      <c r="B977" s="5" t="n"/>
      <c r="C977" s="5" t="n"/>
      <c r="D977" s="5" t="n"/>
      <c r="E977" s="5" t="n"/>
      <c r="F977" s="5" t="n"/>
    </row>
    <row r="978" ht="15.75" customHeight="1" s="115">
      <c r="A978" s="5" t="n"/>
      <c r="B978" s="5" t="n"/>
      <c r="C978" s="5" t="n"/>
      <c r="D978" s="5" t="n"/>
      <c r="E978" s="5" t="n"/>
      <c r="F978" s="5" t="n"/>
    </row>
    <row r="979" ht="15.75" customHeight="1" s="115">
      <c r="A979" s="5" t="n"/>
      <c r="B979" s="5" t="n"/>
      <c r="C979" s="5" t="n"/>
      <c r="D979" s="5" t="n"/>
      <c r="E979" s="5" t="n"/>
      <c r="F979" s="5" t="n"/>
    </row>
    <row r="980" ht="15.75" customHeight="1" s="115">
      <c r="A980" s="5" t="n"/>
      <c r="B980" s="5" t="n"/>
      <c r="C980" s="5" t="n"/>
      <c r="D980" s="5" t="n"/>
      <c r="E980" s="5" t="n"/>
      <c r="F980" s="5" t="n"/>
    </row>
    <row r="981" ht="15.75" customHeight="1" s="115">
      <c r="A981" s="5" t="n"/>
      <c r="B981" s="5" t="n"/>
      <c r="C981" s="5" t="n"/>
      <c r="D981" s="5" t="n"/>
      <c r="E981" s="5" t="n"/>
      <c r="F981" s="5" t="n"/>
    </row>
    <row r="982" ht="15.75" customHeight="1" s="115">
      <c r="A982" s="5" t="n"/>
      <c r="B982" s="5" t="n"/>
      <c r="C982" s="5" t="n"/>
      <c r="D982" s="5" t="n"/>
      <c r="E982" s="5" t="n"/>
      <c r="F982" s="5" t="n"/>
    </row>
    <row r="983" ht="15.75" customHeight="1" s="115">
      <c r="A983" s="5" t="n"/>
      <c r="B983" s="5" t="n"/>
      <c r="C983" s="5" t="n"/>
      <c r="D983" s="5" t="n"/>
      <c r="E983" s="5" t="n"/>
      <c r="F983" s="5" t="n"/>
    </row>
    <row r="984" ht="15.75" customHeight="1" s="115">
      <c r="A984" s="5" t="n"/>
      <c r="B984" s="5" t="n"/>
      <c r="C984" s="5" t="n"/>
      <c r="D984" s="5" t="n"/>
      <c r="E984" s="5" t="n"/>
      <c r="F984" s="5" t="n"/>
    </row>
    <row r="985" ht="15.75" customHeight="1" s="115">
      <c r="A985" s="5" t="n"/>
      <c r="B985" s="5" t="n"/>
      <c r="C985" s="5" t="n"/>
      <c r="D985" s="5" t="n"/>
      <c r="E985" s="5" t="n"/>
      <c r="F985" s="5" t="n"/>
    </row>
    <row r="986" ht="15.75" customHeight="1" s="115">
      <c r="A986" s="5" t="n"/>
      <c r="B986" s="5" t="n"/>
      <c r="C986" s="5" t="n"/>
      <c r="D986" s="5" t="n"/>
      <c r="E986" s="5" t="n"/>
      <c r="F986" s="5" t="n"/>
    </row>
    <row r="987" ht="15.75" customHeight="1" s="115">
      <c r="A987" s="5" t="n"/>
      <c r="B987" s="5" t="n"/>
      <c r="C987" s="5" t="n"/>
      <c r="D987" s="5" t="n"/>
      <c r="E987" s="5" t="n"/>
      <c r="F987" s="5" t="n"/>
    </row>
    <row r="988" ht="15.75" customHeight="1" s="115">
      <c r="A988" s="5" t="n"/>
      <c r="B988" s="5" t="n"/>
      <c r="C988" s="5" t="n"/>
      <c r="D988" s="5" t="n"/>
      <c r="E988" s="5" t="n"/>
      <c r="F988" s="5" t="n"/>
    </row>
    <row r="989" ht="15.75" customHeight="1" s="115">
      <c r="A989" s="5" t="n"/>
      <c r="B989" s="5" t="n"/>
      <c r="C989" s="5" t="n"/>
      <c r="D989" s="5" t="n"/>
      <c r="E989" s="5" t="n"/>
      <c r="F989" s="5" t="n"/>
    </row>
    <row r="990" ht="15.75" customHeight="1" s="115">
      <c r="A990" s="5" t="n"/>
      <c r="B990" s="5" t="n"/>
      <c r="C990" s="5" t="n"/>
      <c r="D990" s="5" t="n"/>
      <c r="E990" s="5" t="n"/>
      <c r="F990" s="5" t="n"/>
    </row>
    <row r="991" ht="15.75" customHeight="1" s="115">
      <c r="A991" s="5" t="n"/>
      <c r="B991" s="5" t="n"/>
      <c r="C991" s="5" t="n"/>
      <c r="D991" s="5" t="n"/>
      <c r="E991" s="5" t="n"/>
      <c r="F991" s="5" t="n"/>
    </row>
    <row r="992" ht="15.75" customHeight="1" s="115">
      <c r="A992" s="5" t="n"/>
      <c r="B992" s="5" t="n"/>
      <c r="C992" s="5" t="n"/>
      <c r="D992" s="5" t="n"/>
      <c r="E992" s="5" t="n"/>
      <c r="F992" s="5" t="n"/>
    </row>
    <row r="993" ht="15.75" customHeight="1" s="115">
      <c r="A993" s="5" t="n"/>
      <c r="B993" s="5" t="n"/>
      <c r="C993" s="5" t="n"/>
      <c r="D993" s="5" t="n"/>
      <c r="E993" s="5" t="n"/>
      <c r="F993" s="5" t="n"/>
    </row>
    <row r="994" ht="15.75" customHeight="1" s="115">
      <c r="A994" s="5" t="n"/>
      <c r="B994" s="5" t="n"/>
      <c r="C994" s="5" t="n"/>
      <c r="D994" s="5" t="n"/>
      <c r="E994" s="5" t="n"/>
      <c r="F994" s="5" t="n"/>
    </row>
    <row r="995" ht="15.75" customHeight="1" s="115">
      <c r="A995" s="5" t="n"/>
      <c r="B995" s="5" t="n"/>
      <c r="C995" s="5" t="n"/>
      <c r="D995" s="5" t="n"/>
      <c r="E995" s="5" t="n"/>
      <c r="F995" s="5" t="n"/>
    </row>
    <row r="996" ht="15.75" customHeight="1" s="115">
      <c r="A996" s="5" t="n"/>
      <c r="B996" s="5" t="n"/>
      <c r="C996" s="5" t="n"/>
      <c r="D996" s="5" t="n"/>
      <c r="E996" s="5" t="n"/>
      <c r="F996" s="5" t="n"/>
    </row>
    <row r="997" ht="15.75" customHeight="1" s="115">
      <c r="A997" s="5" t="n"/>
      <c r="B997" s="5" t="n"/>
      <c r="C997" s="5" t="n"/>
      <c r="D997" s="5" t="n"/>
      <c r="E997" s="5" t="n"/>
      <c r="F997" s="5" t="n"/>
    </row>
    <row r="998" ht="15.75" customHeight="1" s="115">
      <c r="A998" s="5" t="n"/>
      <c r="B998" s="5" t="n"/>
      <c r="C998" s="5" t="n"/>
      <c r="D998" s="5" t="n"/>
      <c r="E998" s="5" t="n"/>
      <c r="F998" s="5" t="n"/>
    </row>
    <row r="999" ht="15.75" customHeight="1" s="115">
      <c r="A999" s="5" t="n"/>
      <c r="B999" s="5" t="n"/>
      <c r="C999" s="5" t="n"/>
      <c r="D999" s="5" t="n"/>
      <c r="E999" s="5" t="n"/>
      <c r="F999" s="5" t="n"/>
    </row>
    <row r="1000" ht="15.75" customHeight="1" s="115">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0" t="inlineStr">
        <is>
          <t>NUR235  ·  Review videos (SimpleNursing, LevelUpRN)</t>
        </is>
      </c>
    </row>
    <row r="2">
      <c r="A2" s="9" t="inlineStr">
        <is>
          <t>NUR234</t>
        </is>
      </c>
      <c r="B2" s="11" t="inlineStr">
        <is>
          <t>NUR235</t>
        </is>
      </c>
      <c r="C2" s="9" t="inlineStr">
        <is>
          <t>NUR258</t>
        </is>
      </c>
      <c r="D2" s="16" t="inlineStr">
        <is>
          <t>🏠 START HERE</t>
        </is>
      </c>
      <c r="E2" s="15" t="inlineStr">
        <is>
          <t>📥 Sort me</t>
        </is>
      </c>
      <c r="F2" s="17" t="n"/>
      <c r="G2" s="17" t="n"/>
    </row>
    <row r="3">
      <c r="A3" s="18" t="inlineStr">
        <is>
          <t>Fadell</t>
        </is>
      </c>
      <c r="B3" s="18" t="inlineStr">
        <is>
          <t>Fuller</t>
        </is>
      </c>
      <c r="C3" s="18" t="inlineStr">
        <is>
          <t>Exam Reviews</t>
        </is>
      </c>
      <c r="D3" s="18" t="n"/>
      <c r="E3" s="18">
        <f>HYPERLINK('START HERE'!$B$36,"Zoom")</f>
        <v/>
      </c>
      <c r="F3" s="93" t="inlineStr">
        <is>
          <t>Review videos</t>
        </is>
      </c>
      <c r="G3" s="17" t="n"/>
    </row>
    <row r="4">
      <c r="A4" s="17" t="n"/>
      <c r="B4" s="17" t="n"/>
      <c r="C4" s="17" t="n"/>
      <c r="D4" s="17" t="n"/>
      <c r="E4" s="17" t="n"/>
      <c r="F4" s="17" t="n"/>
      <c r="G4" s="17" t="n"/>
    </row>
    <row r="5">
      <c r="A5" s="81" t="inlineStr">
        <is>
          <t>Module</t>
        </is>
      </c>
      <c r="B5" s="81" t="inlineStr">
        <is>
          <t>Day</t>
        </is>
      </c>
      <c r="C5" s="81" t="inlineStr">
        <is>
          <t>Date</t>
        </is>
      </c>
      <c r="D5" s="81" t="inlineStr">
        <is>
          <t>Lecturer</t>
        </is>
      </c>
      <c r="E5" s="81" t="inlineStr">
        <is>
          <t>Recording</t>
        </is>
      </c>
      <c r="F5" s="81" t="inlineStr">
        <is>
          <t>File</t>
        </is>
      </c>
      <c r="G5" s="81" t="inlineStr">
        <is>
          <t>Notes</t>
        </is>
      </c>
    </row>
    <row r="6">
      <c r="A6" s="82" t="inlineStr">
        <is>
          <t>Module 1</t>
        </is>
      </c>
      <c r="B6" s="82" t="n"/>
      <c r="C6" s="83" t="inlineStr">
        <is>
          <t>Fall 2026</t>
        </is>
      </c>
      <c r="D6" s="83" t="inlineStr">
        <is>
          <t>SimpleNursing</t>
        </is>
      </c>
      <c r="E6" s="84">
        <f>HYPERLINK("https://drive.google.com/file/d/1WgVa1Vbn8CUeYQ-DB8WdxUGk-IPIi-1S/view","▶  Watch")</f>
        <v/>
      </c>
      <c r="F6" s="83" t="inlineStr">
        <is>
          <t>NUR235_Fall2026_SimpleNursing_Wk01_DayNA_Pediatric vital signs.mp4</t>
        </is>
      </c>
      <c r="G6" s="83" t="inlineStr">
        <is>
          <t>Pediatric vital signs</t>
        </is>
      </c>
    </row>
    <row r="7">
      <c r="A7" s="82" t="inlineStr">
        <is>
          <t>Module 1</t>
        </is>
      </c>
      <c r="B7" s="82" t="n"/>
      <c r="C7" s="83" t="inlineStr">
        <is>
          <t>Fall 2026</t>
        </is>
      </c>
      <c r="D7" s="83" t="inlineStr">
        <is>
          <t>SimpleNursing</t>
        </is>
      </c>
      <c r="E7" s="84">
        <f>HYPERLINK("https://drive.google.com/file/d/1WuqT5JLJpFYCzdzz7EmGI-wmTLvzxXXm/view","▶  Watch")</f>
        <v/>
      </c>
      <c r="F7" s="83" t="inlineStr">
        <is>
          <t>NUR235_Fall2026_SimpleNursing_Wk01_DayNA_Child development.mp4</t>
        </is>
      </c>
      <c r="G7" s="83" t="inlineStr">
        <is>
          <t>Child development</t>
        </is>
      </c>
    </row>
    <row r="8">
      <c r="A8" s="82" t="inlineStr">
        <is>
          <t>Module 2</t>
        </is>
      </c>
      <c r="B8" s="82" t="n"/>
      <c r="C8" s="83" t="inlineStr">
        <is>
          <t>Fall 2026</t>
        </is>
      </c>
      <c r="D8" s="83" t="inlineStr">
        <is>
          <t>SimpleNursing</t>
        </is>
      </c>
      <c r="E8" s="84">
        <f>HYPERLINK("https://drive.google.com/file/d/14GTOBinaa-CP2ELuLbGaP80H8YP3xxJc/view","▶  Watch")</f>
        <v/>
      </c>
      <c r="F8" s="83" t="inlineStr">
        <is>
          <t>NUR235_Fall2026_SimpleNursing_Wk02_DayNA_Immunizations.mp4</t>
        </is>
      </c>
      <c r="G8" s="83" t="inlineStr">
        <is>
          <t>Immunizations</t>
        </is>
      </c>
    </row>
    <row r="9">
      <c r="A9" s="82" t="inlineStr">
        <is>
          <t>Module 5</t>
        </is>
      </c>
      <c r="B9" s="82" t="n"/>
      <c r="C9" s="83" t="inlineStr">
        <is>
          <t>Fall 2026</t>
        </is>
      </c>
      <c r="D9" s="83" t="inlineStr">
        <is>
          <t>Unknown (phone screen recording)</t>
        </is>
      </c>
      <c r="E9" s="84">
        <f>HYPERLINK("https://drive.google.com/file/d/1K7fZTaw2YrPY31-2Py5z3h8yo4Wh2NmI/view","▶  Watch")</f>
        <v/>
      </c>
      <c r="F9" s="83" t="inlineStr">
        <is>
          <t>NUR235_Fall2026_Unknown_Wk05_DayNA_Epistaxis (nosebleed) in children - short clip (topic from the speech index).mp4</t>
        </is>
      </c>
      <c r="G9" s="83" t="inlineStr">
        <is>
          <t>Epistaxis (nosebleed) in children - short clip, recorded 14 Oct 5:06 AM (topic from the speech index)</t>
        </is>
      </c>
    </row>
    <row r="10">
      <c r="A10" s="82" t="inlineStr">
        <is>
          <t>Module 1</t>
        </is>
      </c>
      <c r="B10" s="82" t="n"/>
      <c r="C10" s="83" t="inlineStr">
        <is>
          <t>Fall 2026</t>
        </is>
      </c>
      <c r="D10" s="83" t="inlineStr">
        <is>
          <t>SimpleNursing</t>
        </is>
      </c>
      <c r="E10" s="84">
        <f>HYPERLINK("https://drive.google.com/file/d/1LJA-UCPkQcPVhtpUjWVppatjFP-TThur/view","▶  Watch")</f>
        <v/>
      </c>
      <c r="F10" s="83" t="inlineStr">
        <is>
          <t>NUR235_Fall2026_SimpleNursing_Wk01_DayNA_Child's concept of death, palliative and hospice care.mp4</t>
        </is>
      </c>
      <c r="G10" s="83" t="inlineStr">
        <is>
          <t>Child's concept of death, palliative and hospice care</t>
        </is>
      </c>
    </row>
    <row r="11" ht="15.75" customHeight="1" s="115">
      <c r="A11" s="82" t="inlineStr">
        <is>
          <t>Module 5</t>
        </is>
      </c>
      <c r="B11" s="82" t="n"/>
      <c r="C11" s="83" t="inlineStr">
        <is>
          <t>Fall 2026</t>
        </is>
      </c>
      <c r="D11" s="83" t="inlineStr">
        <is>
          <t>SimpleNursing</t>
        </is>
      </c>
      <c r="E11" s="84">
        <f>HYPERLINK("https://drive.google.com/file/d/1ZPuYyXsTCOg8RljRIERYN-fb4x_iq6J2/view","▶  Watch")</f>
        <v/>
      </c>
      <c r="F11" s="83" t="inlineStr">
        <is>
          <t>NUR235_Fall2026_SimpleNursing_Wk05_DayNA_Osteosarcoma and Ewing sarcoma.mp4</t>
        </is>
      </c>
      <c r="G11" s="83" t="inlineStr">
        <is>
          <t>Osteosarcoma and Ewing sarcoma</t>
        </is>
      </c>
    </row>
    <row r="12" ht="15.75" customHeight="1" s="115">
      <c r="A12" s="82" t="inlineStr">
        <is>
          <t>Module 5</t>
        </is>
      </c>
      <c r="B12" s="82" t="n"/>
      <c r="C12" s="83" t="inlineStr">
        <is>
          <t>Fall 2026</t>
        </is>
      </c>
      <c r="D12" s="83" t="inlineStr">
        <is>
          <t>SimpleNursing</t>
        </is>
      </c>
      <c r="E12" s="84">
        <f>HYPERLINK("https://drive.google.com/file/d/1T6nL1Yz7hRg5J-3S6IzBURivqIzHQYgx/view","▶  Watch")</f>
        <v/>
      </c>
      <c r="F12" s="83" t="inlineStr">
        <is>
          <t>NUR235_Fall2026_SimpleNursing_Wk05_DayNA_Childhood leukemia.mp4</t>
        </is>
      </c>
      <c r="G12" s="83" t="inlineStr">
        <is>
          <t>Childhood leukemia</t>
        </is>
      </c>
    </row>
    <row r="13" ht="15.75" customHeight="1" s="115">
      <c r="A13" s="82" t="inlineStr">
        <is>
          <t>Module 5</t>
        </is>
      </c>
      <c r="B13" s="82" t="n"/>
      <c r="C13" s="83" t="inlineStr">
        <is>
          <t>Fall 2026</t>
        </is>
      </c>
      <c r="D13" s="83" t="inlineStr">
        <is>
          <t>SimpleNursing</t>
        </is>
      </c>
      <c r="E13" s="84">
        <f>HYPERLINK("https://drive.google.com/file/d/1YXwmU0qqnFw8SFgrWFISpWAJ3IDbEVg8/view","▶  Watch")</f>
        <v/>
      </c>
      <c r="F13" s="83" t="inlineStr">
        <is>
          <t>NUR235_Fall2026_SimpleNursing_Wk05_DayNA_Neuroblastoma vs Wilms tumor.mp4</t>
        </is>
      </c>
      <c r="G13" s="83" t="inlineStr">
        <is>
          <t>Neuroblastoma vs Wilms tumor</t>
        </is>
      </c>
    </row>
    <row r="14" ht="15.75" customHeight="1" s="115">
      <c r="A14" s="82" t="inlineStr">
        <is>
          <t>Module 5</t>
        </is>
      </c>
      <c r="B14" s="82" t="n"/>
      <c r="C14" s="83" t="inlineStr">
        <is>
          <t>Fall 2026</t>
        </is>
      </c>
      <c r="D14" s="83" t="inlineStr">
        <is>
          <t>SimpleNursing</t>
        </is>
      </c>
      <c r="E14" s="84">
        <f>HYPERLINK("https://drive.google.com/file/d/19pqW9CceVJ1UOrhrIppU4H1VYPyZA4SA/view","▶  Watch")</f>
        <v/>
      </c>
      <c r="F14" s="83" t="inlineStr">
        <is>
          <t>NUR235_Fall2026_SimpleNursing_Wk05_DayNA_Retinoblastoma.mp4</t>
        </is>
      </c>
      <c r="G14" s="83" t="inlineStr">
        <is>
          <t>Retinoblastoma</t>
        </is>
      </c>
    </row>
    <row r="15" ht="15.75" customHeight="1" s="115">
      <c r="A15" s="82" t="inlineStr">
        <is>
          <t>Module 5</t>
        </is>
      </c>
      <c r="B15" s="82" t="n"/>
      <c r="C15" s="83" t="inlineStr">
        <is>
          <t>Fall 2026</t>
        </is>
      </c>
      <c r="D15" s="83" t="inlineStr">
        <is>
          <t>SimpleNursing</t>
        </is>
      </c>
      <c r="E15" s="84">
        <f>HYPERLINK("https://drive.google.com/file/d/1G3BCt5NJZpY7A4Y7odGQyjUxgsGSa2Zr/view","▶  Watch")</f>
        <v/>
      </c>
      <c r="F15" s="83" t="inlineStr">
        <is>
          <t>NUR235_Fall2026_SimpleNursing_Wk05_DayNA_Chemotherapy, neutropenic precautions and radiation.mp4</t>
        </is>
      </c>
      <c r="G15" s="83" t="inlineStr">
        <is>
          <t>Chemotherapy, neutropenic precautions and radiation</t>
        </is>
      </c>
    </row>
    <row r="16" ht="15.75" customHeight="1" s="115">
      <c r="A16" s="82" t="inlineStr">
        <is>
          <t>Module 5</t>
        </is>
      </c>
      <c r="B16" s="82" t="n"/>
      <c r="C16" s="83" t="inlineStr">
        <is>
          <t>Fall 2026</t>
        </is>
      </c>
      <c r="D16" s="83" t="inlineStr">
        <is>
          <t>SimpleNursing</t>
        </is>
      </c>
      <c r="E16" s="84">
        <f>HYPERLINK("https://drive.google.com/file/d/1IC6G86_Rf6lGoi8HsC63Mqij8A1AQoGL/view","▶  Watch")</f>
        <v/>
      </c>
      <c r="F16" s="83" t="inlineStr">
        <is>
          <t>NUR235_Fall2026_SimpleNursing_Wk05_DayNA_Wilms tumor (nephroblastoma).mp4</t>
        </is>
      </c>
      <c r="G16" s="83" t="inlineStr">
        <is>
          <t>Wilms tumor (nephroblastoma)</t>
        </is>
      </c>
    </row>
    <row r="17" ht="15.75" customHeight="1" s="115">
      <c r="A17" s="82" t="inlineStr">
        <is>
          <t>Module 5</t>
        </is>
      </c>
      <c r="B17" s="82" t="n"/>
      <c r="C17" s="83" t="inlineStr">
        <is>
          <t>Fall 2026</t>
        </is>
      </c>
      <c r="D17" s="83" t="inlineStr">
        <is>
          <t>SimpleNursing</t>
        </is>
      </c>
      <c r="E17" s="84">
        <f>HYPERLINK("https://drive.google.com/file/d/17dtckcm7otMMXhVDXX44-OVWcCT8DDJa/view","▶  Watch")</f>
        <v/>
      </c>
      <c r="F17" s="83" t="inlineStr">
        <is>
          <t>NUR235_Fall2026_SimpleNursing_Wk05_DayNA_Anemia - iron deficiency, sickle cell, pernicious.mp4</t>
        </is>
      </c>
      <c r="G17" s="83" t="inlineStr">
        <is>
          <t>Anemia - iron deficiency, sickle cell, pernicious</t>
        </is>
      </c>
    </row>
    <row r="18" ht="15.75" customHeight="1" s="115">
      <c r="A18" s="82" t="inlineStr">
        <is>
          <t>Module 5</t>
        </is>
      </c>
      <c r="B18" s="82" t="n"/>
      <c r="C18" s="83" t="inlineStr">
        <is>
          <t>Fall 2026</t>
        </is>
      </c>
      <c r="D18" s="83" t="inlineStr">
        <is>
          <t>SimpleNursing</t>
        </is>
      </c>
      <c r="E18" s="84">
        <f>HYPERLINK("https://drive.google.com/file/d/1s_2KbdHhyDUsKz-J2bMc-ZAbIGdYOICC/view","▶  Watch")</f>
        <v/>
      </c>
      <c r="F18" s="83" t="inlineStr">
        <is>
          <t>NUR235_Fall2026_SimpleNursing_Wk05_DayNA_Hemophilia.mp4</t>
        </is>
      </c>
      <c r="G18" s="83" t="inlineStr">
        <is>
          <t>Hemophilia</t>
        </is>
      </c>
    </row>
    <row r="19" ht="15.75" customHeight="1" s="115">
      <c r="A19" s="82" t="inlineStr">
        <is>
          <t>Module 5</t>
        </is>
      </c>
      <c r="B19" s="82" t="n"/>
      <c r="C19" s="83" t="inlineStr">
        <is>
          <t>Fall 2026</t>
        </is>
      </c>
      <c r="D19" s="83" t="inlineStr">
        <is>
          <t>SimpleNursing</t>
        </is>
      </c>
      <c r="E19" s="84">
        <f>HYPERLINK("https://drive.google.com/file/d/16XQMVnF5a7f--a6FqCF9XrjxCZ6cS4zZ/view","▶  Watch")</f>
        <v/>
      </c>
      <c r="F19" s="83" t="inlineStr">
        <is>
          <t>NUR235_Fall2026_SimpleNursing_Wk05_DayNA_Thrombocytopenia and ITP - bleeding precautions.mp4</t>
        </is>
      </c>
      <c r="G19" s="83" t="inlineStr">
        <is>
          <t>Thrombocytopenia and ITP - bleeding precautions</t>
        </is>
      </c>
    </row>
    <row r="20">
      <c r="A20" s="82" t="inlineStr">
        <is>
          <t>Module 6</t>
        </is>
      </c>
      <c r="B20" s="82" t="n"/>
      <c r="C20" s="83" t="inlineStr">
        <is>
          <t>Fall 2026</t>
        </is>
      </c>
      <c r="D20" s="83" t="inlineStr">
        <is>
          <t>SimpleNursing</t>
        </is>
      </c>
      <c r="E20" s="84">
        <f>HYPERLINK("https://drive.google.com/file/d/1zBJOhufV67A7YHyBVERTD4j0H_PHS_a3/view","▶  Watch")</f>
        <v/>
      </c>
      <c r="F20" s="83" t="inlineStr">
        <is>
          <t>NUR235_Fall2026_SimpleNursing_Wk06_DayNA_Pediatric skin - acne, eczema, impetigo, lice, tinea.mp4</t>
        </is>
      </c>
      <c r="G20" s="83" t="inlineStr">
        <is>
          <t>Pediatric skin - acne, eczema, impetigo, lice, tinea</t>
        </is>
      </c>
    </row>
    <row r="21" ht="15.75" customHeight="1" s="115">
      <c r="A21" s="82" t="inlineStr">
        <is>
          <t>Module 7</t>
        </is>
      </c>
      <c r="B21" s="82" t="n"/>
      <c r="C21" s="83" t="inlineStr">
        <is>
          <t>Fall 2026</t>
        </is>
      </c>
      <c r="D21" s="83" t="inlineStr">
        <is>
          <t>SimpleNursing</t>
        </is>
      </c>
      <c r="E21" s="84">
        <f>HYPERLINK("https://drive.google.com/file/d/1A7xlNql11qkTwW9E07hHRcUO6tP4aRU5/view","▶  Watch")</f>
        <v/>
      </c>
      <c r="F21" s="83" t="inlineStr">
        <is>
          <t>NUR235_Fall2026_SimpleNursing_Wk07_DayNA_Pediatric neuro - cerebral palsy, head injury, hydrocephalus, ICP, meningitis.mp4</t>
        </is>
      </c>
      <c r="G21" s="83" t="inlineStr">
        <is>
          <t>Pediatric neuro - cerebral palsy, head injury, hydrocephalus, ICP, meningitis</t>
        </is>
      </c>
    </row>
    <row r="22" ht="15.75" customHeight="1" s="115">
      <c r="A22" s="82" t="n"/>
      <c r="B22" s="82" t="n"/>
      <c r="C22" s="83" t="n"/>
      <c r="D22" s="83" t="n"/>
      <c r="E22" s="84" t="n"/>
      <c r="F22" s="83" t="n"/>
      <c r="G22" s="88" t="n"/>
    </row>
    <row r="23" ht="15.75" customHeight="1" s="115">
      <c r="A23" s="82" t="n"/>
      <c r="B23" s="82" t="n"/>
      <c r="C23" s="83" t="n"/>
      <c r="D23" s="83" t="n"/>
      <c r="E23" s="84" t="n"/>
      <c r="F23" s="83" t="n"/>
      <c r="G23" s="83" t="n"/>
    </row>
    <row r="24" ht="15.75" customHeight="1" s="115">
      <c r="A24" s="85" t="n"/>
      <c r="B24" s="85" t="n"/>
      <c r="C24" s="83" t="n"/>
      <c r="D24" s="86" t="n"/>
      <c r="E24" s="87" t="n"/>
      <c r="F24" s="86" t="n"/>
      <c r="G24" s="86" t="n"/>
    </row>
    <row r="25" ht="15.75" customHeight="1" s="115">
      <c r="A25" s="85" t="n"/>
      <c r="B25" s="85" t="n"/>
      <c r="C25" s="83" t="n"/>
      <c r="D25" s="86" t="n"/>
      <c r="E25" s="87" t="n"/>
      <c r="F25" s="86" t="n"/>
      <c r="G25" s="86" t="n"/>
    </row>
    <row r="26" ht="15.75" customHeight="1" s="115">
      <c r="A26" s="82" t="n"/>
      <c r="B26" s="82" t="n"/>
      <c r="C26" s="83" t="n"/>
      <c r="D26" s="83" t="n"/>
      <c r="E26" s="84" t="n"/>
      <c r="F26" s="83" t="n"/>
      <c r="G26" s="83" t="n"/>
    </row>
    <row r="27" ht="15.75" customHeight="1" s="115">
      <c r="A27" s="85" t="n"/>
      <c r="B27" s="85" t="n"/>
      <c r="C27" s="83" t="n"/>
      <c r="D27" s="86" t="n"/>
      <c r="E27" s="87" t="n"/>
      <c r="F27" s="86" t="n"/>
      <c r="G27" s="86" t="n"/>
    </row>
    <row r="28" ht="15.75" customHeight="1" s="115">
      <c r="A28" s="85" t="n"/>
      <c r="B28" s="85" t="n"/>
      <c r="C28" s="83" t="n"/>
      <c r="D28" s="86" t="n"/>
      <c r="E28" s="87" t="n"/>
      <c r="F28" s="86" t="n"/>
      <c r="G28" s="86" t="n"/>
    </row>
    <row r="29" ht="15.75" customHeight="1" s="115">
      <c r="A29" s="82" t="n"/>
      <c r="B29" s="82" t="n"/>
      <c r="C29" s="83" t="n"/>
      <c r="D29" s="83" t="n"/>
      <c r="E29" s="84" t="n"/>
      <c r="F29" s="83" t="n"/>
      <c r="G29" s="83" t="n"/>
    </row>
    <row r="30" ht="15.75" customHeight="1" s="115">
      <c r="A30" s="85" t="n"/>
      <c r="B30" s="85" t="n"/>
      <c r="C30" s="83" t="n"/>
      <c r="D30" s="86" t="n"/>
      <c r="E30" s="87" t="n"/>
      <c r="F30" s="86" t="n"/>
      <c r="G30" s="86" t="n"/>
    </row>
    <row r="31" ht="15.75" customHeight="1" s="115">
      <c r="A31" s="82" t="n"/>
      <c r="B31" s="82" t="n"/>
      <c r="C31" s="83" t="n"/>
      <c r="D31" s="83" t="n"/>
      <c r="E31" s="84" t="n"/>
      <c r="F31" s="83" t="n"/>
      <c r="G31" s="83" t="n"/>
    </row>
    <row r="32" ht="15.75" customHeight="1" s="115">
      <c r="A32" s="82" t="n"/>
      <c r="B32" s="82" t="n"/>
      <c r="C32" s="83" t="n"/>
      <c r="D32" s="83" t="n"/>
      <c r="E32" s="84" t="n"/>
      <c r="F32" s="83" t="n"/>
      <c r="G32" s="83" t="n"/>
    </row>
    <row r="33" ht="15.75" customHeight="1" s="115">
      <c r="A33" s="85" t="n"/>
      <c r="B33" s="85" t="n"/>
      <c r="C33" s="83" t="n"/>
      <c r="D33" s="86" t="n"/>
      <c r="E33" s="87" t="n"/>
      <c r="F33" s="86" t="n"/>
      <c r="G33" s="86" t="n"/>
    </row>
    <row r="34" ht="15.75" customHeight="1" s="115">
      <c r="A34" s="85" t="n"/>
      <c r="B34" s="85" t="n"/>
      <c r="C34" s="83" t="n"/>
      <c r="D34" s="86" t="n"/>
      <c r="E34" s="87" t="n"/>
      <c r="F34" s="86" t="n"/>
      <c r="G34" s="86" t="n"/>
    </row>
    <row r="35" ht="15.75" customHeight="1" s="115">
      <c r="A35" s="82" t="n"/>
      <c r="B35" s="82" t="n"/>
      <c r="C35" s="83" t="n"/>
      <c r="D35" s="83" t="n"/>
      <c r="E35" s="84" t="n"/>
      <c r="F35" s="83" t="n"/>
      <c r="G35" s="83" t="n"/>
    </row>
    <row r="36" ht="15.75" customHeight="1" s="115">
      <c r="A36" s="85" t="n"/>
      <c r="B36" s="85" t="n"/>
      <c r="C36" s="83" t="n"/>
      <c r="D36" s="86" t="n"/>
      <c r="E36" s="87" t="n"/>
      <c r="F36" s="86" t="n"/>
      <c r="G36" s="86" t="n"/>
    </row>
    <row r="37" ht="15.75" customHeight="1" s="115">
      <c r="A37" s="82" t="n"/>
      <c r="B37" s="82" t="n"/>
      <c r="C37" s="83" t="n"/>
      <c r="D37" s="83" t="n"/>
      <c r="E37" s="84" t="n"/>
      <c r="F37" s="83" t="n"/>
      <c r="G37" s="83" t="n"/>
    </row>
    <row r="38" ht="15.75" customHeight="1" s="115">
      <c r="A38" s="82" t="n"/>
      <c r="B38" s="82" t="n"/>
      <c r="C38" s="83" t="n"/>
      <c r="D38" s="83" t="n"/>
      <c r="E38" s="84" t="n"/>
      <c r="F38" s="83" t="n"/>
      <c r="G38" s="83" t="n"/>
    </row>
    <row r="39" ht="15.75" customHeight="1" s="115">
      <c r="A39" s="85" t="n"/>
      <c r="B39" s="85" t="n"/>
      <c r="C39" s="83" t="n"/>
      <c r="D39" s="86" t="n"/>
      <c r="E39" s="87" t="n"/>
      <c r="F39" s="86" t="n"/>
      <c r="G39" s="86" t="n"/>
    </row>
    <row r="40" ht="15.75" customHeight="1" s="115">
      <c r="A40" s="82" t="n"/>
      <c r="B40" s="82" t="n"/>
      <c r="C40" s="83" t="n"/>
      <c r="D40" s="83" t="n"/>
      <c r="E40" s="84" t="n"/>
      <c r="F40" s="83" t="n"/>
      <c r="G40" s="83" t="n"/>
    </row>
    <row r="41" ht="15.75" customHeight="1" s="115">
      <c r="A41" s="82" t="n"/>
      <c r="B41" s="82" t="n"/>
      <c r="C41" s="83" t="n"/>
      <c r="D41" s="83" t="n"/>
      <c r="E41" s="84" t="n"/>
      <c r="F41" s="83" t="n"/>
      <c r="G41" s="83" t="n"/>
    </row>
    <row r="42" ht="15.75" customHeight="1" s="115">
      <c r="A42" s="85" t="n"/>
      <c r="B42" s="85" t="n"/>
      <c r="C42" s="83" t="n"/>
      <c r="D42" s="86" t="n"/>
      <c r="E42" s="87" t="n"/>
      <c r="F42" s="86" t="n"/>
      <c r="G42" s="86" t="n"/>
    </row>
    <row r="43" ht="15.75" customHeight="1" s="115">
      <c r="A43" s="85" t="n"/>
      <c r="B43" s="85" t="n"/>
      <c r="C43" s="83" t="n"/>
      <c r="D43" s="86" t="n"/>
      <c r="E43" s="87" t="n"/>
      <c r="F43" s="86" t="n"/>
      <c r="G43" s="86" t="n"/>
    </row>
    <row r="44" ht="15.75" customHeight="1" s="115">
      <c r="A44" s="82" t="n"/>
      <c r="B44" s="82" t="n"/>
      <c r="C44" s="83" t="n"/>
      <c r="D44" s="83" t="n"/>
      <c r="E44" s="84" t="n"/>
      <c r="F44" s="83" t="n"/>
      <c r="G44" s="83" t="n"/>
    </row>
    <row r="45" ht="15.75" customHeight="1" s="115">
      <c r="A45" s="85" t="n"/>
      <c r="B45" s="85" t="n"/>
      <c r="C45" s="83" t="n"/>
      <c r="D45" s="86" t="n"/>
      <c r="E45" s="87" t="n"/>
      <c r="F45" s="86" t="n"/>
      <c r="G45" s="86" t="n"/>
    </row>
    <row r="46" ht="15.75" customHeight="1" s="115">
      <c r="A46" s="82" t="n"/>
      <c r="B46" s="82" t="n"/>
      <c r="C46" s="83" t="n"/>
      <c r="D46" s="83" t="n"/>
      <c r="E46" s="84" t="n"/>
      <c r="F46" s="83" t="n"/>
      <c r="G46" s="88" t="n"/>
    </row>
    <row r="47" ht="15.75" customHeight="1" s="115">
      <c r="A47" s="82" t="n"/>
      <c r="B47" s="82" t="n"/>
      <c r="C47" s="83" t="n"/>
      <c r="D47" s="83" t="n"/>
      <c r="E47" s="84" t="n"/>
      <c r="F47" s="83" t="n"/>
      <c r="G47" s="83" t="n"/>
    </row>
    <row r="48" ht="15.75" customHeight="1" s="115">
      <c r="A48" s="85" t="n"/>
      <c r="B48" s="85" t="n"/>
      <c r="C48" s="83" t="n"/>
      <c r="D48" s="86" t="n"/>
      <c r="E48" s="87" t="n"/>
      <c r="F48" s="86" t="n"/>
      <c r="G48" s="86" t="n"/>
    </row>
    <row r="49" ht="15.75" customHeight="1" s="115">
      <c r="A49" s="82" t="n"/>
      <c r="B49" s="82" t="n"/>
      <c r="C49" s="83" t="n"/>
      <c r="D49" s="83" t="n"/>
      <c r="E49" s="84" t="n"/>
      <c r="F49" s="83" t="n"/>
      <c r="G49" s="83" t="n"/>
    </row>
    <row r="50" ht="15.75" customHeight="1" s="115">
      <c r="A50" s="85" t="n"/>
      <c r="B50" s="85" t="n"/>
      <c r="C50" s="83" t="n"/>
      <c r="D50" s="86" t="n"/>
      <c r="E50" s="87" t="n"/>
      <c r="F50" s="86" t="n"/>
      <c r="G50" s="86" t="n"/>
    </row>
    <row r="51" ht="15.75" customHeight="1" s="115">
      <c r="A51" s="85" t="n"/>
      <c r="B51" s="85" t="n"/>
      <c r="C51" s="83" t="n"/>
      <c r="D51" s="86" t="n"/>
      <c r="E51" s="86" t="n"/>
      <c r="F51" s="86" t="n"/>
      <c r="G51" s="86" t="n"/>
    </row>
    <row r="52" ht="15.75" customHeight="1" s="115">
      <c r="A52" s="85" t="n"/>
      <c r="B52" s="85" t="n"/>
      <c r="C52" s="83" t="n"/>
      <c r="D52" s="86" t="n"/>
      <c r="E52" s="87" t="n"/>
      <c r="F52" s="86" t="n"/>
      <c r="G52" s="86"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2" t="inlineStr">
        <is>
          <t>NUR258  ·  Halecka</t>
        </is>
      </c>
    </row>
    <row r="2">
      <c r="A2" s="9" t="inlineStr">
        <is>
          <t>NUR234</t>
        </is>
      </c>
      <c r="B2" s="9" t="inlineStr">
        <is>
          <t>NUR235</t>
        </is>
      </c>
      <c r="C2" s="13" t="inlineStr">
        <is>
          <t>NUR258</t>
        </is>
      </c>
      <c r="D2" s="16" t="inlineStr">
        <is>
          <t>🏠 START HERE</t>
        </is>
      </c>
      <c r="E2" s="15" t="inlineStr">
        <is>
          <t>📥 Sort me</t>
        </is>
      </c>
      <c r="F2" s="17" t="n"/>
      <c r="G2" s="17" t="n"/>
    </row>
    <row r="3">
      <c r="A3" s="94" t="inlineStr">
        <is>
          <t>Halecka</t>
        </is>
      </c>
      <c r="B3" s="18" t="inlineStr">
        <is>
          <t>Wagner</t>
        </is>
      </c>
      <c r="C3" s="18" t="inlineStr">
        <is>
          <t>Simmons</t>
        </is>
      </c>
      <c r="D3" s="18" t="inlineStr">
        <is>
          <t>Exams</t>
        </is>
      </c>
      <c r="E3" s="26">
        <f>HYPERLINK('START HERE'!$B$36,"Zoom")</f>
        <v/>
      </c>
      <c r="F3" s="18"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0" t="n"/>
      <c r="D6" s="70" t="inlineStr">
        <is>
          <t>Halecka</t>
        </is>
      </c>
      <c r="E6" s="69">
        <f>HYPERLINK("https://drive.google.com/file/d/1tPNIpDo5thT9xV08IoqnbNcp-83Oz_It/view","▶  Watch")</f>
        <v/>
      </c>
      <c r="F6" s="70" t="inlineStr">
        <is>
          <t>Halecka W1D1.mp4</t>
        </is>
      </c>
      <c r="G6" s="70" t="inlineStr">
        <is>
          <t>Topic: Sensory Disorders - Eye &amp; Ear</t>
        </is>
      </c>
    </row>
    <row r="7">
      <c r="A7" s="96" t="inlineStr">
        <is>
          <t>Week 1</t>
        </is>
      </c>
      <c r="B7" s="96" t="inlineStr">
        <is>
          <t>Day 1</t>
        </is>
      </c>
      <c r="C7" s="70" t="inlineStr">
        <is>
          <t>Fall 2026</t>
        </is>
      </c>
      <c r="D7" s="70" t="inlineStr">
        <is>
          <t>Halecka</t>
        </is>
      </c>
      <c r="E7" s="69">
        <f>HYPERLINK("https://drive.google.com/file/d/15LGIidwMDA6Izf9Yy9B0Ebfy2JaKL2ur/view?usp=drive_link","▶  Watch")</f>
        <v/>
      </c>
      <c r="F7" s="70" t="n"/>
      <c r="G7" s="70"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0" t="n"/>
      <c r="D10" s="70" t="inlineStr">
        <is>
          <t>Halecka</t>
        </is>
      </c>
      <c r="E10" s="69">
        <f>HYPERLINK("https://drive.google.com/file/d/1eEW_OANxw5ZaN1RpmULhcfPWlx81jgVL/view","▶  Watch")</f>
        <v/>
      </c>
      <c r="F10" s="70" t="inlineStr">
        <is>
          <t>Halecka W2D1.mp4</t>
        </is>
      </c>
      <c r="G10" s="70"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0" t="n"/>
      <c r="D12" s="70" t="inlineStr">
        <is>
          <t>Halecka</t>
        </is>
      </c>
      <c r="E12" s="69">
        <f>HYPERLINK("https://drive.google.com/file/d/12s1QL5nnwj9QhbN3ouHe5GQk6rkxv07O/view","▶  Watch")</f>
        <v/>
      </c>
      <c r="F12" s="70" t="inlineStr">
        <is>
          <t>Halecka W3 only day.mp4</t>
        </is>
      </c>
      <c r="G12" s="70"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0" t="n"/>
      <c r="D14" s="70" t="inlineStr">
        <is>
          <t>Halecka</t>
        </is>
      </c>
      <c r="E14" s="69">
        <f>HYPERLINK("https://drive.google.com/file/d/1MgsSYBfirqOZZQEARkWluIoUX2c7qI6s/view","▶  Watch")</f>
        <v/>
      </c>
      <c r="F14" s="70" t="inlineStr">
        <is>
          <t>Halecka W4d1.mp4</t>
        </is>
      </c>
      <c r="G14" s="70"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0" t="n"/>
      <c r="D18" s="70" t="inlineStr">
        <is>
          <t>Halecka</t>
        </is>
      </c>
      <c r="E18" s="69">
        <f>HYPERLINK("https://drive.google.com/file/d/1_VyUz4E-0B8mzqKzTJbzjFYLDpgENPJt/view","▶  Watch")</f>
        <v/>
      </c>
      <c r="F18" s="70" t="inlineStr">
        <is>
          <t>Halecka W5d1.mp4</t>
        </is>
      </c>
      <c r="G18" s="70" t="inlineStr">
        <is>
          <t>Topic: Endocrine Disorders</t>
        </is>
      </c>
    </row>
    <row r="19">
      <c r="A19" s="96" t="inlineStr">
        <is>
          <t>Week 5</t>
        </is>
      </c>
      <c r="B19" s="96" t="inlineStr">
        <is>
          <t>Day 1</t>
        </is>
      </c>
      <c r="C19" s="70" t="inlineStr">
        <is>
          <t>Fall 2026</t>
        </is>
      </c>
      <c r="D19" s="70" t="inlineStr">
        <is>
          <t>Halecka</t>
        </is>
      </c>
      <c r="E19" s="69">
        <f>HYPERLINK("https://drive.google.com/file/d/1wrzKU5lN8CsSWhAkTppcEMnLgUjFNL83/view","▶  Watch")</f>
        <v/>
      </c>
      <c r="F19" s="70" t="inlineStr">
        <is>
          <t>NUR258_Fall2026_Halecka_Wk05_Day1_Endocrine disorders.mp4</t>
        </is>
      </c>
      <c r="G19" s="70"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0" t="n"/>
      <c r="D21" s="70" t="inlineStr">
        <is>
          <t>Halecka</t>
        </is>
      </c>
      <c r="E21" s="69">
        <f>HYPERLINK("https://drive.google.com/file/d/1N4A_VJbw2pfSuXHUDKJADPUa_i_Coj99/view","▶  Watch")</f>
        <v/>
      </c>
      <c r="F21" s="70" t="inlineStr">
        <is>
          <t>Halecka W6d1.mp4</t>
        </is>
      </c>
      <c r="G21" s="70"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0" t="n"/>
      <c r="D24" s="70" t="inlineStr">
        <is>
          <t>Halecka</t>
        </is>
      </c>
      <c r="E24" s="69">
        <f>HYPERLINK("https://drive.google.com/file/d/1L7ijGH3mp0GJ1IoHuV4JAdU99cq8Za8B/view","▶  Watch")</f>
        <v/>
      </c>
      <c r="F24" s="70" t="inlineStr">
        <is>
          <t>Halecka W7D1.mp4</t>
        </is>
      </c>
      <c r="G24" s="70"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0" t="n"/>
      <c r="D26" s="70" t="inlineStr">
        <is>
          <t>Halecka</t>
        </is>
      </c>
      <c r="E26" s="69">
        <f>HYPERLINK("https://drive.google.com/file/d/1nJhuxvxXj5ORPnI8_aMnNFkD3BzQ368P/view","▶  Watch")</f>
        <v/>
      </c>
      <c r="F26" s="70" t="inlineStr">
        <is>
          <t>Halecka W8D1.mp4</t>
        </is>
      </c>
      <c r="G26" s="70"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0" t="n"/>
      <c r="D28" s="70" t="inlineStr">
        <is>
          <t>Halecka</t>
        </is>
      </c>
      <c r="E28" s="69">
        <f>HYPERLINK("https://drive.google.com/file/d/14DoxMb-Jl4KhSoqhubzcSXzzFDM1KiJe/view","▶  Watch")</f>
        <v/>
      </c>
      <c r="F28" s="70" t="inlineStr">
        <is>
          <t>Halecka W9D1.mp4</t>
        </is>
      </c>
      <c r="G28" s="70"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0" t="n"/>
      <c r="D30" s="70" t="inlineStr">
        <is>
          <t>Halecka</t>
        </is>
      </c>
      <c r="E30" s="69">
        <f>HYPERLINK("https://drive.google.com/file/d/1xxojEKWOl4VO6__6wBIZiEtCQtkFd8qv/view","▶  Watch")</f>
        <v/>
      </c>
      <c r="F30" s="70" t="inlineStr">
        <is>
          <t>Halecka W10D1.mp4</t>
        </is>
      </c>
      <c r="G30" s="70"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0" t="n"/>
      <c r="D32" s="70" t="inlineStr">
        <is>
          <t>Halecka</t>
        </is>
      </c>
      <c r="E32" s="69">
        <f>HYPERLINK("https://drive.google.com/file/d/1WfPT27PAQr_pC3rts6sSw6HaZO2Nh1mj/view","▶  Watch")</f>
        <v/>
      </c>
      <c r="F32" s="70" t="inlineStr">
        <is>
          <t>Halecka W11D1.mp4</t>
        </is>
      </c>
      <c r="G32" s="70"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0" t="n"/>
      <c r="D34" s="70" t="inlineStr">
        <is>
          <t>Halecka</t>
        </is>
      </c>
      <c r="E34" s="69">
        <f>HYPERLINK("https://drive.google.com/file/d/19ZrcWgDP34L_aYDnmQTwVsqD3T8NxVNk/view","▶  Watch")</f>
        <v/>
      </c>
      <c r="F34" s="70" t="inlineStr">
        <is>
          <t>Halecka W12D1.mp4</t>
        </is>
      </c>
      <c r="G34" s="70"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0" t="n"/>
      <c r="D36" s="70" t="inlineStr">
        <is>
          <t>Halecka</t>
        </is>
      </c>
      <c r="E36" s="69">
        <f>HYPERLINK("https://drive.google.com/file/d/1dmJCDM5IPNYi_xRR4fIWAth_Vd0Nj4Mv/view","▶  Watch")</f>
        <v/>
      </c>
      <c r="F36" s="70" t="inlineStr">
        <is>
          <t>Halecka W13D1.mp4</t>
        </is>
      </c>
      <c r="G36" s="70"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0" t="n"/>
      <c r="D38" s="70" t="inlineStr">
        <is>
          <t>Halecka</t>
        </is>
      </c>
      <c r="E38" s="69">
        <f>HYPERLINK("https://drive.google.com/file/d/1a1q2htiGkSbDtVr7xa10OLL1pV6dvzBx/view","▶  Watch")</f>
        <v/>
      </c>
      <c r="F38" s="70" t="inlineStr">
        <is>
          <t>Halecka W14D1.mp4</t>
        </is>
      </c>
      <c r="G38" s="70"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0" t="n"/>
      <c r="B40" s="100" t="n"/>
      <c r="C40" s="100" t="n"/>
      <c r="D40" s="100" t="n"/>
      <c r="E40" s="100" t="n"/>
      <c r="F40" s="100" t="n"/>
      <c r="G40" s="100" t="n"/>
    </row>
    <row r="41" ht="15.75" customHeight="1" s="115">
      <c r="A41" s="100" t="n"/>
      <c r="B41" s="100" t="n"/>
      <c r="C41" s="100" t="n"/>
      <c r="D41" s="100" t="n"/>
      <c r="E41" s="100" t="n"/>
      <c r="F41" s="100" t="n"/>
      <c r="G41" s="100" t="n"/>
    </row>
    <row r="42" ht="15.75" customHeight="1" s="115">
      <c r="A42" s="100" t="n"/>
      <c r="B42" s="100" t="n"/>
      <c r="C42" s="100" t="n"/>
      <c r="D42" s="100" t="n"/>
      <c r="E42" s="100" t="n"/>
      <c r="F42" s="100" t="n"/>
      <c r="G42" s="100" t="n"/>
    </row>
    <row r="43" ht="15.75" customHeight="1" s="115">
      <c r="A43" s="100" t="n"/>
      <c r="B43" s="100" t="n"/>
      <c r="C43" s="100" t="n"/>
      <c r="D43" s="100" t="n"/>
      <c r="E43" s="100" t="n"/>
      <c r="F43" s="100" t="n"/>
      <c r="G43" s="100" t="n"/>
    </row>
    <row r="44" ht="15.75" customHeight="1" s="115">
      <c r="A44" s="100" t="n"/>
      <c r="B44" s="100" t="n"/>
      <c r="C44" s="100" t="n"/>
      <c r="D44" s="100" t="n"/>
      <c r="E44" s="100" t="n"/>
      <c r="F44" s="100" t="n"/>
      <c r="G44" s="100" t="n"/>
    </row>
    <row r="45" ht="15.75" customHeight="1" s="115">
      <c r="A45" s="100" t="n"/>
      <c r="B45" s="100" t="n"/>
      <c r="C45" s="100" t="n"/>
      <c r="D45" s="100" t="n"/>
      <c r="E45" s="100" t="n"/>
      <c r="F45" s="100" t="n"/>
      <c r="G45" s="100"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2" t="inlineStr">
        <is>
          <t>NUR258  ·  Wagner</t>
        </is>
      </c>
    </row>
    <row r="2">
      <c r="A2" s="9" t="inlineStr">
        <is>
          <t>NUR234</t>
        </is>
      </c>
      <c r="B2" s="9" t="inlineStr">
        <is>
          <t>NUR235</t>
        </is>
      </c>
      <c r="C2" s="13" t="inlineStr">
        <is>
          <t>NUR258</t>
        </is>
      </c>
      <c r="D2" s="16" t="inlineStr">
        <is>
          <t>🏠 START HERE</t>
        </is>
      </c>
      <c r="E2" s="15" t="inlineStr">
        <is>
          <t>📥 Sort me</t>
        </is>
      </c>
      <c r="F2" s="17" t="n"/>
      <c r="G2" s="17" t="n"/>
    </row>
    <row r="3">
      <c r="A3" s="18" t="inlineStr">
        <is>
          <t>Halecka</t>
        </is>
      </c>
      <c r="B3" s="94" t="inlineStr">
        <is>
          <t>Wagner</t>
        </is>
      </c>
      <c r="C3" s="18" t="inlineStr">
        <is>
          <t>Simmons</t>
        </is>
      </c>
      <c r="D3" s="18" t="inlineStr">
        <is>
          <t>Exams</t>
        </is>
      </c>
      <c r="E3" s="26">
        <f>HYPERLINK('START HERE'!$B$36,"Zoom")</f>
        <v/>
      </c>
      <c r="F3" s="18"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0" t="n"/>
      <c r="D8" s="70" t="inlineStr">
        <is>
          <t>Wagner</t>
        </is>
      </c>
      <c r="E8" s="69">
        <f>HYPERLINK("https://drive.google.com/file/d/1wtklIvJcD059j3j2ydf30LJdilUZbRO7/view","▶  Watch")</f>
        <v/>
      </c>
      <c r="F8" s="70" t="inlineStr">
        <is>
          <t>Wagner M1d3.mp4</t>
        </is>
      </c>
      <c r="G8" s="70"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0" t="n"/>
      <c r="D10" s="70" t="inlineStr">
        <is>
          <t>Wagner</t>
        </is>
      </c>
      <c r="E10" s="69">
        <f>HYPERLINK("https://drive.google.com/file/d/1H5EHGXzFX278nFTWV7sUu6d8S8Al4V1Z/view","▶  Watch")</f>
        <v/>
      </c>
      <c r="F10" s="70" t="inlineStr">
        <is>
          <t>Wagner M2D2.mp4</t>
        </is>
      </c>
      <c r="G10" s="70"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0" t="n"/>
      <c r="D12" s="70" t="inlineStr">
        <is>
          <t>Wagner</t>
        </is>
      </c>
      <c r="E12" s="69">
        <f>HYPERLINK("https://drive.google.com/file/d/14h7QaQPftFeWKqWmyPLMHRAlp4D1DViW/view","▶  Watch")</f>
        <v/>
      </c>
      <c r="F12" s="70" t="inlineStr">
        <is>
          <t>Wagner M3D2.mp4</t>
        </is>
      </c>
      <c r="G12" s="70"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0" t="n"/>
      <c r="D14" s="70" t="inlineStr">
        <is>
          <t>Wagner</t>
        </is>
      </c>
      <c r="E14" s="69">
        <f>HYPERLINK("https://drive.google.com/file/d/1iuG4OPyP4ncermN7KOeAib0TJ1N0fUGB/view","▶  Watch")</f>
        <v/>
      </c>
      <c r="F14" s="70" t="inlineStr">
        <is>
          <t>Wagner W4D2.mp4</t>
        </is>
      </c>
      <c r="G14" s="70"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0" t="n"/>
      <c r="D16" s="70" t="inlineStr">
        <is>
          <t>Wagner</t>
        </is>
      </c>
      <c r="E16" s="69">
        <f>HYPERLINK("https://drive.google.com/file/d/1gP4XUFWs4UEPG0S22U5Mjh3iLhe6m1uh/view","▶  Watch")</f>
        <v/>
      </c>
      <c r="F16" s="70" t="inlineStr">
        <is>
          <t>Wagner W5D2.mp4</t>
        </is>
      </c>
      <c r="G16" s="70"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0" t="n"/>
      <c r="D18" s="70" t="inlineStr">
        <is>
          <t>Wagner</t>
        </is>
      </c>
      <c r="E18" s="70" t="n"/>
      <c r="F18" s="70" t="n"/>
      <c r="G18" s="70"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0" t="n"/>
      <c r="D20" s="70" t="inlineStr">
        <is>
          <t>Wagner</t>
        </is>
      </c>
      <c r="E20" s="70" t="n"/>
      <c r="F20" s="70" t="n"/>
      <c r="G20" s="70"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0" t="n"/>
      <c r="D22" s="70" t="inlineStr">
        <is>
          <t>Wagner</t>
        </is>
      </c>
      <c r="E22" s="70" t="n"/>
      <c r="F22" s="70" t="n"/>
      <c r="G22" s="70"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0" t="n"/>
      <c r="D24" s="70" t="inlineStr">
        <is>
          <t>Wagner</t>
        </is>
      </c>
      <c r="E24" s="70" t="n"/>
      <c r="F24" s="70" t="n"/>
      <c r="G24" s="70"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0" t="n"/>
      <c r="D26" s="70" t="inlineStr">
        <is>
          <t>Wagner</t>
        </is>
      </c>
      <c r="E26" s="69">
        <f>HYPERLINK("https://drive.google.com/file/d/1s6ZSywz0_vjOUACKMdcw_g4Wj3hEc94Q/view","▶  Watch")</f>
        <v/>
      </c>
      <c r="F26" s="70" t="inlineStr">
        <is>
          <t>Wagner W10D2.mp4</t>
        </is>
      </c>
      <c r="G26" s="70"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0" t="n"/>
      <c r="D28" s="70" t="inlineStr">
        <is>
          <t>Wagner</t>
        </is>
      </c>
      <c r="E28" s="69">
        <f>HYPERLINK("https://drive.google.com/file/d/1Dfopme6sdvh-T26mYeXd_D3Abt-nrRcf/view","▶  Watch")</f>
        <v/>
      </c>
      <c r="F28" s="70" t="inlineStr">
        <is>
          <t>Wagner W11D2.mp4</t>
        </is>
      </c>
      <c r="G28" s="70"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0" t="n"/>
      <c r="D30" s="70" t="inlineStr">
        <is>
          <t>Wagner</t>
        </is>
      </c>
      <c r="E30" s="69">
        <f>HYPERLINK("https://drive.google.com/file/d/1KBCU-z_KkCcozDXbb-XtF4WS_ZRze-jt/view","▶  Watch")</f>
        <v/>
      </c>
      <c r="F30" s="70" t="inlineStr">
        <is>
          <t>Wagner W12D2.mp4</t>
        </is>
      </c>
      <c r="G30" s="70"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0" t="n"/>
      <c r="D32" s="70" t="inlineStr">
        <is>
          <t>Wagner</t>
        </is>
      </c>
      <c r="E32" s="69">
        <f>HYPERLINK("https://drive.google.com/file/d/17j2Fm5hSFing77SVbMQwGi4sYuuIxyZ6/view","▶  Watch")</f>
        <v/>
      </c>
      <c r="F32" s="70" t="inlineStr">
        <is>
          <t>Wagner W13D2.mp4</t>
        </is>
      </c>
      <c r="G32" s="70"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0" t="n"/>
      <c r="D34" s="70" t="inlineStr">
        <is>
          <t>Wagner</t>
        </is>
      </c>
      <c r="E34" s="69">
        <f>HYPERLINK("https://drive.google.com/file/d/1W6BH-fS4Qj_O922nNOnHjm8NPBNi_rvR/view","▶  Watch")</f>
        <v/>
      </c>
      <c r="F34" s="70" t="inlineStr">
        <is>
          <t>Wagner W14D2.mp4</t>
        </is>
      </c>
      <c r="G34" s="70" t="inlineStr">
        <is>
          <t>Topic: Final Exam Review</t>
        </is>
      </c>
    </row>
    <row r="35" ht="15.75" customHeight="1" s="115">
      <c r="A35" s="100" t="n"/>
      <c r="B35" s="100" t="n"/>
      <c r="C35" s="100" t="n"/>
      <c r="D35" s="100" t="n"/>
      <c r="E35" s="100" t="n"/>
      <c r="F35" s="100" t="n"/>
      <c r="G35" s="100"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2" t="inlineStr">
        <is>
          <t>NUR258  ·  Simmons</t>
        </is>
      </c>
    </row>
    <row r="2">
      <c r="A2" s="9" t="inlineStr">
        <is>
          <t>NUR234</t>
        </is>
      </c>
      <c r="B2" s="9" t="inlineStr">
        <is>
          <t>NUR235</t>
        </is>
      </c>
      <c r="C2" s="13" t="inlineStr">
        <is>
          <t>NUR258</t>
        </is>
      </c>
      <c r="D2" s="16" t="inlineStr">
        <is>
          <t>🏠 START HERE</t>
        </is>
      </c>
      <c r="E2" s="15" t="inlineStr">
        <is>
          <t>📥 Sort me</t>
        </is>
      </c>
      <c r="F2" s="17" t="n"/>
      <c r="G2" s="17" t="n"/>
    </row>
    <row r="3">
      <c r="A3" s="18" t="inlineStr">
        <is>
          <t>Halecka</t>
        </is>
      </c>
      <c r="B3" s="18" t="inlineStr">
        <is>
          <t>Wagner</t>
        </is>
      </c>
      <c r="C3" s="94" t="inlineStr">
        <is>
          <t>Simmons</t>
        </is>
      </c>
      <c r="D3" s="18" t="inlineStr">
        <is>
          <t>Exams</t>
        </is>
      </c>
      <c r="E3" s="26">
        <f>HYPERLINK('START HERE'!$B$36,"Zoom")</f>
        <v/>
      </c>
      <c r="F3" s="18"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0" t="inlineStr">
        <is>
          <t>Fall 2026</t>
        </is>
      </c>
      <c r="D6" s="70" t="inlineStr">
        <is>
          <t>Simmons</t>
        </is>
      </c>
      <c r="E6" s="69">
        <f>HYPERLINK("https://drive.google.com/file/d/1vELNw9yEfC3KyPu3v5p8IQWKlkErLRjO/view","▶  Watch")</f>
        <v/>
      </c>
      <c r="F6" s="70" t="inlineStr">
        <is>
          <t>Nur258_Simmons_Wk01_Day1_Orientation.mp4</t>
        </is>
      </c>
      <c r="G6" s="70"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0" t="inlineStr">
        <is>
          <t>Fall 2026</t>
        </is>
      </c>
      <c r="D8" s="70" t="inlineStr">
        <is>
          <t>Simmons</t>
        </is>
      </c>
      <c r="E8" s="69">
        <f>HYPERLINK("https://drive.google.com/file/d/1nibIelmSIxz4_UZkHdUR20OvMw1yUUWx/view","▶  Watch")</f>
        <v/>
      </c>
      <c r="F8" s="70" t="inlineStr">
        <is>
          <t>Nur 258 Simmons Wk 1 D 2.mp4</t>
        </is>
      </c>
      <c r="G8" s="70"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2" t="inlineStr">
        <is>
          <t>Screen recording, Sun 7 Sep 7:57 PM. Caroline confirmed this one is Simmons. Filed as Week 1 Day 3 - move the row if it belongs to another day</t>
        </is>
      </c>
    </row>
    <row r="10">
      <c r="A10" s="96" t="inlineStr">
        <is>
          <t>Week 2</t>
        </is>
      </c>
      <c r="B10" s="96" t="inlineStr">
        <is>
          <t>Day 1</t>
        </is>
      </c>
      <c r="C10" s="70" t="inlineStr">
        <is>
          <t>Fall 2026</t>
        </is>
      </c>
      <c r="D10" s="70" t="inlineStr">
        <is>
          <t>Simmons</t>
        </is>
      </c>
      <c r="E10" s="103" t="n"/>
      <c r="F10" s="70" t="n"/>
      <c r="G10" s="70" t="n"/>
    </row>
    <row r="11">
      <c r="A11" s="97" t="inlineStr">
        <is>
          <t>Week 2</t>
        </is>
      </c>
      <c r="B11" s="97" t="inlineStr">
        <is>
          <t>Day 2</t>
        </is>
      </c>
      <c r="C11" s="98" t="inlineStr">
        <is>
          <t>Fall 2026</t>
        </is>
      </c>
      <c r="D11" s="98" t="inlineStr">
        <is>
          <t>Simmons</t>
        </is>
      </c>
      <c r="E11" s="105" t="n"/>
      <c r="F11" s="98" t="n"/>
      <c r="G11" s="98" t="n"/>
    </row>
    <row r="12">
      <c r="A12" s="96" t="inlineStr">
        <is>
          <t>Week 3</t>
        </is>
      </c>
      <c r="B12" s="96" t="inlineStr">
        <is>
          <t>Day 1</t>
        </is>
      </c>
      <c r="C12" s="70" t="inlineStr">
        <is>
          <t>Fall 2026</t>
        </is>
      </c>
      <c r="D12" s="70" t="inlineStr">
        <is>
          <t>Simmons</t>
        </is>
      </c>
      <c r="E12" s="103" t="n"/>
      <c r="F12" s="70" t="n"/>
      <c r="G12" s="70" t="n"/>
    </row>
    <row r="13">
      <c r="A13" s="97" t="inlineStr">
        <is>
          <t>Week 3</t>
        </is>
      </c>
      <c r="B13" s="97" t="inlineStr">
        <is>
          <t>Day 2</t>
        </is>
      </c>
      <c r="C13" s="98" t="inlineStr">
        <is>
          <t>Fall 2026</t>
        </is>
      </c>
      <c r="D13" s="98" t="inlineStr">
        <is>
          <t>Simmons</t>
        </is>
      </c>
      <c r="E13" s="105" t="n"/>
      <c r="F13" s="98" t="n"/>
      <c r="G13" s="98" t="n"/>
    </row>
    <row r="14">
      <c r="A14" s="96" t="inlineStr">
        <is>
          <t>Week 4</t>
        </is>
      </c>
      <c r="B14" s="96" t="inlineStr">
        <is>
          <t>Day 1</t>
        </is>
      </c>
      <c r="C14" s="70" t="inlineStr">
        <is>
          <t>Fall 2026</t>
        </is>
      </c>
      <c r="D14" s="70" t="inlineStr">
        <is>
          <t>Simmons</t>
        </is>
      </c>
      <c r="E14" s="69">
        <f>HYPERLINK("https://drive.google.com/file/d/1mQ5_1LTAl8D1uRYt2cr9No8fFFWNdYuo/view","▶  Watch")</f>
        <v/>
      </c>
      <c r="F14" s="70" t="inlineStr">
        <is>
          <t>NUR258_Fall2026_Simmons_Wk04_DayNA_Module 4 - Burns - Parkland, Curling ulcer (topic from Drive speech index).mp4</t>
        </is>
      </c>
      <c r="G14" s="70"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5" t="n"/>
      <c r="F15" s="98" t="n"/>
      <c r="G15" s="98" t="n"/>
    </row>
    <row r="16">
      <c r="A16" s="96" t="inlineStr">
        <is>
          <t>Week 5</t>
        </is>
      </c>
      <c r="B16" s="96" t="inlineStr">
        <is>
          <t>Day 1</t>
        </is>
      </c>
      <c r="C16" s="70" t="inlineStr">
        <is>
          <t>Fall 2026</t>
        </is>
      </c>
      <c r="D16" s="70" t="inlineStr">
        <is>
          <t>Simmons</t>
        </is>
      </c>
      <c r="E16" s="69">
        <f>HYPERLINK("https://drive.google.com/file/d/1gdm8e33xA3moNJS2cnHyGWtARPnx5-VK/view","▶  Watch")</f>
        <v/>
      </c>
      <c r="F16" s="70" t="inlineStr">
        <is>
          <t>NUR258_Fall2026_Simmons_Wk05_DayNA_Module 5 - Endocrine disorders - pituitary, thyroid, adrenal (topic from Drive speech index).mp4</t>
        </is>
      </c>
      <c r="G16" s="70"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5" t="n"/>
      <c r="F17" s="98" t="n"/>
      <c r="G17" s="98" t="n"/>
    </row>
    <row r="18">
      <c r="A18" s="96" t="inlineStr">
        <is>
          <t>Week 6</t>
        </is>
      </c>
      <c r="B18" s="96" t="inlineStr">
        <is>
          <t>Day 1</t>
        </is>
      </c>
      <c r="C18" s="70" t="inlineStr">
        <is>
          <t>Fall 2026</t>
        </is>
      </c>
      <c r="D18" s="70" t="inlineStr">
        <is>
          <t>Simmons</t>
        </is>
      </c>
      <c r="E18" s="69">
        <f>HYPERLINK("https://drive.google.com/file/d/1b9_VQuLuEJO8Oxkfkgh6R8tliXlwiTHe/view","▶  Watch")</f>
        <v/>
      </c>
      <c r="F18" s="70" t="inlineStr">
        <is>
          <t>NUR258_Fall2026_Simmons_Wk06_DayNA_Module 6 - Diabetes (named from the week number).mp4</t>
        </is>
      </c>
      <c r="G18" s="70"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69">
        <f>HYPERLINK("https://drive.google.com/file/d/1Ddu9C9PKmJeJIAp3rms9yKN_aJOW5cMH/view","▶  Watch")</f>
        <v/>
      </c>
      <c r="F19" s="70" t="inlineStr">
        <is>
          <t>NUR258_Fall2026_Simmons_Wk06_DayNA_Module 6 - Diabetes (second recording, topic from the speech index).mp4</t>
        </is>
      </c>
      <c r="G19" s="70"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0" t="inlineStr">
        <is>
          <t>Fall 2026</t>
        </is>
      </c>
      <c r="D20" s="70" t="inlineStr">
        <is>
          <t>Simmons</t>
        </is>
      </c>
      <c r="E20" s="69">
        <f>HYPERLINK("https://drive.google.com/file/d/1dEApSof8CrGkfjqyOWd6yaeUf7vWgQfP/view","▶  Watch")</f>
        <v/>
      </c>
      <c r="F20" s="70" t="inlineStr">
        <is>
          <t>NUR258_Fall2026_Simmons_Wk07_DayNA_Module 7 - Neurologic and cerebrovascular disorders.mp4</t>
        </is>
      </c>
      <c r="G20" s="70"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5" t="n"/>
      <c r="F21" s="98" t="n"/>
      <c r="G21" s="98" t="n"/>
    </row>
    <row r="22" ht="15.75" customHeight="1" s="115">
      <c r="A22" s="96" t="inlineStr">
        <is>
          <t>Week 8</t>
        </is>
      </c>
      <c r="B22" s="96" t="inlineStr">
        <is>
          <t>Day 1</t>
        </is>
      </c>
      <c r="C22" s="70" t="inlineStr">
        <is>
          <t>Fall 2026</t>
        </is>
      </c>
      <c r="D22" s="70" t="inlineStr">
        <is>
          <t>Simmons</t>
        </is>
      </c>
      <c r="E22" s="103" t="n"/>
      <c r="F22" s="70" t="n"/>
      <c r="G22" s="70" t="n"/>
    </row>
    <row r="23" ht="15.75" customHeight="1" s="115">
      <c r="A23" s="97" t="inlineStr">
        <is>
          <t>Week 8</t>
        </is>
      </c>
      <c r="B23" s="97" t="inlineStr">
        <is>
          <t>Day 2</t>
        </is>
      </c>
      <c r="C23" s="98" t="inlineStr">
        <is>
          <t>Fall 2026</t>
        </is>
      </c>
      <c r="D23" s="98" t="inlineStr">
        <is>
          <t>Simmons</t>
        </is>
      </c>
      <c r="E23" s="105" t="n"/>
      <c r="F23" s="98" t="n"/>
      <c r="G23" s="98" t="n"/>
    </row>
    <row r="24" ht="15.75" customHeight="1" s="115">
      <c r="A24" s="96" t="inlineStr">
        <is>
          <t>Week 9</t>
        </is>
      </c>
      <c r="B24" s="96" t="inlineStr">
        <is>
          <t>Day 1</t>
        </is>
      </c>
      <c r="C24" s="70" t="inlineStr">
        <is>
          <t>Fall 2026</t>
        </is>
      </c>
      <c r="D24" s="70" t="inlineStr">
        <is>
          <t>Simmons</t>
        </is>
      </c>
      <c r="E24" s="103" t="n"/>
      <c r="F24" s="70" t="n"/>
      <c r="G24" s="70" t="n"/>
    </row>
    <row r="25" ht="15.75" customHeight="1" s="115">
      <c r="A25" s="97" t="inlineStr">
        <is>
          <t>Week 9</t>
        </is>
      </c>
      <c r="B25" s="97" t="inlineStr">
        <is>
          <t>Day 2</t>
        </is>
      </c>
      <c r="C25" s="98" t="inlineStr">
        <is>
          <t>Fall 2026</t>
        </is>
      </c>
      <c r="D25" s="98" t="inlineStr">
        <is>
          <t>Simmons</t>
        </is>
      </c>
      <c r="E25" s="105" t="n"/>
      <c r="F25" s="98" t="n"/>
      <c r="G25" s="98" t="n"/>
    </row>
    <row r="26" ht="15.75" customHeight="1" s="115">
      <c r="A26" s="96" t="inlineStr">
        <is>
          <t>Week 10</t>
        </is>
      </c>
      <c r="B26" s="96" t="inlineStr">
        <is>
          <t>Day 1</t>
        </is>
      </c>
      <c r="C26" s="70" t="inlineStr">
        <is>
          <t>Fall 2026</t>
        </is>
      </c>
      <c r="D26" s="70" t="inlineStr">
        <is>
          <t>Simmons</t>
        </is>
      </c>
      <c r="E26" s="103" t="n"/>
      <c r="F26" s="70" t="n"/>
      <c r="G26" s="70" t="n"/>
    </row>
    <row r="27" ht="15.75" customHeight="1" s="115">
      <c r="A27" s="97" t="inlineStr">
        <is>
          <t>Week 10</t>
        </is>
      </c>
      <c r="B27" s="97" t="inlineStr">
        <is>
          <t>Day 2</t>
        </is>
      </c>
      <c r="C27" s="98" t="inlineStr">
        <is>
          <t>Fall 2026</t>
        </is>
      </c>
      <c r="D27" s="98" t="inlineStr">
        <is>
          <t>Simmons</t>
        </is>
      </c>
      <c r="E27" s="105" t="n"/>
      <c r="F27" s="98" t="n"/>
      <c r="G27" s="98" t="n"/>
    </row>
    <row r="28" ht="15.75" customHeight="1" s="115">
      <c r="A28" s="96" t="inlineStr">
        <is>
          <t>Week 11</t>
        </is>
      </c>
      <c r="B28" s="96" t="inlineStr">
        <is>
          <t>Day 1</t>
        </is>
      </c>
      <c r="C28" s="70" t="inlineStr">
        <is>
          <t>Fall 2026</t>
        </is>
      </c>
      <c r="D28" s="70" t="inlineStr">
        <is>
          <t>Simmons</t>
        </is>
      </c>
      <c r="E28" s="103" t="n"/>
      <c r="F28" s="70" t="n"/>
      <c r="G28" s="70" t="n"/>
    </row>
    <row r="29" ht="15.75" customHeight="1" s="115">
      <c r="A29" s="97" t="inlineStr">
        <is>
          <t>Week 11</t>
        </is>
      </c>
      <c r="B29" s="97" t="inlineStr">
        <is>
          <t>Day 2</t>
        </is>
      </c>
      <c r="C29" s="98" t="inlineStr">
        <is>
          <t>Fall 2026</t>
        </is>
      </c>
      <c r="D29" s="98" t="inlineStr">
        <is>
          <t>Simmons</t>
        </is>
      </c>
      <c r="E29" s="105" t="n"/>
      <c r="F29" s="98" t="n"/>
      <c r="G29" s="98" t="n"/>
    </row>
    <row r="30" ht="15.75" customHeight="1" s="115">
      <c r="A30" s="96" t="inlineStr">
        <is>
          <t>Week 12</t>
        </is>
      </c>
      <c r="B30" s="96" t="inlineStr">
        <is>
          <t>Day 1</t>
        </is>
      </c>
      <c r="C30" s="70" t="inlineStr">
        <is>
          <t>Fall 2026</t>
        </is>
      </c>
      <c r="D30" s="70" t="inlineStr">
        <is>
          <t>Simmons</t>
        </is>
      </c>
      <c r="E30" s="103" t="n"/>
      <c r="F30" s="70" t="n"/>
      <c r="G30" s="70" t="n"/>
    </row>
    <row r="31" ht="15.75" customHeight="1" s="115">
      <c r="A31" s="97" t="inlineStr">
        <is>
          <t>Week 12</t>
        </is>
      </c>
      <c r="B31" s="97" t="inlineStr">
        <is>
          <t>Day 2</t>
        </is>
      </c>
      <c r="C31" s="98" t="inlineStr">
        <is>
          <t>Fall 2026</t>
        </is>
      </c>
      <c r="D31" s="98" t="inlineStr">
        <is>
          <t>Simmons</t>
        </is>
      </c>
      <c r="E31" s="105" t="n"/>
      <c r="F31" s="98" t="n"/>
      <c r="G31" s="98" t="n"/>
    </row>
    <row r="32" ht="15.75" customHeight="1" s="115">
      <c r="A32" s="96" t="inlineStr">
        <is>
          <t>Week 13</t>
        </is>
      </c>
      <c r="B32" s="96" t="inlineStr">
        <is>
          <t>Day 1</t>
        </is>
      </c>
      <c r="C32" s="70" t="inlineStr">
        <is>
          <t>Fall 2026</t>
        </is>
      </c>
      <c r="D32" s="70" t="inlineStr">
        <is>
          <t>Simmons</t>
        </is>
      </c>
      <c r="E32" s="103" t="n"/>
      <c r="F32" s="70" t="n"/>
      <c r="G32" s="70" t="n"/>
    </row>
    <row r="33" ht="15.75" customHeight="1" s="115">
      <c r="A33" s="97" t="inlineStr">
        <is>
          <t>Week 13</t>
        </is>
      </c>
      <c r="B33" s="97" t="inlineStr">
        <is>
          <t>Day 2</t>
        </is>
      </c>
      <c r="C33" s="98" t="inlineStr">
        <is>
          <t>Fall 2026</t>
        </is>
      </c>
      <c r="D33" s="98" t="inlineStr">
        <is>
          <t>Simmons</t>
        </is>
      </c>
      <c r="E33" s="105" t="n"/>
      <c r="F33" s="98" t="n"/>
      <c r="G33" s="98" t="n"/>
    </row>
    <row r="34" ht="15.75" customHeight="1" s="115">
      <c r="A34" s="96" t="inlineStr">
        <is>
          <t>Week 14</t>
        </is>
      </c>
      <c r="B34" s="96" t="inlineStr">
        <is>
          <t>Day 1</t>
        </is>
      </c>
      <c r="C34" s="70" t="inlineStr">
        <is>
          <t>Fall 2026</t>
        </is>
      </c>
      <c r="D34" s="70" t="inlineStr">
        <is>
          <t>Simmons</t>
        </is>
      </c>
      <c r="E34" s="103" t="n"/>
      <c r="F34" s="70" t="n"/>
      <c r="G34" s="70" t="n"/>
    </row>
    <row r="35" ht="15.75" customHeight="1" s="115">
      <c r="A35" s="97" t="inlineStr">
        <is>
          <t>Week 14</t>
        </is>
      </c>
      <c r="B35" s="97" t="inlineStr">
        <is>
          <t>Day 2</t>
        </is>
      </c>
      <c r="C35" s="98" t="inlineStr">
        <is>
          <t>Fall 2026</t>
        </is>
      </c>
      <c r="D35" s="98" t="inlineStr">
        <is>
          <t>Simmons</t>
        </is>
      </c>
      <c r="E35" s="105"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2" t="inlineStr">
        <is>
          <t>NUR258  ·  LSC Exam Reviews</t>
        </is>
      </c>
    </row>
    <row r="2">
      <c r="A2" s="9" t="inlineStr">
        <is>
          <t>NUR234</t>
        </is>
      </c>
      <c r="B2" s="9" t="inlineStr">
        <is>
          <t>NUR235</t>
        </is>
      </c>
      <c r="C2" s="13" t="inlineStr">
        <is>
          <t>NUR258</t>
        </is>
      </c>
      <c r="D2" s="16" t="inlineStr">
        <is>
          <t>🏠 START HERE</t>
        </is>
      </c>
      <c r="E2" s="15" t="inlineStr">
        <is>
          <t>📥 Sort me</t>
        </is>
      </c>
      <c r="F2" s="17" t="n"/>
      <c r="G2" s="17" t="n"/>
    </row>
    <row r="3">
      <c r="A3" s="18" t="inlineStr">
        <is>
          <t>Halecka</t>
        </is>
      </c>
      <c r="B3" s="18" t="inlineStr">
        <is>
          <t>Wagner</t>
        </is>
      </c>
      <c r="C3" s="18" t="inlineStr">
        <is>
          <t>Simmons</t>
        </is>
      </c>
      <c r="D3" s="101" t="inlineStr">
        <is>
          <t>Exams</t>
        </is>
      </c>
      <c r="E3" s="26">
        <f>HYPERLINK('START HERE'!$B$36,"Zoom")</f>
        <v/>
      </c>
      <c r="F3" s="18" t="inlineStr">
        <is>
          <t>Review videos</t>
        </is>
      </c>
      <c r="G3" s="17" t="n"/>
    </row>
    <row r="4">
      <c r="A4" s="17" t="n"/>
      <c r="B4" s="17" t="n"/>
      <c r="C4" s="17" t="n"/>
      <c r="D4" s="17" t="n"/>
      <c r="E4" s="17" t="n"/>
      <c r="F4" s="17" t="n"/>
      <c r="G4" s="17"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0" t="inlineStr">
        <is>
          <t>Fall 2026</t>
        </is>
      </c>
      <c r="C6" s="70" t="inlineStr">
        <is>
          <t>Exam Review Session Module 1 - Sensory Perception</t>
        </is>
      </c>
      <c r="D6" s="70" t="n"/>
      <c r="E6" s="70" t="inlineStr">
        <is>
          <t>Video</t>
        </is>
      </c>
      <c r="F6" s="69">
        <f>HYPERLINK("https://drive.google.com/file/d/1n_MoNcyp3z65eFCtCR4f7dp8nTgy7sBS/view","▶  Watch")</f>
        <v/>
      </c>
      <c r="G6" s="70"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0" t="inlineStr">
        <is>
          <t>Fall 2026</t>
        </is>
      </c>
      <c r="C8" s="70" t="inlineStr">
        <is>
          <t>Module 1 - Exam Review Session, Sensory Issues</t>
        </is>
      </c>
      <c r="D8" s="70" t="n"/>
      <c r="E8" s="70" t="inlineStr">
        <is>
          <t>Exam prep (LSC)</t>
        </is>
      </c>
      <c r="F8" s="69">
        <f>HYPERLINK("https://drive.google.com/file/d/1NIAwYKi0eS0TO-BnVf74OLGxlZGUNfQ1/view","▶  Watch")</f>
        <v/>
      </c>
      <c r="G8" s="70" t="inlineStr">
        <is>
          <t>Topic: Module 1 - Exam Review Session, Sensory Issues</t>
        </is>
      </c>
      <c r="H8" s="104"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4" t="inlineStr">
        <is>
          <t>LSC exam prep, 59:14</t>
        </is>
      </c>
    </row>
    <row r="10">
      <c r="A10" s="97" t="inlineStr">
        <is>
          <t>Exam 1</t>
        </is>
      </c>
      <c r="B10" s="70" t="inlineStr">
        <is>
          <t>Fall 2026</t>
        </is>
      </c>
      <c r="C10" s="70" t="inlineStr">
        <is>
          <t>Module 3 - Inflammatory Disorders</t>
        </is>
      </c>
      <c r="D10" s="70" t="n"/>
      <c r="E10" s="70" t="inlineStr">
        <is>
          <t>Exam prep (LSC)</t>
        </is>
      </c>
      <c r="F10" s="69">
        <f>HYPERLINK("https://drive.google.com/file/d/18QxQvERtngH_lYv0-BF6NDMYxDj3G_wq/view","▶  Watch")</f>
        <v/>
      </c>
      <c r="G10" s="70" t="inlineStr">
        <is>
          <t>Topic: Module 3 - Inflammatory Disorders</t>
        </is>
      </c>
      <c r="H10" s="104"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4" t="inlineStr">
        <is>
          <t>LSC exam prep, 12:25. This is the one whose upload failed first time</t>
        </is>
      </c>
    </row>
    <row r="12">
      <c r="A12" s="96" t="inlineStr">
        <is>
          <t>Exam 2</t>
        </is>
      </c>
      <c r="B12" s="70" t="inlineStr">
        <is>
          <t>Fall 2026</t>
        </is>
      </c>
      <c r="C12" s="70" t="inlineStr">
        <is>
          <t>Module 4 - Burns</t>
        </is>
      </c>
      <c r="D12" s="70" t="n"/>
      <c r="E12" s="70" t="inlineStr">
        <is>
          <t>Exam prep (LSC)</t>
        </is>
      </c>
      <c r="F12" s="106">
        <f>HYPERLINK("https://drive.google.com/file/d/1WZx7Rxzq6B3C-ZWqFQrx5YWyim_R72Qg/view","▶  Watch")</f>
        <v/>
      </c>
      <c r="G12" s="70" t="inlineStr">
        <is>
          <t>Topic: Module 4 - Burns</t>
        </is>
      </c>
      <c r="H12" s="104" t="inlineStr">
        <is>
          <t>Exam prep (LSC)</t>
        </is>
      </c>
    </row>
    <row r="13">
      <c r="A13" s="96" t="inlineStr">
        <is>
          <t>Exam 2</t>
        </is>
      </c>
      <c r="B13" s="70" t="inlineStr">
        <is>
          <t>Fall 2026</t>
        </is>
      </c>
      <c r="C13" s="70" t="inlineStr">
        <is>
          <t>Module 5 - Endocrine I</t>
        </is>
      </c>
      <c r="D13" s="70" t="n"/>
      <c r="E13" s="70" t="inlineStr">
        <is>
          <t>Exam prep (LSC)</t>
        </is>
      </c>
      <c r="F13" s="106">
        <f>HYPERLINK("https://drive.google.com/file/d/1mjfspWMOiZAzGk5-bumBiaGCLj95N87j/view","▶  Watch")</f>
        <v/>
      </c>
      <c r="G13" s="70" t="inlineStr">
        <is>
          <t>Topic: Module 5 - Endocrine I</t>
        </is>
      </c>
      <c r="H13" s="104" t="inlineStr">
        <is>
          <t>Exam prep (LSC)</t>
        </is>
      </c>
    </row>
    <row r="14">
      <c r="A14" s="96" t="inlineStr">
        <is>
          <t>Exam 2</t>
        </is>
      </c>
      <c r="B14" s="70" t="inlineStr">
        <is>
          <t>Fall 2026</t>
        </is>
      </c>
      <c r="C14" s="70" t="inlineStr">
        <is>
          <t>Module 6 - Endocrine II</t>
        </is>
      </c>
      <c r="D14" s="70" t="n"/>
      <c r="E14" s="70" t="inlineStr">
        <is>
          <t>Exam prep (LSC)</t>
        </is>
      </c>
      <c r="F14" s="106">
        <f>HYPERLINK("https://drive.google.com/file/d/10hWqRgn1ai3FbbYdCkSnrix99pd6LGxY/view","▶  Watch")</f>
        <v/>
      </c>
      <c r="G14" s="70" t="inlineStr">
        <is>
          <t>LSC exam prep, 65:02 (the course lists it under Module 6). Uploaded 6 Oct as "lsc unknown" (660 MB). Presenter: Dr Clancey Sollis (LSC) - your screenshot of the Zoom player shows "NUR258 Endocrine II (DM)", Dr. Clancey Sollis, recorded 18 May 2026.</t>
        </is>
      </c>
      <c r="H14" s="104" t="n"/>
    </row>
    <row r="15">
      <c r="A15" s="96" t="inlineStr">
        <is>
          <t>Exam 2</t>
        </is>
      </c>
      <c r="B15" s="70" t="inlineStr">
        <is>
          <t>Fall 2026</t>
        </is>
      </c>
      <c r="C15" s="70" t="inlineStr">
        <is>
          <t>Module 6 - Endocrine II (earlier capture, 28 Sep)</t>
        </is>
      </c>
      <c r="D15" s="70" t="n"/>
      <c r="E15" s="70" t="inlineStr">
        <is>
          <t>Exam prep (LSC)</t>
        </is>
      </c>
      <c r="F15" s="106">
        <f>HYPERLINK("https://drive.google.com/file/d/1MZ29HI1AnTkPslMyyyfGRPDlzlHHmXZI/view","▶  Watch")</f>
        <v/>
      </c>
      <c r="G15" s="70" t="inlineStr">
        <is>
          <t>Same session, the recovered 28 Sep screen recording (188 MB). Was filed under Module 5 before 6 Oct.</t>
        </is>
      </c>
      <c r="H15" s="104" t="n"/>
    </row>
    <row r="16">
      <c r="A16" s="96" t="n"/>
      <c r="B16" s="70" t="n"/>
      <c r="C16" s="70" t="n"/>
      <c r="D16" s="70" t="n"/>
      <c r="E16" s="70" t="n"/>
      <c r="F16" s="106" t="n"/>
      <c r="G16" s="70" t="n"/>
      <c r="H16" s="104" t="n"/>
    </row>
    <row r="17">
      <c r="A17" s="97" t="n"/>
      <c r="B17" s="98" t="n"/>
      <c r="C17" s="98" t="n"/>
      <c r="D17" s="98" t="n"/>
      <c r="E17" s="98" t="n"/>
      <c r="F17" s="98" t="n"/>
      <c r="G17" s="98" t="n"/>
    </row>
    <row r="18">
      <c r="A18" s="96" t="n"/>
      <c r="B18" s="70" t="n"/>
      <c r="C18" s="70" t="n"/>
      <c r="D18" s="70" t="n"/>
      <c r="E18" s="70" t="n"/>
      <c r="F18" s="70" t="n"/>
      <c r="G18" s="70"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0" t="inlineStr">
        <is>
          <t>Prior term</t>
        </is>
      </c>
      <c r="C20" s="70" t="inlineStr">
        <is>
          <t>Halecka Final Exam Review, Day 1 (Week 14)</t>
        </is>
      </c>
      <c r="D20" s="70" t="inlineStr">
        <is>
          <t>Halecka</t>
        </is>
      </c>
      <c r="E20" s="70" t="inlineStr">
        <is>
          <t>Video</t>
        </is>
      </c>
      <c r="F20" s="69">
        <f>HYPERLINK("https://drive.google.com/file/d/1zheVM3ofPwCJemSeusWnGIrJT3d4bRfa/view","▶  Watch")</f>
        <v/>
      </c>
      <c r="G20" s="70"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0" t="inlineStr">
        <is>
          <t>Prior term</t>
        </is>
      </c>
      <c r="C22" s="70" t="inlineStr">
        <is>
          <t>Wagner Final Exam Review, Day 1 (Week 14)</t>
        </is>
      </c>
      <c r="D22" s="70" t="inlineStr">
        <is>
          <t>Wagner</t>
        </is>
      </c>
      <c r="E22" s="70" t="inlineStr">
        <is>
          <t>Video</t>
        </is>
      </c>
      <c r="F22" s="69">
        <f>HYPERLINK("https://drive.google.com/file/d/1pLrCvbUjn93RV7Q_nSdHShteocDWpKLS/view","▶  Watch")</f>
        <v/>
      </c>
      <c r="G22" s="70"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0" t="n"/>
      <c r="B25" s="100" t="n"/>
      <c r="C25" s="100" t="n"/>
      <c r="D25" s="100" t="n"/>
      <c r="E25" s="100" t="n"/>
      <c r="F25" s="100" t="n"/>
      <c r="G25" s="100" t="n"/>
    </row>
    <row r="26" ht="15.75" customHeight="1" s="115">
      <c r="A26" s="100" t="n"/>
      <c r="B26" s="100" t="n"/>
      <c r="C26" s="100" t="n"/>
      <c r="D26" s="100" t="n"/>
      <c r="E26" s="100" t="n"/>
      <c r="F26" s="100" t="n"/>
      <c r="G26" s="100" t="n"/>
    </row>
    <row r="27" ht="15.75" customHeight="1" s="115">
      <c r="A27" s="100" t="n"/>
      <c r="B27" s="100" t="n"/>
      <c r="C27" s="100" t="n"/>
      <c r="D27" s="100" t="n"/>
      <c r="E27" s="100" t="n"/>
      <c r="F27" s="100" t="n"/>
      <c r="G27" s="100"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5" t="n"/>
      <c r="B33" s="5" t="n"/>
      <c r="C33" s="5" t="n"/>
      <c r="D33" s="5" t="n"/>
      <c r="E33" s="5" t="n"/>
      <c r="F33" s="5" t="n"/>
      <c r="G33" s="5" t="n"/>
    </row>
    <row r="34" ht="15.75" customHeight="1" s="115">
      <c r="A34" s="5" t="n"/>
      <c r="B34" s="5" t="n"/>
      <c r="C34" s="5" t="n"/>
      <c r="D34" s="5" t="n"/>
      <c r="E34" s="5" t="n"/>
      <c r="F34" s="5" t="n"/>
      <c r="G34" s="5" t="n"/>
    </row>
    <row r="35" ht="15.75" customHeight="1" s="115">
      <c r="A35" s="5" t="n"/>
      <c r="B35" s="5" t="n"/>
      <c r="C35" s="5" t="n"/>
      <c r="D35" s="5" t="n"/>
      <c r="E35" s="5" t="n"/>
      <c r="F35" s="5" t="n"/>
      <c r="G35" s="5"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5" t="n"/>
      <c r="B40" s="5" t="n"/>
      <c r="C40" s="5" t="n"/>
      <c r="D40" s="5" t="n"/>
      <c r="E40" s="5" t="n"/>
      <c r="F40" s="5" t="n"/>
      <c r="G40" s="5"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outlineLevelCol="0"/>
  <cols>
    <col width="12" customWidth="1" style="115" min="1" max="1"/>
    <col width="10" customWidth="1" style="115" min="2" max="2"/>
    <col width="14" customWidth="1" style="115" min="3" max="4"/>
    <col width="20" customWidth="1" style="115" min="5" max="5"/>
    <col hidden="1" width="28" customWidth="1" style="115" min="6" max="6"/>
    <col width="81.70999999999999" customWidth="1" style="115" min="7" max="7"/>
  </cols>
  <sheetData>
    <row r="1">
      <c r="A1" s="92" t="inlineStr">
        <is>
          <t>NUR258  ·  Review videos (SimpleNursing, LevelUpRN)</t>
        </is>
      </c>
    </row>
    <row r="2">
      <c r="A2" s="9" t="inlineStr">
        <is>
          <t>NUR234</t>
        </is>
      </c>
      <c r="B2" s="9" t="inlineStr">
        <is>
          <t>NUR235</t>
        </is>
      </c>
      <c r="C2" s="13" t="inlineStr">
        <is>
          <t>NUR258</t>
        </is>
      </c>
      <c r="D2" s="16" t="inlineStr">
        <is>
          <t>🏠 START HERE</t>
        </is>
      </c>
      <c r="E2" s="15" t="inlineStr">
        <is>
          <t>📥 Sort me</t>
        </is>
      </c>
      <c r="F2" s="17" t="n"/>
      <c r="G2" s="17" t="n"/>
    </row>
    <row r="3">
      <c r="A3" s="18" t="inlineStr">
        <is>
          <t>Halecka</t>
        </is>
      </c>
      <c r="B3" s="18" t="inlineStr">
        <is>
          <t>Wagner</t>
        </is>
      </c>
      <c r="C3" s="18" t="inlineStr">
        <is>
          <t>Simmons</t>
        </is>
      </c>
      <c r="D3" s="18" t="inlineStr">
        <is>
          <t>Exams</t>
        </is>
      </c>
      <c r="E3" s="18">
        <f>HYPERLINK('START HERE'!$B$36,"Zoom")</f>
        <v/>
      </c>
      <c r="F3" s="94" t="inlineStr">
        <is>
          <t>Review videos</t>
        </is>
      </c>
      <c r="G3" s="17" t="n"/>
    </row>
    <row r="4">
      <c r="A4" s="17" t="n"/>
      <c r="B4" s="17" t="n"/>
      <c r="C4" s="17" t="n"/>
      <c r="D4" s="17" t="n"/>
      <c r="E4" s="17" t="n"/>
      <c r="F4" s="17" t="n"/>
      <c r="G4" s="17"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3</t>
        </is>
      </c>
      <c r="B6" s="96" t="n"/>
      <c r="C6" s="70" t="inlineStr">
        <is>
          <t>Fall 2026</t>
        </is>
      </c>
      <c r="D6" s="70" t="inlineStr">
        <is>
          <t>SimpleNursing</t>
        </is>
      </c>
      <c r="E6" s="69">
        <f>HYPERLINK("https://drive.google.com/file/d/1hbV2RuRJi4j1z8RSVC3GFpl7T67Tr4gq/view","▶  Watch")</f>
        <v/>
      </c>
      <c r="F6" s="70" t="inlineStr">
        <is>
          <t>NUR258_Fall2026_SimpleNursing_Wk03_DayNA_Systemic lupus erythematosus (topic from the speech index).mp4</t>
        </is>
      </c>
      <c r="G6" s="70" t="inlineStr">
        <is>
          <t>Systemic lupus erythematosus (topic from the speech index)</t>
        </is>
      </c>
    </row>
    <row r="7">
      <c r="A7" s="96" t="inlineStr">
        <is>
          <t>Week 3</t>
        </is>
      </c>
      <c r="B7" s="96" t="n"/>
      <c r="C7" s="70" t="inlineStr">
        <is>
          <t>Fall 2026</t>
        </is>
      </c>
      <c r="D7" s="70" t="inlineStr">
        <is>
          <t>SimpleNursing</t>
        </is>
      </c>
      <c r="E7" s="69">
        <f>HYPERLINK("https://drive.google.com/file/d/1LPzU5sI1ldTy5n1rFyHCgX171oL_bBFI/view","▶  Watch")</f>
        <v/>
      </c>
      <c r="F7" s="70" t="inlineStr">
        <is>
          <t>NUR258_Fall2026_SimpleNursing_Wk03_DayNA_Immunology - anaphylactic shock, HIV, lupus, RA, TB, scleroderma.mp4</t>
        </is>
      </c>
      <c r="G7" s="70" t="inlineStr">
        <is>
          <t>Immunology - anaphylactic shock, HIV, lupus, RA, TB, scleroderma, Sjogren's (HIV and TB are Module 2)</t>
        </is>
      </c>
    </row>
    <row r="8">
      <c r="A8" s="96" t="inlineStr">
        <is>
          <t>Week 4</t>
        </is>
      </c>
      <c r="B8" s="96" t="n"/>
      <c r="C8" s="70" t="inlineStr">
        <is>
          <t>Fall 2026</t>
        </is>
      </c>
      <c r="D8" s="70" t="inlineStr">
        <is>
          <t>SimpleNursing</t>
        </is>
      </c>
      <c r="E8" s="69">
        <f>HYPERLINK("https://drive.google.com/file/d/1xFaaTKD3YFGBVm5VsXicl6YBJ9mGOSas/view","▶  Watch")</f>
        <v/>
      </c>
      <c r="F8" s="70" t="inlineStr">
        <is>
          <t>NUR258_Fall2026_SimpleNursing_Wk04_DayNA_Burns.mp4</t>
        </is>
      </c>
      <c r="G8" s="70" t="inlineStr">
        <is>
          <t>Burns</t>
        </is>
      </c>
    </row>
    <row r="9">
      <c r="A9" s="96" t="inlineStr">
        <is>
          <t>Week 5</t>
        </is>
      </c>
      <c r="B9" s="96" t="n"/>
      <c r="C9" s="70" t="inlineStr">
        <is>
          <t>Fall 2026</t>
        </is>
      </c>
      <c r="D9" s="70" t="inlineStr">
        <is>
          <t>SimpleNursing</t>
        </is>
      </c>
      <c r="E9" s="69">
        <f>HYPERLINK("https://drive.google.com/file/d/1nxH_cDpLrnzakw8o7bN36vnLd_ha75al/view","▶  Watch")</f>
        <v/>
      </c>
      <c r="F9" s="70" t="inlineStr">
        <is>
          <t>NUR258_Fall2026_SimpleNursing_Wk05_DayNA_Hyperaldosteronism (Conn syndrome).mp4</t>
        </is>
      </c>
      <c r="G9" s="70" t="inlineStr">
        <is>
          <t>Hyperaldosteronism (Conn syndrome)</t>
        </is>
      </c>
    </row>
    <row r="10">
      <c r="A10" s="96" t="inlineStr">
        <is>
          <t>Week 5</t>
        </is>
      </c>
      <c r="B10" s="96" t="n"/>
      <c r="C10" s="70" t="inlineStr">
        <is>
          <t>Fall 2026</t>
        </is>
      </c>
      <c r="D10" s="70" t="inlineStr">
        <is>
          <t>SimpleNursing</t>
        </is>
      </c>
      <c r="E10" s="69">
        <f>HYPERLINK("https://drive.google.com/file/d/1QhxY_crUQQ2sLjpa68p_y2FdP2sSIhA0/view","▶  Watch")</f>
        <v/>
      </c>
      <c r="F10" s="70" t="inlineStr">
        <is>
          <t>NUR258_Fall2026_SimpleNursing_Wk05_DayNA_Addison disease vs Cushing syndrome.mp4</t>
        </is>
      </c>
      <c r="G10" s="70" t="inlineStr">
        <is>
          <t>Addison disease vs Cushing syndrome</t>
        </is>
      </c>
    </row>
    <row r="11">
      <c r="A11" s="96" t="inlineStr">
        <is>
          <t>Week 5</t>
        </is>
      </c>
      <c r="B11" s="96" t="n"/>
      <c r="C11" s="70" t="inlineStr">
        <is>
          <t>Fall 2026</t>
        </is>
      </c>
      <c r="D11" s="70" t="inlineStr">
        <is>
          <t>SimpleNursing</t>
        </is>
      </c>
      <c r="E11" s="69">
        <f>HYPERLINK("https://drive.google.com/file/d/14cjZK-1vrJGBTADaYMOQ6gv_RxPAaX7S/view","▶  Watch")</f>
        <v/>
      </c>
      <c r="F11" s="70" t="inlineStr">
        <is>
          <t>NUR258_Fall2026_SimpleNursing_Wk05_DayNA_Hyper and hypoparathyroidism.mp4</t>
        </is>
      </c>
      <c r="G11" s="70" t="inlineStr">
        <is>
          <t>Hyper and hypoparathyroidism</t>
        </is>
      </c>
    </row>
    <row r="12">
      <c r="A12" s="96" t="inlineStr">
        <is>
          <t>Week 5</t>
        </is>
      </c>
      <c r="B12" s="96" t="n"/>
      <c r="C12" s="70" t="inlineStr">
        <is>
          <t>Fall 2026</t>
        </is>
      </c>
      <c r="D12" s="70" t="inlineStr">
        <is>
          <t>SimpleNursing</t>
        </is>
      </c>
      <c r="E12" s="69">
        <f>HYPERLINK("https://drive.google.com/file/d/1QEq4SvJf3U2LZ63l72AhghPUZkoCXImG/view","▶  Watch")</f>
        <v/>
      </c>
      <c r="F12" s="70" t="inlineStr">
        <is>
          <t>NUR258_Fall2026_SimpleNursing_Wk05_DayNA_Hyper vs hypothyroidism.mp4</t>
        </is>
      </c>
      <c r="G12" s="70" t="inlineStr">
        <is>
          <t>Hyper vs hypothyroidism</t>
        </is>
      </c>
    </row>
    <row r="13">
      <c r="A13" s="96" t="inlineStr">
        <is>
          <t>Week 5</t>
        </is>
      </c>
      <c r="B13" s="96" t="n"/>
      <c r="C13" s="70" t="inlineStr">
        <is>
          <t>Fall 2026</t>
        </is>
      </c>
      <c r="D13" s="70" t="inlineStr">
        <is>
          <t>SimpleNursing</t>
        </is>
      </c>
      <c r="E13" s="69">
        <f>HYPERLINK("https://drive.google.com/file/d/1y2Tf9dK-l0P6h3GRJZp3gKA0o5UPftHv/view","▶  Watch")</f>
        <v/>
      </c>
      <c r="F13" s="70" t="inlineStr">
        <is>
          <t>NUR258_Fall2026_SimpleNursing_Wk05_DayNA_Thyroid hormones and overview.mp4</t>
        </is>
      </c>
      <c r="G13" s="70" t="inlineStr">
        <is>
          <t>Thyroid hormones and overview</t>
        </is>
      </c>
    </row>
    <row r="14">
      <c r="A14" s="96" t="inlineStr">
        <is>
          <t>Week 5</t>
        </is>
      </c>
      <c r="B14" s="96" t="n"/>
      <c r="C14" s="70" t="inlineStr">
        <is>
          <t>Fall 2026</t>
        </is>
      </c>
      <c r="D14" s="70" t="inlineStr">
        <is>
          <t>SimpleNursing</t>
        </is>
      </c>
      <c r="E14" s="69">
        <f>HYPERLINK("https://drive.google.com/file/d/1E7h9gkc_Tul2lltgqu3T7nPxEWZFDJOu/view","▶  Watch")</f>
        <v/>
      </c>
      <c r="F14" s="70" t="inlineStr">
        <is>
          <t>NUR258_Fall2026_SimpleNursing_Wk05_DayNA_Thyroid storm and hypothyroidism - short clip (topic from the speech index).mp4</t>
        </is>
      </c>
      <c r="G14" s="70" t="inlineStr">
        <is>
          <t>Thyroid storm and hypothyroidism - short clip (topic from the speech index)</t>
        </is>
      </c>
    </row>
    <row r="15">
      <c r="A15" s="96" t="inlineStr">
        <is>
          <t>Week 5</t>
        </is>
      </c>
      <c r="B15" s="96" t="n"/>
      <c r="C15" s="70" t="inlineStr">
        <is>
          <t>Fall 2026</t>
        </is>
      </c>
      <c r="D15" s="70" t="inlineStr">
        <is>
          <t>SimpleNursing</t>
        </is>
      </c>
      <c r="E15" s="69">
        <f>HYPERLINK("https://drive.google.com/file/d/1zJBJ93oBwadLTji0pdHnWObc2asIXuu4/view","▶  Watch")</f>
        <v/>
      </c>
      <c r="F15" s="70" t="inlineStr">
        <is>
          <t>NUR258_Fall2026_SimpleNursing_Wk05_DayNA_SIADH vs diabetes insipidus (topic from the speech index).mp4</t>
        </is>
      </c>
      <c r="G15" s="70" t="inlineStr">
        <is>
          <t>SIADH vs diabetes insipidus (topic from the speech index)</t>
        </is>
      </c>
    </row>
    <row r="16">
      <c r="A16" s="96" t="inlineStr">
        <is>
          <t>Week 5</t>
        </is>
      </c>
      <c r="B16" s="96" t="n"/>
      <c r="C16" s="70" t="inlineStr">
        <is>
          <t>Fall 2026</t>
        </is>
      </c>
      <c r="D16" s="70" t="inlineStr">
        <is>
          <t>SimpleNursing</t>
        </is>
      </c>
      <c r="E16" s="69">
        <f>HYPERLINK("https://drive.google.com/file/d/1hpAB0VaO-QxB5fNoqDz-3vFgHwAdwI-M/view","▶  Watch")</f>
        <v/>
      </c>
      <c r="F16" s="70" t="inlineStr">
        <is>
          <t>NUR258_Fall2026_SimpleNursing_Wk05_DayNA_Adrenal - Addison disease, Addisonian crisis and Cushing syndrome.mp4</t>
        </is>
      </c>
      <c r="G16" s="70" t="inlineStr">
        <is>
          <t>Adrenal - Addison disease, Addisonian crisis and Cushing syndrome</t>
        </is>
      </c>
    </row>
    <row r="17">
      <c r="A17" s="96" t="inlineStr">
        <is>
          <t>Week 6</t>
        </is>
      </c>
      <c r="B17" s="96" t="n"/>
      <c r="C17" s="70" t="inlineStr">
        <is>
          <t>Fall 2026</t>
        </is>
      </c>
      <c r="D17" s="70" t="inlineStr">
        <is>
          <t>SimpleNursing</t>
        </is>
      </c>
      <c r="E17" s="69">
        <f>HYPERLINK("https://drive.google.com/file/d/1bCZtcMyejU83Tq7RvzkLiD0KLR5wtDOk/view","▶  Watch")</f>
        <v/>
      </c>
      <c r="F17" s="70" t="inlineStr">
        <is>
          <t>NUR258_Fall2026_SimpleNursing_Wk06_DayNA_Diabetes - DKA vs HHS.mp4</t>
        </is>
      </c>
      <c r="G17" s="70" t="inlineStr">
        <is>
          <t>Diabetes - DKA vs HHS</t>
        </is>
      </c>
    </row>
    <row r="18">
      <c r="A18" s="96" t="inlineStr">
        <is>
          <t>Week 6</t>
        </is>
      </c>
      <c r="B18" s="96" t="n"/>
      <c r="C18" s="70" t="inlineStr">
        <is>
          <t>Fall 2026</t>
        </is>
      </c>
      <c r="D18" s="70" t="inlineStr">
        <is>
          <t>SimpleNursing</t>
        </is>
      </c>
      <c r="E18" s="69">
        <f>HYPERLINK("https://drive.google.com/file/d/1sa-WbsyJnZ6fvirpn9e1kYU_EddpfQFL/view","▶  Watch")</f>
        <v/>
      </c>
      <c r="F18" s="70" t="inlineStr">
        <is>
          <t>NUR258_Fall2026_SimpleNursing_Wk06_DayNA_Diabetes overview - insulin, management and complications.mp4</t>
        </is>
      </c>
      <c r="G18" s="70" t="inlineStr">
        <is>
          <t>Diabetes overview - insulin, management and complications</t>
        </is>
      </c>
    </row>
    <row r="19">
      <c r="A19" s="96" t="inlineStr">
        <is>
          <t>Week 7</t>
        </is>
      </c>
      <c r="B19" s="96" t="n"/>
      <c r="C19" s="70" t="inlineStr">
        <is>
          <t>Fall 2026</t>
        </is>
      </c>
      <c r="D19" s="70" t="inlineStr">
        <is>
          <t>SimpleNursing</t>
        </is>
      </c>
      <c r="E19" s="69">
        <f>HYPERLINK("https://drive.google.com/file/d/1eFvyj5bgw2NDc5sMW3P43Mr9dbGCi3cS/view","▶  Watch")</f>
        <v/>
      </c>
      <c r="F19" s="70" t="inlineStr">
        <is>
          <t>NUR258_Fall2026_SimpleNursing_Wk07_DayNA_CNS and PNS.mp4</t>
        </is>
      </c>
      <c r="G19" s="70" t="inlineStr">
        <is>
          <t>CNS and PNS - MS, myasthenia gravis, ALS, Alzheimer's, GBS (Module 8) and seizures (Module 7)</t>
        </is>
      </c>
    </row>
    <row r="20">
      <c r="A20" s="96" t="inlineStr">
        <is>
          <t>Week 11</t>
        </is>
      </c>
      <c r="B20" s="96" t="n"/>
      <c r="C20" s="70" t="inlineStr">
        <is>
          <t>Fall 2026</t>
        </is>
      </c>
      <c r="D20" s="70" t="inlineStr">
        <is>
          <t>SimpleNursing</t>
        </is>
      </c>
      <c r="E20" s="69">
        <f>HYPERLINK("https://drive.google.com/file/d/1_Nt_5omZmJGHRkJwHCoucZVyRDEtSCLC/view","▶  Watch")</f>
        <v/>
      </c>
      <c r="F20" s="70" t="inlineStr">
        <is>
          <t>NUR258_Fall2026_SimpleNursing_Wk11_DayNA_Sexually transmitted infections (topic from the speech index).mp4</t>
        </is>
      </c>
      <c r="G20" s="70" t="inlineStr">
        <is>
          <t>Sexually transmitted infections (topic from the speech index)</t>
        </is>
      </c>
    </row>
    <row r="21" ht="15.75" customHeight="1" s="115">
      <c r="A21" s="96" t="inlineStr">
        <is>
          <t>Week 11</t>
        </is>
      </c>
      <c r="B21" s="96" t="n"/>
      <c r="C21" s="70" t="inlineStr">
        <is>
          <t>Fall 2026</t>
        </is>
      </c>
      <c r="D21" s="70" t="inlineStr">
        <is>
          <t>SimpleNursing</t>
        </is>
      </c>
      <c r="E21" s="69">
        <f>HYPERLINK("https://drive.google.com/file/d/1Cb2ybB2OSpOmZ1YZHb53AXo7og2QdGOe/view","▶  Watch")</f>
        <v/>
      </c>
      <c r="F21" s="70" t="inlineStr">
        <is>
          <t>NUR258_Fall2026_SimpleNursing_Wk11_DayNA_Reproductive cancers - prostate, testicular, breast (topic from the speech index).mp4</t>
        </is>
      </c>
      <c r="G21" s="70" t="inlineStr">
        <is>
          <t>Reproductive cancers - prostate, testicular, breast (topic from the speech index)</t>
        </is>
      </c>
    </row>
    <row r="22" ht="15.75" customHeight="1" s="115">
      <c r="A22" s="96" t="n"/>
      <c r="B22" s="96" t="n"/>
      <c r="C22" s="70" t="n"/>
      <c r="D22" s="70" t="n"/>
      <c r="E22" s="103" t="n"/>
      <c r="F22" s="70" t="n"/>
      <c r="G22" s="70" t="n"/>
    </row>
    <row r="23" ht="15.75" customHeight="1" s="115">
      <c r="A23" s="97" t="n"/>
      <c r="B23" s="97" t="n"/>
      <c r="C23" s="98" t="n"/>
      <c r="D23" s="98" t="n"/>
      <c r="E23" s="105" t="n"/>
      <c r="F23" s="98" t="n"/>
      <c r="G23" s="98" t="n"/>
    </row>
    <row r="24" ht="15.75" customHeight="1" s="115">
      <c r="A24" s="96" t="n"/>
      <c r="B24" s="96" t="n"/>
      <c r="C24" s="70" t="n"/>
      <c r="D24" s="70" t="n"/>
      <c r="E24" s="103" t="n"/>
      <c r="F24" s="70" t="n"/>
      <c r="G24" s="70" t="n"/>
    </row>
    <row r="25" ht="15.75" customHeight="1" s="115">
      <c r="A25" s="97" t="n"/>
      <c r="B25" s="97" t="n"/>
      <c r="C25" s="98" t="n"/>
      <c r="D25" s="98" t="n"/>
      <c r="E25" s="105" t="n"/>
      <c r="F25" s="98" t="n"/>
      <c r="G25" s="98" t="n"/>
    </row>
    <row r="26" ht="15.75" customHeight="1" s="115">
      <c r="A26" s="96" t="n"/>
      <c r="B26" s="96" t="n"/>
      <c r="C26" s="70" t="n"/>
      <c r="D26" s="70" t="n"/>
      <c r="E26" s="103" t="n"/>
      <c r="F26" s="70" t="n"/>
      <c r="G26" s="70" t="n"/>
    </row>
    <row r="27" ht="15.75" customHeight="1" s="115">
      <c r="A27" s="97" t="n"/>
      <c r="B27" s="97" t="n"/>
      <c r="C27" s="98" t="n"/>
      <c r="D27" s="98" t="n"/>
      <c r="E27" s="105" t="n"/>
      <c r="F27" s="98" t="n"/>
      <c r="G27" s="98" t="n"/>
    </row>
    <row r="28" ht="15.75" customHeight="1" s="115">
      <c r="A28" s="96" t="n"/>
      <c r="B28" s="96" t="n"/>
      <c r="C28" s="70" t="n"/>
      <c r="D28" s="70" t="n"/>
      <c r="E28" s="103" t="n"/>
      <c r="F28" s="70" t="n"/>
      <c r="G28" s="70" t="n"/>
    </row>
    <row r="29" ht="15.75" customHeight="1" s="115">
      <c r="A29" s="97" t="n"/>
      <c r="B29" s="97" t="n"/>
      <c r="C29" s="98" t="n"/>
      <c r="D29" s="98" t="n"/>
      <c r="E29" s="105" t="n"/>
      <c r="F29" s="98" t="n"/>
      <c r="G29" s="98" t="n"/>
    </row>
    <row r="30" ht="15.75" customHeight="1" s="115">
      <c r="A30" s="96" t="n"/>
      <c r="B30" s="96" t="n"/>
      <c r="C30" s="70" t="n"/>
      <c r="D30" s="70" t="n"/>
      <c r="E30" s="103" t="n"/>
      <c r="F30" s="70" t="n"/>
      <c r="G30" s="70" t="n"/>
    </row>
    <row r="31" ht="15.75" customHeight="1" s="115">
      <c r="A31" s="97" t="n"/>
      <c r="B31" s="97" t="n"/>
      <c r="C31" s="98" t="n"/>
      <c r="D31" s="98" t="n"/>
      <c r="E31" s="105" t="n"/>
      <c r="F31" s="98" t="n"/>
      <c r="G31" s="98" t="n"/>
    </row>
    <row r="32" ht="15.75" customHeight="1" s="115">
      <c r="A32" s="96" t="n"/>
      <c r="B32" s="96" t="n"/>
      <c r="C32" s="70" t="n"/>
      <c r="D32" s="70" t="n"/>
      <c r="E32" s="103" t="n"/>
      <c r="F32" s="70" t="n"/>
      <c r="G32" s="70" t="n"/>
    </row>
    <row r="33" ht="15.75" customHeight="1" s="115">
      <c r="A33" s="97" t="n"/>
      <c r="B33" s="97" t="n"/>
      <c r="C33" s="98" t="n"/>
      <c r="D33" s="98" t="n"/>
      <c r="E33" s="105" t="n"/>
      <c r="F33" s="98" t="n"/>
      <c r="G33" s="98" t="n"/>
    </row>
    <row r="34" ht="15.75" customHeight="1" s="115">
      <c r="A34" s="96" t="n"/>
      <c r="B34" s="96" t="n"/>
      <c r="C34" s="70" t="n"/>
      <c r="D34" s="70" t="n"/>
      <c r="E34" s="103" t="n"/>
      <c r="F34" s="70" t="n"/>
      <c r="G34" s="70" t="n"/>
    </row>
    <row r="35" ht="15.75" customHeight="1" s="115">
      <c r="A35" s="97" t="n"/>
      <c r="B35" s="97" t="n"/>
      <c r="C35" s="98" t="n"/>
      <c r="D35" s="98" t="n"/>
      <c r="E35" s="105"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5" t="n"/>
      <c r="B41" s="5" t="n"/>
      <c r="C41" s="5" t="n"/>
      <c r="D41" s="5" t="n"/>
      <c r="E41" s="5" t="n"/>
      <c r="F41" s="5" t="n"/>
      <c r="G41" s="5" t="n"/>
    </row>
    <row r="42" ht="15.75" customHeight="1" s="115">
      <c r="A42" s="5" t="n"/>
      <c r="B42" s="5" t="n"/>
      <c r="C42" s="5" t="n"/>
      <c r="D42" s="5" t="n"/>
      <c r="E42" s="5" t="n"/>
      <c r="F42" s="5" t="n"/>
      <c r="G42" s="5" t="n"/>
    </row>
    <row r="43" ht="15.75" customHeight="1" s="115">
      <c r="A43" s="5" t="n"/>
      <c r="B43" s="5" t="n"/>
      <c r="C43" s="5" t="n"/>
      <c r="D43" s="5" t="n"/>
      <c r="E43" s="5" t="n"/>
      <c r="F43" s="5" t="n"/>
      <c r="G43" s="5" t="n"/>
    </row>
    <row r="44" ht="15.75" customHeight="1" s="115">
      <c r="A44" s="5" t="n"/>
      <c r="B44" s="5" t="n"/>
      <c r="C44" s="5" t="n"/>
      <c r="D44" s="5" t="n"/>
      <c r="E44" s="5" t="n"/>
      <c r="F44" s="5" t="n"/>
      <c r="G44" s="5" t="n"/>
    </row>
    <row r="45" ht="15.75" customHeight="1" s="115">
      <c r="A45" s="5" t="n"/>
      <c r="B45" s="5" t="n"/>
      <c r="C45" s="5" t="n"/>
      <c r="D45" s="5" t="n"/>
      <c r="E45" s="5" t="n"/>
      <c r="F45" s="5" t="n"/>
      <c r="G45" s="5" t="n"/>
    </row>
    <row r="46" ht="15.75" customHeight="1" s="115">
      <c r="A46" s="5" t="n"/>
      <c r="B46" s="5" t="n"/>
      <c r="C46" s="5" t="n"/>
      <c r="D46" s="5" t="n"/>
      <c r="E46" s="5" t="n"/>
      <c r="F46" s="5" t="n"/>
      <c r="G46" s="5" t="n"/>
    </row>
    <row r="47" ht="15.75" customHeight="1" s="115">
      <c r="A47" s="5" t="n"/>
      <c r="B47" s="5" t="n"/>
      <c r="C47" s="5" t="n"/>
      <c r="D47" s="5" t="n"/>
      <c r="E47" s="5" t="n"/>
      <c r="F47" s="5" t="n"/>
      <c r="G47" s="5" t="n"/>
    </row>
    <row r="48" ht="15.75" customHeight="1" s="115">
      <c r="A48" s="5" t="n"/>
      <c r="B48" s="5" t="n"/>
      <c r="C48" s="5" t="n"/>
      <c r="D48" s="5" t="n"/>
      <c r="E48" s="5" t="n"/>
      <c r="F48" s="5" t="n"/>
      <c r="G48" s="5" t="n"/>
    </row>
    <row r="49" ht="15.75" customHeight="1" s="115">
      <c r="A49" s="5" t="n"/>
      <c r="B49" s="5" t="n"/>
      <c r="C49" s="5" t="n"/>
      <c r="D49" s="5" t="n"/>
      <c r="E49" s="5" t="n"/>
      <c r="F49" s="5" t="n"/>
      <c r="G49" s="5" t="n"/>
    </row>
    <row r="50" ht="15.75" customHeight="1" s="115">
      <c r="A50" s="5" t="n"/>
      <c r="B50" s="5" t="n"/>
      <c r="C50" s="5" t="n"/>
      <c r="D50" s="5" t="n"/>
      <c r="E50" s="5" t="n"/>
      <c r="F50" s="5" t="n"/>
      <c r="G50" s="5" t="n"/>
    </row>
    <row r="51" ht="15.75" customHeight="1" s="115">
      <c r="A51" s="5" t="n"/>
      <c r="B51" s="5" t="n"/>
      <c r="C51" s="5" t="n"/>
      <c r="D51" s="5" t="n"/>
      <c r="E51" s="5" t="n"/>
      <c r="F51" s="5" t="n"/>
      <c r="G51" s="5" t="n"/>
    </row>
    <row r="52" ht="15.75" customHeight="1" s="115">
      <c r="A52" s="5" t="n"/>
      <c r="B52" s="5" t="n"/>
      <c r="C52" s="5" t="n"/>
      <c r="D52" s="5" t="n"/>
      <c r="E52" s="5" t="n"/>
      <c r="F52" s="5" t="n"/>
      <c r="G52" s="5" t="n"/>
    </row>
    <row r="53" ht="15.75" customHeight="1" s="115">
      <c r="A53" s="5" t="n"/>
      <c r="B53" s="5" t="n"/>
      <c r="C53" s="5" t="n"/>
      <c r="D53" s="5" t="n"/>
      <c r="E53" s="5" t="n"/>
      <c r="F53" s="5" t="n"/>
      <c r="G53" s="5" t="n"/>
    </row>
    <row r="54" ht="15.75" customHeight="1" s="115">
      <c r="A54" s="5" t="n"/>
      <c r="B54" s="5" t="n"/>
      <c r="C54" s="5" t="n"/>
      <c r="D54" s="5" t="n"/>
      <c r="E54" s="5" t="n"/>
      <c r="F54" s="5" t="n"/>
      <c r="G54" s="5" t="n"/>
    </row>
    <row r="55" ht="15.75" customHeight="1" s="115">
      <c r="A55" s="5" t="n"/>
      <c r="B55" s="5" t="n"/>
      <c r="C55" s="5" t="n"/>
      <c r="D55" s="5" t="n"/>
      <c r="E55" s="5" t="n"/>
      <c r="F55" s="5" t="n"/>
      <c r="G55" s="5" t="n"/>
    </row>
    <row r="56" ht="15.75" customHeight="1" s="115">
      <c r="A56" s="5" t="n"/>
      <c r="B56" s="5" t="n"/>
      <c r="C56" s="5" t="n"/>
      <c r="D56" s="5" t="n"/>
      <c r="E56" s="5" t="n"/>
      <c r="F56" s="5" t="n"/>
      <c r="G56" s="5" t="n"/>
    </row>
    <row r="57" ht="15.75" customHeight="1" s="115">
      <c r="A57" s="5" t="n"/>
      <c r="B57" s="5" t="n"/>
      <c r="C57" s="5" t="n"/>
      <c r="D57" s="5" t="n"/>
      <c r="E57" s="5" t="n"/>
      <c r="F57" s="5" t="n"/>
      <c r="G57" s="5" t="n"/>
    </row>
    <row r="58" ht="15.75" customHeight="1" s="115">
      <c r="A58" s="5" t="n"/>
      <c r="B58" s="5" t="n"/>
      <c r="C58" s="5" t="n"/>
      <c r="D58" s="5" t="n"/>
      <c r="E58" s="5" t="n"/>
      <c r="F58" s="5" t="n"/>
      <c r="G58" s="5"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0" t="inlineStr">
        <is>
          <t>EXAM REVIEWS  ·  other classes (NUR 198, NUR 175, BIO 290V, BIO 280V, Anatomy, Physiology, MAT 300)</t>
        </is>
      </c>
    </row>
    <row r="2">
      <c r="A2" s="9" t="inlineStr">
        <is>
          <t>NUR234</t>
        </is>
      </c>
      <c r="B2" s="11" t="inlineStr">
        <is>
          <t>NUR235</t>
        </is>
      </c>
      <c r="C2" s="9" t="inlineStr">
        <is>
          <t>NUR258</t>
        </is>
      </c>
      <c r="D2" s="16" t="inlineStr">
        <is>
          <t>🏠 START HERE</t>
        </is>
      </c>
      <c r="E2" s="15" t="inlineStr">
        <is>
          <t>📥 Sort me</t>
        </is>
      </c>
      <c r="F2" s="17" t="n"/>
      <c r="G2" s="17" t="n"/>
    </row>
    <row r="3">
      <c r="A3" s="108" t="inlineStr">
        <is>
          <t>Every exam review, exam prep and final review recording for the classes that are not in this workbook, linked to the sorted copy in the class folder.</t>
        </is>
      </c>
      <c r="B3" s="108" t="n"/>
      <c r="C3" s="108" t="n"/>
      <c r="D3" s="109" t="n"/>
      <c r="E3" s="110" t="n"/>
      <c r="F3" s="17" t="n"/>
      <c r="G3" s="17" t="n"/>
    </row>
    <row r="4">
      <c r="A4" s="17" t="n"/>
      <c r="B4" s="17" t="n"/>
      <c r="C4" s="17" t="n"/>
      <c r="D4" s="17" t="n"/>
      <c r="E4" s="17" t="n"/>
      <c r="F4" s="17" t="n"/>
      <c r="G4" s="17" t="n"/>
    </row>
    <row r="5">
      <c r="A5" s="81" t="inlineStr">
        <is>
          <t>Class</t>
        </is>
      </c>
      <c r="B5" s="81" t="inlineStr">
        <is>
          <t>Exam</t>
        </is>
      </c>
      <c r="C5" s="81" t="inlineStr">
        <is>
          <t>Recording</t>
        </is>
      </c>
      <c r="D5" s="81" t="inlineStr">
        <is>
          <t>Who</t>
        </is>
      </c>
      <c r="E5" s="81" t="inlineStr">
        <is>
          <t>Type</t>
        </is>
      </c>
      <c r="F5" s="81" t="inlineStr">
        <is>
          <t>Link</t>
        </is>
      </c>
      <c r="G5" s="81" t="inlineStr">
        <is>
          <t>Notes</t>
        </is>
      </c>
    </row>
    <row r="6">
      <c r="A6" s="82" t="inlineStr">
        <is>
          <t>NUR 198</t>
        </is>
      </c>
      <c r="B6" s="82" t="inlineStr">
        <is>
          <t>Exam 1</t>
        </is>
      </c>
      <c r="C6" s="111" t="inlineStr">
        <is>
          <t>Exam 1 Lecture - Older Adult</t>
        </is>
      </c>
      <c r="D6" s="83" t="inlineStr">
        <is>
          <t>Exam prep</t>
        </is>
      </c>
      <c r="E6" s="82" t="inlineStr">
        <is>
          <t>Video</t>
        </is>
      </c>
      <c r="F6" s="112">
        <f>HYPERLINK("https://drive.google.com/file/d/1cAp3VRFG4m3iAIc7BIx1RBqyllw1qmV4/view","▶  Watch")</f>
        <v/>
      </c>
      <c r="G6" s="111" t="inlineStr">
        <is>
          <t>Week 1</t>
        </is>
      </c>
    </row>
    <row r="7">
      <c r="A7" s="85" t="inlineStr">
        <is>
          <t>NUR 198</t>
        </is>
      </c>
      <c r="B7" s="85" t="inlineStr">
        <is>
          <t>Exam 3</t>
        </is>
      </c>
      <c r="C7" s="113" t="inlineStr">
        <is>
          <t>Practice questions review - pharm, cardiac, vascular (21 Jun)</t>
        </is>
      </c>
      <c r="D7" s="86" t="inlineStr">
        <is>
          <t>Cory Meyer</t>
        </is>
      </c>
      <c r="E7" s="85" t="inlineStr">
        <is>
          <t>Video</t>
        </is>
      </c>
      <c r="F7" s="114">
        <f>HYPERLINK("https://drive.google.com/file/d/1WH0aQydvO8PNZI_gITvrrwYAglusRTc_/view","▶  Watch")</f>
        <v/>
      </c>
      <c r="G7" s="113" t="inlineStr">
        <is>
          <t>Week 7</t>
        </is>
      </c>
    </row>
    <row r="8">
      <c r="A8" s="82" t="inlineStr">
        <is>
          <t>NUR 198</t>
        </is>
      </c>
      <c r="B8" s="82" t="inlineStr">
        <is>
          <t>Exam 4</t>
        </is>
      </c>
      <c r="C8" s="111" t="inlineStr">
        <is>
          <t>Exam 4 Review Lectures</t>
        </is>
      </c>
      <c r="D8" s="83" t="inlineStr">
        <is>
          <t>Exam prep</t>
        </is>
      </c>
      <c r="E8" s="82" t="inlineStr">
        <is>
          <t>Video</t>
        </is>
      </c>
      <c r="F8" s="112">
        <f>HYPERLINK("https://drive.google.com/file/d/1Rcbc5XpjD9VtstRy-uwhiajLf-LFzYj_/view","▶  Watch")</f>
        <v/>
      </c>
      <c r="G8" s="111" t="inlineStr">
        <is>
          <t>5.4 GB, several sessions in one file</t>
        </is>
      </c>
    </row>
    <row r="9">
      <c r="A9" s="85" t="inlineStr">
        <is>
          <t>NUR 198</t>
        </is>
      </c>
      <c r="B9" s="85" t="inlineStr">
        <is>
          <t>Exam 4</t>
        </is>
      </c>
      <c r="C9" s="113" t="inlineStr">
        <is>
          <t>Exam Prep - Renal &amp; Urinary Disorders (3 Jul)</t>
        </is>
      </c>
      <c r="D9" s="86" t="inlineStr">
        <is>
          <t>Dr Clancey-Sollis + Dr Greg</t>
        </is>
      </c>
      <c r="E9" s="85" t="inlineStr">
        <is>
          <t>Video</t>
        </is>
      </c>
      <c r="F9" s="114">
        <f>HYPERLINK("https://drive.google.com/file/d/12n_z-PNGwS16Xn2J4wZbsBS7FiHvKmfE/view","▶  Watch")</f>
        <v/>
      </c>
      <c r="G9" s="113" t="inlineStr">
        <is>
          <t>Week 9</t>
        </is>
      </c>
    </row>
    <row r="10">
      <c r="A10" s="82" t="inlineStr">
        <is>
          <t>NUR 198</t>
        </is>
      </c>
      <c r="B10" s="82" t="inlineStr">
        <is>
          <t>Exam 4</t>
        </is>
      </c>
      <c r="C10" s="111" t="inlineStr">
        <is>
          <t>Renal &amp; Urinary Disorders Review - CKD, Dialysis, Incontinence</t>
        </is>
      </c>
      <c r="D10" s="83" t="inlineStr">
        <is>
          <t>SimpleNursing</t>
        </is>
      </c>
      <c r="E10" s="82" t="inlineStr">
        <is>
          <t>Video</t>
        </is>
      </c>
      <c r="F10" s="112">
        <f>HYPERLINK("https://drive.google.com/file/d/1JAA1oQgUSK4b51Ld6ZZ6bYoZMtAgI84X/view","▶  Watch")</f>
        <v/>
      </c>
      <c r="G10" s="111" t="inlineStr">
        <is>
          <t>Week 9, YouTube capture</t>
        </is>
      </c>
    </row>
    <row r="11">
      <c r="A11" s="85" t="inlineStr">
        <is>
          <t>NUR 198</t>
        </is>
      </c>
      <c r="B11" s="85" t="inlineStr">
        <is>
          <t>Exam 5</t>
        </is>
      </c>
      <c r="C11" s="113" t="inlineStr">
        <is>
          <t>Exam 5 prep - Zoom recording 23 Jul</t>
        </is>
      </c>
      <c r="D11" s="86" t="inlineStr">
        <is>
          <t>Exam prep</t>
        </is>
      </c>
      <c r="E11" s="85" t="inlineStr">
        <is>
          <t>Video</t>
        </is>
      </c>
      <c r="F11" s="114">
        <f>HYPERLINK("https://drive.google.com/file/d/1SkLjzKER5z7mRr2w_fvhuGHYDB47FMTU/view","▶  Watch")</f>
        <v/>
      </c>
      <c r="G11" s="113" t="n"/>
    </row>
    <row r="12">
      <c r="A12" s="82" t="inlineStr">
        <is>
          <t>NUR 198</t>
        </is>
      </c>
      <c r="B12" s="82" t="inlineStr">
        <is>
          <t>Exam 5</t>
        </is>
      </c>
      <c r="C12" s="111" t="inlineStr">
        <is>
          <t>Exam 5 prep - Zoom recording 24 Jul</t>
        </is>
      </c>
      <c r="D12" s="83" t="inlineStr">
        <is>
          <t>Exam prep</t>
        </is>
      </c>
      <c r="E12" s="82" t="inlineStr">
        <is>
          <t>Video</t>
        </is>
      </c>
      <c r="F12" s="112">
        <f>HYPERLINK("https://drive.google.com/file/d/1y-zZh8NEksWdsxMUB86YaDYPwaWHbnaP/view","▶  Watch")</f>
        <v/>
      </c>
      <c r="G12" s="111" t="n"/>
    </row>
    <row r="13">
      <c r="A13" s="85" t="inlineStr">
        <is>
          <t>NUR 198</t>
        </is>
      </c>
      <c r="B13" s="85" t="inlineStr">
        <is>
          <t>Exam 5</t>
        </is>
      </c>
      <c r="C13" s="113" t="inlineStr">
        <is>
          <t>GI Disorders Full Review - Appendicitis to Pancreatitis</t>
        </is>
      </c>
      <c r="D13" s="86" t="inlineStr">
        <is>
          <t>SimpleNursing</t>
        </is>
      </c>
      <c r="E13" s="85" t="inlineStr">
        <is>
          <t>Video</t>
        </is>
      </c>
      <c r="F13" s="114">
        <f>HYPERLINK("https://drive.google.com/file/d/1Xq3mRU_jxKjkdNDgxHWNQo6kr1amPwcB/view","▶  Watch")</f>
        <v/>
      </c>
      <c r="G13" s="113" t="inlineStr">
        <is>
          <t>Week 12, YouTube capture</t>
        </is>
      </c>
    </row>
    <row r="14">
      <c r="A14" s="85" t="inlineStr">
        <is>
          <t>NUR 198</t>
        </is>
      </c>
      <c r="B14" s="85" t="inlineStr">
        <is>
          <t>Exam 5</t>
        </is>
      </c>
      <c r="C14" s="113" t="inlineStr">
        <is>
          <t>GI - Acute pancreatitis</t>
        </is>
      </c>
      <c r="D14" s="86" t="inlineStr">
        <is>
          <t>SimpleNursing</t>
        </is>
      </c>
      <c r="E14" s="85" t="inlineStr">
        <is>
          <t>Video</t>
        </is>
      </c>
      <c r="F14" s="114">
        <f>HYPERLINK("https://drive.google.com/file/d/1o8hf0Rx9OPo9z5qTgqrzR4BevugjF7JR/view","▶  Watch")</f>
        <v/>
      </c>
      <c r="G14" s="113" t="inlineStr">
        <is>
          <t>Week 12 (GI), filed 13 Oct 2026</t>
        </is>
      </c>
    </row>
    <row r="15">
      <c r="A15" s="82" t="inlineStr">
        <is>
          <t>NUR 198 ?</t>
        </is>
      </c>
      <c r="B15" s="82" t="inlineStr">
        <is>
          <t>ATI</t>
        </is>
      </c>
      <c r="C15" s="111" t="inlineStr">
        <is>
          <t>Adult health ATI practice review part 1 - shock, dialysis, asthma, electrolytes, sepsis (Sun 7 Sep)</t>
        </is>
      </c>
      <c r="D15" s="83" t="inlineStr">
        <is>
          <t>Not named</t>
        </is>
      </c>
      <c r="E15" s="82" t="inlineStr">
        <is>
          <t>Video</t>
        </is>
      </c>
      <c r="F15" s="112">
        <f>HYPERLINK("https://drive.google.com/file/d/1VwqGuxefxFmGgoQn9wZR_ctHpEO4qaSI/view","▶  Watch")</f>
        <v/>
      </c>
      <c r="G15" s="111" t="inlineStr">
        <is>
          <t>Could be NUR 258 - you tell me</t>
        </is>
      </c>
    </row>
    <row r="16">
      <c r="A16" s="85" t="inlineStr">
        <is>
          <t>NUR 198 ?</t>
        </is>
      </c>
      <c r="B16" s="85" t="inlineStr">
        <is>
          <t>ATI</t>
        </is>
      </c>
      <c r="C16" s="113" t="inlineStr">
        <is>
          <t>Adult health ATI practice review part 2 - electrolytes, respiratory (Mon 8 Sep)</t>
        </is>
      </c>
      <c r="D16" s="86" t="inlineStr">
        <is>
          <t>Not named</t>
        </is>
      </c>
      <c r="E16" s="85" t="inlineStr">
        <is>
          <t>Video</t>
        </is>
      </c>
      <c r="F16" s="114">
        <f>HYPERLINK("https://drive.google.com/file/d/17FEOKc4ndrct33Uz5cCzC3WgQ5ff-5Tl/view","▶  Watch")</f>
        <v/>
      </c>
      <c r="G16" s="113" t="inlineStr">
        <is>
          <t>Part 2 of the session above</t>
        </is>
      </c>
    </row>
    <row r="17">
      <c r="A17" s="82" t="inlineStr">
        <is>
          <t>NUR 175</t>
        </is>
      </c>
      <c r="B17" s="82" t="inlineStr">
        <is>
          <t>Pharm</t>
        </is>
      </c>
      <c r="C17" s="111" t="inlineStr">
        <is>
          <t>Review Pharmacology</t>
        </is>
      </c>
      <c r="D17" s="83" t="inlineStr">
        <is>
          <t>Wilkins</t>
        </is>
      </c>
      <c r="E17" s="82" t="inlineStr">
        <is>
          <t>Video</t>
        </is>
      </c>
      <c r="F17" s="112">
        <f>HYPERLINK("https://drive.google.com/file/d/11WezNrtsoNJiN3qI-6UBYpqm0TQwmg53/view","▶  Watch")</f>
        <v/>
      </c>
      <c r="G17" s="111" t="inlineStr">
        <is>
          <t>Spring 2026 cohort</t>
        </is>
      </c>
    </row>
    <row r="18">
      <c r="A18" s="85" t="inlineStr">
        <is>
          <t>NUR 175</t>
        </is>
      </c>
      <c r="B18" s="85" t="inlineStr">
        <is>
          <t>Final</t>
        </is>
      </c>
      <c r="C18" s="113" t="inlineStr">
        <is>
          <t>Mental Health Full Review - Psych Meds, Schizophrenia, Bipolar &amp; More</t>
        </is>
      </c>
      <c r="D18" s="86" t="inlineStr">
        <is>
          <t>SimpleNursing</t>
        </is>
      </c>
      <c r="E18" s="85" t="inlineStr">
        <is>
          <t>Video</t>
        </is>
      </c>
      <c r="F18" s="114">
        <f>HYPERLINK("https://drive.google.com/file/d/1GjskjzLlmq4xc_IHoBwi6ySUS_g_ymIC/view","▶  Watch")</f>
        <v/>
      </c>
      <c r="G18" s="113" t="inlineStr">
        <is>
          <t>YouTube capture, 1.7 GB</t>
        </is>
      </c>
    </row>
    <row r="19">
      <c r="A19" s="85" t="inlineStr">
        <is>
          <t>NUR 175</t>
        </is>
      </c>
      <c r="B19" s="85" t="inlineStr">
        <is>
          <t>Module 6</t>
        </is>
      </c>
      <c r="C19" s="113" t="inlineStr">
        <is>
          <t>Module 6 - Anger, Hostility, Aggression, Abuse, Violence</t>
        </is>
      </c>
      <c r="D19" s="86" t="inlineStr">
        <is>
          <t>Dr Corey Meyer + Dr Greg</t>
        </is>
      </c>
      <c r="E19" s="85" t="inlineStr">
        <is>
          <t>Video</t>
        </is>
      </c>
      <c r="F19" s="114">
        <f>HYPERLINK("https://drive.google.com/file/d/1s-JFTVHX7JowbxG52oebTWEyFXSAyVap/view","▶  Watch")</f>
        <v/>
      </c>
      <c r="G19" s="113" t="inlineStr">
        <is>
          <t>LSC exam prep, 88:06 on Canvas. Named from the recording's own opening caption. Phone capture 6 Oct 1:29 AM (671 MB), in Nursing School Videos.</t>
        </is>
      </c>
    </row>
    <row r="20">
      <c r="A20" s="82" t="inlineStr">
        <is>
          <t>BIO 290V</t>
        </is>
      </c>
      <c r="B20" s="82" t="inlineStr">
        <is>
          <t>Exam 1</t>
        </is>
      </c>
      <c r="C20" s="111" t="inlineStr">
        <is>
          <t>Exam prep - drugs, receptors, dosing (12 Sep 2025)</t>
        </is>
      </c>
      <c r="D20" s="83" t="inlineStr">
        <is>
          <t>Not named</t>
        </is>
      </c>
      <c r="E20" s="82" t="inlineStr">
        <is>
          <t>Video</t>
        </is>
      </c>
      <c r="F20" s="112">
        <f>HYPERLINK("https://drive.google.com/file/d/1WpniByv8x74YmS6zuxJ1jwAJaPvTTvAA/view","▶  Watch")</f>
        <v/>
      </c>
      <c r="G20" s="111" t="inlineStr">
        <is>
          <t>Week 2 screen recording</t>
        </is>
      </c>
    </row>
    <row r="21" ht="15.75" customHeight="1" s="115">
      <c r="A21" s="85" t="inlineStr">
        <is>
          <t>BIO 290V</t>
        </is>
      </c>
      <c r="B21" s="85" t="inlineStr">
        <is>
          <t>Exam 2</t>
        </is>
      </c>
      <c r="C21" s="113" t="inlineStr">
        <is>
          <t>Exam 2 Review</t>
        </is>
      </c>
      <c r="D21" s="86" t="inlineStr">
        <is>
          <t>King</t>
        </is>
      </c>
      <c r="E21" s="85" t="inlineStr">
        <is>
          <t>Video</t>
        </is>
      </c>
      <c r="F21" s="114">
        <f>HYPERLINK("https://drive.google.com/file/d/1yzddvEmfZY3CNtnQ1RSJo_XHA5G3S3ol/view","▶  Watch")</f>
        <v/>
      </c>
      <c r="G21" s="113" t="n"/>
    </row>
    <row r="22" ht="15.75" customHeight="1" s="115">
      <c r="A22" s="82" t="inlineStr">
        <is>
          <t>BIO 290V</t>
        </is>
      </c>
      <c r="B22" s="82" t="inlineStr">
        <is>
          <t>Exam 3</t>
        </is>
      </c>
      <c r="C22" s="111" t="inlineStr">
        <is>
          <t>Exam 3 Review</t>
        </is>
      </c>
      <c r="D22" s="83" t="inlineStr">
        <is>
          <t>Guerra</t>
        </is>
      </c>
      <c r="E22" s="82" t="inlineStr">
        <is>
          <t>Video</t>
        </is>
      </c>
      <c r="F22" s="112">
        <f>HYPERLINK("https://drive.google.com/file/d/1_wdvObqJojcouuKBZ-1_Xg1LlMcOeiA_/view","▶  Watch")</f>
        <v/>
      </c>
      <c r="G22" s="111" t="n"/>
    </row>
    <row r="23" ht="15.75" customHeight="1" s="115">
      <c r="A23" s="85" t="inlineStr">
        <is>
          <t>BIO 290V</t>
        </is>
      </c>
      <c r="B23" s="85" t="inlineStr">
        <is>
          <t>Exam 4</t>
        </is>
      </c>
      <c r="C23" s="113" t="inlineStr">
        <is>
          <t>Exam 4</t>
        </is>
      </c>
      <c r="D23" s="86" t="inlineStr">
        <is>
          <t>Guerra</t>
        </is>
      </c>
      <c r="E23" s="85" t="inlineStr">
        <is>
          <t>Video</t>
        </is>
      </c>
      <c r="F23" s="114">
        <f>HYPERLINK("https://drive.google.com/file/d/15gDrKfNa9XozHzbvVaTEi55TSh3mFdep/view","▶  Watch")</f>
        <v/>
      </c>
      <c r="G23" s="113" t="n"/>
    </row>
    <row r="24" ht="15.75" customHeight="1" s="115">
      <c r="A24" s="82" t="inlineStr">
        <is>
          <t>BIO 290V</t>
        </is>
      </c>
      <c r="B24" s="82" t="inlineStr">
        <is>
          <t>Exam 4</t>
        </is>
      </c>
      <c r="C24" s="111" t="inlineStr">
        <is>
          <t>Exam 4 Review</t>
        </is>
      </c>
      <c r="D24" s="83" t="inlineStr">
        <is>
          <t>Christensen</t>
        </is>
      </c>
      <c r="E24" s="82" t="inlineStr">
        <is>
          <t>Video</t>
        </is>
      </c>
      <c r="F24" s="112">
        <f>HYPERLINK("https://drive.google.com/file/d/1pFVjLbA4S81AoKMrwkfO_d-oOl3d1AyG/view","▶  Watch")</f>
        <v/>
      </c>
      <c r="G24" s="111" t="n"/>
    </row>
    <row r="25" ht="15.75" customHeight="1" s="115">
      <c r="A25" s="85" t="inlineStr">
        <is>
          <t>BIO 290V</t>
        </is>
      </c>
      <c r="B25" s="85" t="inlineStr">
        <is>
          <t>Exam 5</t>
        </is>
      </c>
      <c r="C25" s="113" t="inlineStr">
        <is>
          <t>Exam 5 Review</t>
        </is>
      </c>
      <c r="D25" s="86" t="inlineStr">
        <is>
          <t>Guerra</t>
        </is>
      </c>
      <c r="E25" s="85" t="inlineStr">
        <is>
          <t>Video</t>
        </is>
      </c>
      <c r="F25" s="114">
        <f>HYPERLINK("https://drive.google.com/file/d/1hm4Y2UGMf5umd8Djxmm9nrVz4uBSMEat/view","▶  Watch")</f>
        <v/>
      </c>
      <c r="G25" s="113" t="n"/>
    </row>
    <row r="26" ht="15.75" customHeight="1" s="115">
      <c r="A26" s="82" t="inlineStr">
        <is>
          <t>BIO 290V</t>
        </is>
      </c>
      <c r="B26" s="82" t="inlineStr">
        <is>
          <t>Exam 5</t>
        </is>
      </c>
      <c r="C26" s="111" t="inlineStr">
        <is>
          <t>Exam 5 Prep - Pharmacology Modules 8 and 9</t>
        </is>
      </c>
      <c r="D26" s="83" t="inlineStr">
        <is>
          <t>Exam prep</t>
        </is>
      </c>
      <c r="E26" s="82" t="inlineStr">
        <is>
          <t>Video</t>
        </is>
      </c>
      <c r="F26" s="112">
        <f>HYPERLINK("https://drive.google.com/file/d/12zEmpmMLDWRxVxvXWIl96bo9Js5pzC_H/view","▶  Watch")</f>
        <v/>
      </c>
      <c r="G26" s="111" t="n"/>
    </row>
    <row r="27" ht="15.75" customHeight="1" s="115">
      <c r="A27" s="85" t="inlineStr">
        <is>
          <t>BIO 290V</t>
        </is>
      </c>
      <c r="B27" s="85" t="inlineStr">
        <is>
          <t>Exam 6</t>
        </is>
      </c>
      <c r="C27" s="113" t="inlineStr">
        <is>
          <t>Exam 6 Lecture</t>
        </is>
      </c>
      <c r="D27" s="86" t="inlineStr">
        <is>
          <t>King</t>
        </is>
      </c>
      <c r="E27" s="85" t="inlineStr">
        <is>
          <t>Video</t>
        </is>
      </c>
      <c r="F27" s="114">
        <f>HYPERLINK("https://drive.google.com/file/d/1dr7UWaG5lynxtHJJbo8jI2aTBxmE37gQ/view","▶  Watch")</f>
        <v/>
      </c>
      <c r="G27" s="113" t="n"/>
    </row>
    <row r="28" ht="15.75" customHeight="1" s="115">
      <c r="A28" s="82" t="inlineStr">
        <is>
          <t>BIO 290V</t>
        </is>
      </c>
      <c r="B28" s="82" t="inlineStr">
        <is>
          <t>Exam 7</t>
        </is>
      </c>
      <c r="C28" s="111" t="inlineStr">
        <is>
          <t>Exam 7 Prep Session</t>
        </is>
      </c>
      <c r="D28" s="83" t="inlineStr">
        <is>
          <t>King</t>
        </is>
      </c>
      <c r="E28" s="82" t="inlineStr">
        <is>
          <t>Video</t>
        </is>
      </c>
      <c r="F28" s="112">
        <f>HYPERLINK("https://drive.google.com/file/d/1om7GpMMAgV490uNZcgPebM6_e3akw_Je/view","▶  Watch")</f>
        <v/>
      </c>
      <c r="G28" s="111" t="n"/>
    </row>
    <row r="29" ht="15.75" customHeight="1" s="115">
      <c r="A29" s="85" t="inlineStr">
        <is>
          <t>BIO 290V</t>
        </is>
      </c>
      <c r="B29" s="85" t="inlineStr">
        <is>
          <t>FINAL</t>
        </is>
      </c>
      <c r="C29" s="113" t="inlineStr">
        <is>
          <t>Final exam review 1</t>
        </is>
      </c>
      <c r="D29" s="86" t="inlineStr">
        <is>
          <t>Guerra</t>
        </is>
      </c>
      <c r="E29" s="85" t="inlineStr">
        <is>
          <t>Video</t>
        </is>
      </c>
      <c r="F29" s="114">
        <f>HYPERLINK("https://drive.google.com/file/d/1acOr-VH5wLsa5nifIVtkUb9T096o8-Ci/view","▶  Watch")</f>
        <v/>
      </c>
      <c r="G29" s="113" t="n"/>
    </row>
    <row r="30" ht="15.75" customHeight="1" s="115">
      <c r="A30" s="82" t="inlineStr">
        <is>
          <t>BIO 290V</t>
        </is>
      </c>
      <c r="B30" s="82" t="inlineStr">
        <is>
          <t>FINAL</t>
        </is>
      </c>
      <c r="C30" s="111" t="inlineStr">
        <is>
          <t>Final exam review 2</t>
        </is>
      </c>
      <c r="D30" s="83" t="inlineStr">
        <is>
          <t>Guerra</t>
        </is>
      </c>
      <c r="E30" s="82" t="inlineStr">
        <is>
          <t>Video</t>
        </is>
      </c>
      <c r="F30" s="112">
        <f>HYPERLINK("https://drive.google.com/file/d/1h4dE5HNtS-D_P5hQHWPpD8_uR0uJx9V4/view","▶  Watch")</f>
        <v/>
      </c>
      <c r="G30" s="111" t="n"/>
    </row>
    <row r="31" ht="15.75" customHeight="1" s="115">
      <c r="A31" s="85" t="inlineStr">
        <is>
          <t>BIO 290V</t>
        </is>
      </c>
      <c r="B31" s="85" t="inlineStr">
        <is>
          <t>FINAL</t>
        </is>
      </c>
      <c r="C31" s="113" t="inlineStr">
        <is>
          <t>Final exam review</t>
        </is>
      </c>
      <c r="D31" s="86" t="inlineStr">
        <is>
          <t>Pohl</t>
        </is>
      </c>
      <c r="E31" s="85" t="inlineStr">
        <is>
          <t>Video</t>
        </is>
      </c>
      <c r="F31" s="114">
        <f>HYPERLINK("https://drive.google.com/file/d/1afY6_3escGKEXej2K9-YaMCWdm0w3uc8/view","▶  Watch")</f>
        <v/>
      </c>
      <c r="G31" s="113" t="n"/>
    </row>
    <row r="32" ht="15.75" customHeight="1" s="115">
      <c r="A32" s="82" t="inlineStr">
        <is>
          <t>BIO 280V</t>
        </is>
      </c>
      <c r="B32" s="82" t="inlineStr">
        <is>
          <t>Exam 1</t>
        </is>
      </c>
      <c r="C32" s="111" t="inlineStr">
        <is>
          <t>Bio 280V Exam 1 Prep</t>
        </is>
      </c>
      <c r="D32" s="83" t="inlineStr">
        <is>
          <t>Exam prep</t>
        </is>
      </c>
      <c r="E32" s="82" t="inlineStr">
        <is>
          <t>Video</t>
        </is>
      </c>
      <c r="F32" s="112">
        <f>HYPERLINK("https://drive.google.com/file/d/1StGpFy32sz13JGfcY_uajmjWhjWW10n8/view","▶  Watch")</f>
        <v/>
      </c>
      <c r="G32" s="111" t="inlineStr">
        <is>
          <t>919 MB</t>
        </is>
      </c>
    </row>
    <row r="33" ht="15.75" customHeight="1" s="115">
      <c r="A33" s="85" t="inlineStr">
        <is>
          <t>BIO 280V</t>
        </is>
      </c>
      <c r="B33" s="85" t="inlineStr">
        <is>
          <t>Exam 1</t>
        </is>
      </c>
      <c r="C33" s="113" t="inlineStr">
        <is>
          <t>Exam 1 Prep Lecture</t>
        </is>
      </c>
      <c r="D33" s="86" t="inlineStr">
        <is>
          <t>Exam prep</t>
        </is>
      </c>
      <c r="E33" s="85" t="inlineStr">
        <is>
          <t>Video</t>
        </is>
      </c>
      <c r="F33" s="114">
        <f>HYPERLINK("https://drive.google.com/file/d/1nm3wWywVomKZ8twD5ZAeY1WCR-NJmbqA/view","▶  Watch")</f>
        <v/>
      </c>
      <c r="G33" s="113" t="n"/>
    </row>
    <row r="34" ht="15.75" customHeight="1" s="115">
      <c r="A34" s="82" t="inlineStr">
        <is>
          <t>BIO 280V</t>
        </is>
      </c>
      <c r="B34" s="82" t="inlineStr">
        <is>
          <t>Exam 1</t>
        </is>
      </c>
      <c r="C34" s="111" t="inlineStr">
        <is>
          <t>Exam 1 prep - screen recording 15 Sep 2025, 20:03</t>
        </is>
      </c>
      <c r="D34" s="83" t="inlineStr">
        <is>
          <t>Not named</t>
        </is>
      </c>
      <c r="E34" s="82" t="inlineStr">
        <is>
          <t>Video</t>
        </is>
      </c>
      <c r="F34" s="112">
        <f>HYPERLINK("https://drive.google.com/file/d/1Ur5_qaXldGBM-oAdDeGh7xCeXyrqtRB3/view","▶  Watch")</f>
        <v/>
      </c>
      <c r="G34" s="111" t="n"/>
    </row>
    <row r="35" ht="15.75" customHeight="1" s="115">
      <c r="A35" s="85" t="inlineStr">
        <is>
          <t>BIO 280V</t>
        </is>
      </c>
      <c r="B35" s="85" t="inlineStr">
        <is>
          <t>Exam 1</t>
        </is>
      </c>
      <c r="C35" s="113" t="inlineStr">
        <is>
          <t>Exam 1 prep - screen recording 15 Sep 2025, 20:36</t>
        </is>
      </c>
      <c r="D35" s="86" t="inlineStr">
        <is>
          <t>Not named</t>
        </is>
      </c>
      <c r="E35" s="85" t="inlineStr">
        <is>
          <t>Video</t>
        </is>
      </c>
      <c r="F35" s="114">
        <f>HYPERLINK("https://drive.google.com/file/d/19I5RittzDcpdFj67UL_zEMY6EDTPfIeS/view","▶  Watch")</f>
        <v/>
      </c>
      <c r="G35" s="113" t="n"/>
    </row>
    <row r="36" ht="15.75" customHeight="1" s="115">
      <c r="A36" s="82" t="inlineStr">
        <is>
          <t>BIO 280V</t>
        </is>
      </c>
      <c r="B36" s="82" t="inlineStr">
        <is>
          <t>Exam 2</t>
        </is>
      </c>
      <c r="C36" s="111" t="inlineStr">
        <is>
          <t>Exam 2 Lecture</t>
        </is>
      </c>
      <c r="D36" s="83" t="inlineStr">
        <is>
          <t>Exam prep</t>
        </is>
      </c>
      <c r="E36" s="82" t="inlineStr">
        <is>
          <t>Video</t>
        </is>
      </c>
      <c r="F36" s="112">
        <f>HYPERLINK("https://drive.google.com/file/d/1xEezQMx-KNmoVyLCeGcrvHeDz9ZZ9kDZ/view","▶  Watch")</f>
        <v/>
      </c>
      <c r="G36" s="111" t="inlineStr">
        <is>
          <t>2.9 GB</t>
        </is>
      </c>
    </row>
    <row r="37" ht="15.75" customHeight="1" s="115">
      <c r="A37" s="85" t="inlineStr">
        <is>
          <t>BIO 280V</t>
        </is>
      </c>
      <c r="B37" s="85" t="inlineStr">
        <is>
          <t>Exam 2</t>
        </is>
      </c>
      <c r="C37" s="113" t="inlineStr">
        <is>
          <t>Exam prep - cell injury, hypoxia, drugs (22 Sep 2025)</t>
        </is>
      </c>
      <c r="D37" s="86" t="inlineStr">
        <is>
          <t>Not named</t>
        </is>
      </c>
      <c r="E37" s="85" t="inlineStr">
        <is>
          <t>Video</t>
        </is>
      </c>
      <c r="F37" s="114">
        <f>HYPERLINK("https://drive.google.com/file/d/1nhLqtOdgUOHjQXABDMu1dQtwDse-tN0S/view","▶  Watch")</f>
        <v/>
      </c>
      <c r="G37" s="113" t="inlineStr">
        <is>
          <t>Week 4 screen recording</t>
        </is>
      </c>
    </row>
    <row r="38" ht="15.75" customHeight="1" s="115">
      <c r="A38" s="82" t="inlineStr">
        <is>
          <t>BIO 280V</t>
        </is>
      </c>
      <c r="B38" s="82" t="inlineStr">
        <is>
          <t>Exam 3</t>
        </is>
      </c>
      <c r="C38" s="111" t="inlineStr">
        <is>
          <t>Exam 3 Zoom</t>
        </is>
      </c>
      <c r="D38" s="83" t="inlineStr">
        <is>
          <t>Exam prep</t>
        </is>
      </c>
      <c r="E38" s="82" t="inlineStr">
        <is>
          <t>Video</t>
        </is>
      </c>
      <c r="F38" s="112">
        <f>HYPERLINK("https://drive.google.com/file/d/1bzs2XBpKhnDs9mkpzXQyUIqcva8Vca_9/view","▶  Watch")</f>
        <v/>
      </c>
      <c r="G38" s="111" t="n"/>
    </row>
    <row r="39" ht="15.75" customHeight="1" s="115">
      <c r="A39" s="85" t="inlineStr">
        <is>
          <t>BIO 280V</t>
        </is>
      </c>
      <c r="B39" s="85" t="inlineStr">
        <is>
          <t>Exam 3</t>
        </is>
      </c>
      <c r="C39" s="113" t="inlineStr">
        <is>
          <t>Bio280 Exam 3 Prep</t>
        </is>
      </c>
      <c r="D39" s="86" t="inlineStr">
        <is>
          <t>Exam prep</t>
        </is>
      </c>
      <c r="E39" s="85" t="inlineStr">
        <is>
          <t>Video</t>
        </is>
      </c>
      <c r="F39" s="114">
        <f>HYPERLINK("https://drive.google.com/file/d/1f6MwoICNucUfOOv7mB_X0rfGdlX0gJiU/view","▶  Watch")</f>
        <v/>
      </c>
      <c r="G39" s="113" t="inlineStr">
        <is>
          <t>1 GB</t>
        </is>
      </c>
    </row>
    <row r="40" ht="15.75" customHeight="1" s="115">
      <c r="A40" s="82" t="inlineStr">
        <is>
          <t>BIO 280V</t>
        </is>
      </c>
      <c r="B40" s="82" t="inlineStr">
        <is>
          <t>Exam 4</t>
        </is>
      </c>
      <c r="C40" s="111" t="inlineStr">
        <is>
          <t>Exam 4 prep - screen recording 26 Oct 2025</t>
        </is>
      </c>
      <c r="D40" s="83" t="inlineStr">
        <is>
          <t>Not named</t>
        </is>
      </c>
      <c r="E40" s="82" t="inlineStr">
        <is>
          <t>Video</t>
        </is>
      </c>
      <c r="F40" s="112">
        <f>HYPERLINK("https://drive.google.com/file/d/1xK-o6-XiEIM64IG_U-GFv_GNbNHEjEBL/view","▶  Watch")</f>
        <v/>
      </c>
      <c r="G40" s="111" t="n"/>
    </row>
    <row r="41" ht="15.75" customHeight="1" s="115">
      <c r="A41" s="85" t="inlineStr">
        <is>
          <t>BIO 280V</t>
        </is>
      </c>
      <c r="B41" s="85" t="inlineStr">
        <is>
          <t>Exam 5</t>
        </is>
      </c>
      <c r="C41" s="113" t="inlineStr">
        <is>
          <t>Exam 5 prep - screen recording 7 Nov 2025</t>
        </is>
      </c>
      <c r="D41" s="86" t="inlineStr">
        <is>
          <t>Not named</t>
        </is>
      </c>
      <c r="E41" s="85" t="inlineStr">
        <is>
          <t>Video</t>
        </is>
      </c>
      <c r="F41" s="114">
        <f>HYPERLINK("https://drive.google.com/file/d/19WESnmeDH52d7Z272xVo6UshjrjqDnmO/view","▶  Watch")</f>
        <v/>
      </c>
      <c r="G41" s="113" t="n"/>
    </row>
    <row r="42" ht="15.75" customHeight="1" s="115">
      <c r="A42" s="82" t="inlineStr">
        <is>
          <t>BIO 280V</t>
        </is>
      </c>
      <c r="B42" s="82" t="inlineStr">
        <is>
          <t>FINAL</t>
        </is>
      </c>
      <c r="C42" s="111" t="inlineStr">
        <is>
          <t>Final exam prep</t>
        </is>
      </c>
      <c r="D42" s="83" t="inlineStr">
        <is>
          <t>Exam prep</t>
        </is>
      </c>
      <c r="E42" s="82" t="inlineStr">
        <is>
          <t>Video</t>
        </is>
      </c>
      <c r="F42" s="112">
        <f>HYPERLINK("https://drive.google.com/file/d/116e4sUGbtET7q_r_FWaWS4E3YqOfGWI6/view","▶  Watch")</f>
        <v/>
      </c>
      <c r="G42" s="111" t="n"/>
    </row>
    <row r="43" ht="15.75" customHeight="1" s="115">
      <c r="A43" s="85" t="inlineStr">
        <is>
          <t>Anatomy</t>
        </is>
      </c>
      <c r="B43" s="85" t="inlineStr">
        <is>
          <t>Module 8</t>
        </is>
      </c>
      <c r="C43" s="113" t="inlineStr">
        <is>
          <t>Exam review</t>
        </is>
      </c>
      <c r="D43" s="86" t="inlineStr">
        <is>
          <t>Not named</t>
        </is>
      </c>
      <c r="E43" s="85" t="inlineStr">
        <is>
          <t>Video</t>
        </is>
      </c>
      <c r="F43" s="114">
        <f>HYPERLINK("https://drive.google.com/file/d/10zFKUxRWpBiNulYb_P0pOcA9T196bWRY/view","▶  Watch")</f>
        <v/>
      </c>
      <c r="G43" s="113" t="inlineStr">
        <is>
          <t>Week 8</t>
        </is>
      </c>
    </row>
    <row r="44" ht="15.75" customHeight="1" s="115">
      <c r="A44" s="82" t="inlineStr">
        <is>
          <t>Anatomy</t>
        </is>
      </c>
      <c r="B44" s="82" t="inlineStr">
        <is>
          <t>FINAL</t>
        </is>
      </c>
      <c r="C44" s="111" t="inlineStr">
        <is>
          <t>Final Review 5 August 2025</t>
        </is>
      </c>
      <c r="D44" s="83" t="inlineStr">
        <is>
          <t>Not named</t>
        </is>
      </c>
      <c r="E44" s="82" t="inlineStr">
        <is>
          <t>Video</t>
        </is>
      </c>
      <c r="F44" s="112">
        <f>HYPERLINK("https://drive.google.com/file/d/1oi_EhJSyj1T5PEM3HTnFd2aPm8pi1Yu6/view","▶  Watch")</f>
        <v/>
      </c>
      <c r="G44" s="111" t="n"/>
    </row>
    <row r="45" ht="15.75" customHeight="1" s="115">
      <c r="A45" s="85" t="inlineStr">
        <is>
          <t>Anatomy</t>
        </is>
      </c>
      <c r="B45" s="85" t="inlineStr">
        <is>
          <t>FINAL</t>
        </is>
      </c>
      <c r="C45" s="113" t="inlineStr">
        <is>
          <t>Final exam prep - screen recording 10 Aug 2025, 02:31</t>
        </is>
      </c>
      <c r="D45" s="86" t="inlineStr">
        <is>
          <t>Not named</t>
        </is>
      </c>
      <c r="E45" s="85" t="inlineStr">
        <is>
          <t>Video</t>
        </is>
      </c>
      <c r="F45" s="114">
        <f>HYPERLINK("https://drive.google.com/file/d/1jFE2tp8mgv0V-9nhg1jqA-Xx8zVi8Ez4/view","▶  Watch")</f>
        <v/>
      </c>
      <c r="G45" s="113" t="n"/>
    </row>
    <row r="46" ht="15.75" customHeight="1" s="115">
      <c r="A46" s="82" t="inlineStr">
        <is>
          <t>Anatomy</t>
        </is>
      </c>
      <c r="B46" s="82" t="inlineStr">
        <is>
          <t>FINAL</t>
        </is>
      </c>
      <c r="C46" s="111" t="inlineStr">
        <is>
          <t>Final exam prep - screen recording 12 Aug 2025, 01:43</t>
        </is>
      </c>
      <c r="D46" s="83" t="inlineStr">
        <is>
          <t>Not named</t>
        </is>
      </c>
      <c r="E46" s="82" t="inlineStr">
        <is>
          <t>Video</t>
        </is>
      </c>
      <c r="F46" s="112">
        <f>HYPERLINK("https://drive.google.com/file/d/111O_aKSsWxthGegu4uVMyUPomLdaIPhe/view","▶  Watch")</f>
        <v/>
      </c>
      <c r="G46" s="111" t="n"/>
    </row>
    <row r="47" ht="15.75" customHeight="1" s="115">
      <c r="A47" s="85" t="inlineStr">
        <is>
          <t>Anatomy</t>
        </is>
      </c>
      <c r="B47" s="85" t="inlineStr">
        <is>
          <t>FINAL</t>
        </is>
      </c>
      <c r="C47" s="113" t="inlineStr">
        <is>
          <t>Final exam prep - screen recording 12 Aug 2025, 02:12</t>
        </is>
      </c>
      <c r="D47" s="86" t="inlineStr">
        <is>
          <t>Not named</t>
        </is>
      </c>
      <c r="E47" s="85" t="inlineStr">
        <is>
          <t>Video</t>
        </is>
      </c>
      <c r="F47" s="114">
        <f>HYPERLINK("https://drive.google.com/file/d/1GBJR87x3CJbRZ0Vq-nRL4uNZKGR9nDrC/view","▶  Watch")</f>
        <v/>
      </c>
      <c r="G47" s="113" t="n"/>
    </row>
    <row r="48" ht="15.75" customHeight="1" s="115">
      <c r="A48" s="82" t="inlineStr">
        <is>
          <t>Anatomy</t>
        </is>
      </c>
      <c r="B48" s="82" t="inlineStr">
        <is>
          <t>FINAL</t>
        </is>
      </c>
      <c r="C48" s="111" t="inlineStr">
        <is>
          <t>Final exam prep - screen recording 12 Aug 2025, 22:59</t>
        </is>
      </c>
      <c r="D48" s="83" t="inlineStr">
        <is>
          <t>Not named</t>
        </is>
      </c>
      <c r="E48" s="82" t="inlineStr">
        <is>
          <t>Video</t>
        </is>
      </c>
      <c r="F48" s="112">
        <f>HYPERLINK("https://drive.google.com/file/d/12h8EGohla0Dq81dCk26DPpHsOx40V9VL/view","▶  Watch")</f>
        <v/>
      </c>
      <c r="G48" s="111" t="n"/>
    </row>
    <row r="49" ht="15.75" customHeight="1" s="115">
      <c r="A49" s="85" t="inlineStr">
        <is>
          <t>Physiology</t>
        </is>
      </c>
      <c r="B49" s="85" t="inlineStr">
        <is>
          <t>Module 10</t>
        </is>
      </c>
      <c r="C49" s="113" t="inlineStr">
        <is>
          <t>Exam Review Lecture</t>
        </is>
      </c>
      <c r="D49" s="86" t="inlineStr">
        <is>
          <t>Not named</t>
        </is>
      </c>
      <c r="E49" s="85" t="inlineStr">
        <is>
          <t>Video</t>
        </is>
      </c>
      <c r="F49" s="114">
        <f>HYPERLINK("https://drive.google.com/file/d/1UGUpXHp40ongHJunXoRhTQ0kTlTLA7Pq/view","▶  Watch")</f>
        <v/>
      </c>
      <c r="G49" s="113" t="inlineStr">
        <is>
          <t>Week 10</t>
        </is>
      </c>
    </row>
    <row r="50" ht="15.75" customHeight="1" s="115">
      <c r="A50" s="82" t="inlineStr">
        <is>
          <t>Physiology</t>
        </is>
      </c>
      <c r="B50" s="82" t="inlineStr">
        <is>
          <t>FINAL</t>
        </is>
      </c>
      <c r="C50" s="111" t="inlineStr">
        <is>
          <t>Final Exam Prep Lecture</t>
        </is>
      </c>
      <c r="D50" s="83" t="inlineStr">
        <is>
          <t>Not named</t>
        </is>
      </c>
      <c r="E50" s="82" t="inlineStr">
        <is>
          <t>Video</t>
        </is>
      </c>
      <c r="F50" s="112">
        <f>HYPERLINK("https://drive.google.com/file/d/1lWnTg0uyOq290vEkP28MvkqvJ97y5f9W/view","▶  Watch")</f>
        <v/>
      </c>
      <c r="G50" s="111" t="n"/>
    </row>
    <row r="51" ht="15.75" customHeight="1" s="115">
      <c r="A51" s="85" t="inlineStr">
        <is>
          <t>Physiology</t>
        </is>
      </c>
      <c r="B51" s="85" t="inlineStr">
        <is>
          <t>FINAL</t>
        </is>
      </c>
      <c r="C51" s="113" t="inlineStr">
        <is>
          <t>Final exam prep - screen recording 6 Aug 2025, 02:52</t>
        </is>
      </c>
      <c r="D51" s="86" t="inlineStr">
        <is>
          <t>Not named</t>
        </is>
      </c>
      <c r="E51" s="85" t="inlineStr">
        <is>
          <t>Video</t>
        </is>
      </c>
      <c r="F51" s="114">
        <f>HYPERLINK("https://drive.google.com/file/d/1z3f-a4JvsYQKFoXXjrlKhVoYD6fI2na-/view","▶  Watch")</f>
        <v/>
      </c>
      <c r="G51" s="113" t="n"/>
    </row>
    <row r="52" ht="15.75" customHeight="1" s="115">
      <c r="A52" s="82" t="inlineStr">
        <is>
          <t>Physiology</t>
        </is>
      </c>
      <c r="B52" s="82" t="inlineStr">
        <is>
          <t>FINAL</t>
        </is>
      </c>
      <c r="C52" s="111" t="inlineStr">
        <is>
          <t>Final exam prep - screen recording 6 Aug 2025, 03:31</t>
        </is>
      </c>
      <c r="D52" s="83" t="inlineStr">
        <is>
          <t>Not named</t>
        </is>
      </c>
      <c r="E52" s="82" t="inlineStr">
        <is>
          <t>Video</t>
        </is>
      </c>
      <c r="F52" s="112">
        <f>HYPERLINK("https://drive.google.com/file/d/1TL8au62OwpCJB8QvoJQPTAP3DPr2rQ9B/view","▶  Watch")</f>
        <v/>
      </c>
      <c r="G52" s="111" t="n"/>
    </row>
    <row r="53" ht="15.75" customHeight="1" s="115">
      <c r="A53" s="85" t="inlineStr">
        <is>
          <t>MAT 300</t>
        </is>
      </c>
      <c r="B53" s="85" t="inlineStr">
        <is>
          <t>Exam 1</t>
        </is>
      </c>
      <c r="C53" s="113" t="inlineStr">
        <is>
          <t>Week 7 Exam 1 Review Session</t>
        </is>
      </c>
      <c r="D53" s="86" t="inlineStr">
        <is>
          <t>Not named</t>
        </is>
      </c>
      <c r="E53" s="85" t="inlineStr">
        <is>
          <t>Video</t>
        </is>
      </c>
      <c r="F53" s="114">
        <f>HYPERLINK("https://drive.google.com/file/d/1xmpcMMEuUqaxs3rJIQPhScpMpaK6kQEZ/view","▶  Watch")</f>
        <v/>
      </c>
      <c r="G53" s="113" t="n"/>
    </row>
    <row r="54" ht="15.75" customHeight="1" s="115">
      <c r="A54" s="82" t="inlineStr">
        <is>
          <t>MAT 300</t>
        </is>
      </c>
      <c r="B54" s="82" t="inlineStr">
        <is>
          <t>FINAL</t>
        </is>
      </c>
      <c r="C54" s="111" t="inlineStr">
        <is>
          <t>Week 13 Live Session - Overview of Final Exam and Study Prep</t>
        </is>
      </c>
      <c r="D54" s="83" t="inlineStr">
        <is>
          <t>Not named</t>
        </is>
      </c>
      <c r="E54" s="82" t="inlineStr">
        <is>
          <t>Video</t>
        </is>
      </c>
      <c r="F54" s="112">
        <f>HYPERLINK("https://drive.google.com/file/d/1_R3mEoaWiDwBkg9wO_y2pz1VLP9YQkt0/view","▶  Watch")</f>
        <v/>
      </c>
      <c r="G54" s="111" t="n"/>
    </row>
    <row r="55" ht="15.75" customHeight="1" s="115">
      <c r="A55" s="85" t="inlineStr">
        <is>
          <t>MAT 300</t>
        </is>
      </c>
      <c r="B55" s="85" t="inlineStr">
        <is>
          <t>FINAL</t>
        </is>
      </c>
      <c r="C55" s="113" t="inlineStr">
        <is>
          <t>Final Exam Review Session</t>
        </is>
      </c>
      <c r="D55" s="86" t="inlineStr">
        <is>
          <t>Not named</t>
        </is>
      </c>
      <c r="E55" s="85" t="inlineStr">
        <is>
          <t>Video</t>
        </is>
      </c>
      <c r="F55" s="114">
        <f>HYPERLINK("https://drive.google.com/file/d/15iJt8VD1yRH6a94TFhQsv4XpNmoFCD-6/view","▶  Watch")</f>
        <v/>
      </c>
      <c r="G55" s="113" t="n"/>
    </row>
    <row r="56" ht="15.75" customHeight="1" s="115">
      <c r="A56" s="91" t="n"/>
      <c r="B56" s="91" t="n"/>
      <c r="C56" s="91" t="n"/>
      <c r="D56" s="91" t="n"/>
      <c r="E56" s="91" t="n"/>
      <c r="F56" s="91" t="n"/>
      <c r="G56" s="91" t="n"/>
    </row>
    <row r="57" ht="15.75" customHeight="1" s="115">
      <c r="A57" s="91" t="n"/>
      <c r="B57" s="91" t="n"/>
      <c r="C57" s="91" t="n"/>
      <c r="D57" s="91" t="n"/>
      <c r="E57" s="91" t="n"/>
      <c r="F57" s="91" t="n"/>
      <c r="G57" s="91" t="n"/>
    </row>
    <row r="58" ht="15.75" customHeight="1" s="115">
      <c r="A58" s="91" t="n"/>
      <c r="B58" s="91" t="n"/>
      <c r="C58" s="91" t="n"/>
      <c r="D58" s="91" t="n"/>
      <c r="E58" s="91" t="n"/>
      <c r="F58" s="91" t="n"/>
      <c r="G58" s="91" t="n"/>
    </row>
    <row r="59" ht="15.75" customHeight="1" s="115">
      <c r="A59" s="5" t="n"/>
      <c r="B59" s="5" t="n"/>
      <c r="C59" s="5" t="n"/>
      <c r="D59" s="5" t="n"/>
      <c r="E59" s="5" t="n"/>
      <c r="F59" s="5" t="n"/>
      <c r="G59" s="5" t="n"/>
    </row>
    <row r="60" ht="15.75" customHeight="1" s="115">
      <c r="A60" s="5" t="n"/>
      <c r="B60" s="5" t="n"/>
      <c r="C60" s="5" t="n"/>
      <c r="D60" s="5" t="n"/>
      <c r="E60" s="5" t="n"/>
      <c r="F60" s="5" t="n"/>
      <c r="G60" s="5" t="n"/>
    </row>
    <row r="61" ht="15.75" customHeight="1" s="115">
      <c r="A61" s="5" t="n"/>
      <c r="B61" s="5" t="n"/>
      <c r="C61" s="5" t="n"/>
      <c r="D61" s="5" t="n"/>
      <c r="E61" s="5" t="n"/>
      <c r="F61" s="5" t="n"/>
      <c r="G61" s="5" t="n"/>
    </row>
    <row r="62" ht="15.75" customHeight="1" s="115">
      <c r="A62" s="5" t="n"/>
      <c r="B62" s="5" t="n"/>
      <c r="C62" s="5" t="n"/>
      <c r="D62" s="5" t="n"/>
      <c r="E62" s="5" t="n"/>
      <c r="F62" s="5" t="n"/>
      <c r="G62" s="5" t="n"/>
    </row>
    <row r="63" ht="15.75" customHeight="1" s="115">
      <c r="A63" s="5" t="n"/>
      <c r="B63" s="5" t="n"/>
      <c r="C63" s="5" t="n"/>
      <c r="D63" s="5" t="n"/>
      <c r="E63" s="5" t="n"/>
      <c r="F63" s="5" t="n"/>
      <c r="G63" s="5" t="n"/>
    </row>
    <row r="64" ht="15.75" customHeight="1" s="115">
      <c r="A64" s="5" t="n"/>
      <c r="B64" s="5" t="n"/>
      <c r="C64" s="5" t="n"/>
      <c r="D64" s="5" t="n"/>
      <c r="E64" s="5" t="n"/>
      <c r="F64" s="5" t="n"/>
      <c r="G64" s="5" t="n"/>
    </row>
    <row r="65" ht="15.75" customHeight="1" s="115">
      <c r="A65" s="5" t="n"/>
      <c r="B65" s="5" t="n"/>
      <c r="C65" s="5" t="n"/>
      <c r="D65" s="5" t="n"/>
      <c r="E65" s="5" t="n"/>
      <c r="F65" s="5" t="n"/>
      <c r="G65" s="5" t="n"/>
    </row>
    <row r="66" ht="15.75" customHeight="1" s="115">
      <c r="A66" s="5" t="n"/>
      <c r="B66" s="5" t="n"/>
      <c r="C66" s="5" t="n"/>
      <c r="D66" s="5" t="n"/>
      <c r="E66" s="5" t="n"/>
      <c r="F66" s="5" t="n"/>
      <c r="G66" s="5" t="n"/>
    </row>
    <row r="67" ht="15.75" customHeight="1" s="115">
      <c r="A67" s="5" t="n"/>
      <c r="B67" s="5" t="n"/>
      <c r="C67" s="5" t="n"/>
      <c r="D67" s="5" t="n"/>
      <c r="E67" s="5" t="n"/>
      <c r="F67" s="5" t="n"/>
      <c r="G67" s="5" t="n"/>
    </row>
    <row r="68" ht="15.75" customHeight="1" s="115">
      <c r="A68" s="5" t="n"/>
      <c r="B68" s="5" t="n"/>
      <c r="C68" s="5" t="n"/>
      <c r="D68" s="5" t="n"/>
      <c r="E68" s="5" t="n"/>
      <c r="F68" s="5" t="n"/>
      <c r="G68" s="5" t="n"/>
    </row>
    <row r="69" ht="15.75" customHeight="1" s="115">
      <c r="A69" s="5" t="n"/>
      <c r="B69" s="5" t="n"/>
      <c r="C69" s="5" t="n"/>
      <c r="D69" s="5" t="n"/>
      <c r="E69" s="5" t="n"/>
      <c r="F69" s="5" t="n"/>
      <c r="G69" s="5" t="n"/>
    </row>
    <row r="70" ht="15.75" customHeight="1" s="115">
      <c r="A70" s="5" t="n"/>
      <c r="B70" s="5" t="n"/>
      <c r="C70" s="5" t="n"/>
      <c r="D70" s="5" t="n"/>
      <c r="E70" s="5" t="n"/>
      <c r="F70" s="5" t="n"/>
      <c r="G70" s="5" t="n"/>
    </row>
    <row r="71" ht="15.75" customHeight="1" s="115">
      <c r="A71" s="5" t="n"/>
      <c r="B71" s="5" t="n"/>
      <c r="C71" s="5" t="n"/>
      <c r="D71" s="5" t="n"/>
      <c r="E71" s="5" t="n"/>
      <c r="F71" s="5" t="n"/>
      <c r="G71" s="5" t="n"/>
    </row>
    <row r="72" ht="15.75" customHeight="1" s="115">
      <c r="A72" s="5" t="n"/>
      <c r="B72" s="5" t="n"/>
      <c r="C72" s="5" t="n"/>
      <c r="D72" s="5" t="n"/>
      <c r="E72" s="5" t="n"/>
      <c r="F72" s="5" t="n"/>
      <c r="G72" s="5" t="n"/>
    </row>
    <row r="73" ht="15.75" customHeight="1" s="115">
      <c r="A73" s="5" t="n"/>
      <c r="B73" s="5" t="n"/>
      <c r="C73" s="5" t="n"/>
      <c r="D73" s="5" t="n"/>
      <c r="E73" s="5" t="n"/>
      <c r="F73" s="5" t="n"/>
      <c r="G73" s="5" t="n"/>
    </row>
    <row r="74" ht="15.75" customHeight="1" s="115">
      <c r="A74" s="5" t="n"/>
      <c r="B74" s="5" t="n"/>
      <c r="C74" s="5" t="n"/>
      <c r="D74" s="5" t="n"/>
      <c r="E74" s="5" t="n"/>
      <c r="F74" s="5" t="n"/>
      <c r="G74" s="5" t="n"/>
    </row>
    <row r="75" ht="15.75" customHeight="1" s="115">
      <c r="A75" s="5" t="n"/>
      <c r="B75" s="5" t="n"/>
      <c r="C75" s="5" t="n"/>
      <c r="D75" s="5" t="n"/>
      <c r="E75" s="5" t="n"/>
      <c r="F75" s="5" t="n"/>
      <c r="G75" s="5" t="n"/>
    </row>
    <row r="76" ht="15.75" customHeight="1" s="115">
      <c r="A76" s="5" t="n"/>
      <c r="B76" s="5" t="n"/>
      <c r="C76" s="5" t="n"/>
      <c r="D76" s="5" t="n"/>
      <c r="E76" s="5" t="n"/>
      <c r="F76" s="5" t="n"/>
      <c r="G76" s="5" t="n"/>
    </row>
    <row r="77" ht="15.75" customHeight="1" s="115">
      <c r="A77" s="5" t="n"/>
      <c r="B77" s="5" t="n"/>
      <c r="C77" s="5" t="n"/>
      <c r="D77" s="5" t="n"/>
      <c r="E77" s="5" t="n"/>
      <c r="F77" s="5" t="n"/>
      <c r="G77" s="5" t="n"/>
    </row>
    <row r="78" ht="15.75" customHeight="1" s="115">
      <c r="A78" s="5" t="n"/>
      <c r="B78" s="5" t="n"/>
      <c r="C78" s="5" t="n"/>
      <c r="D78" s="5" t="n"/>
      <c r="E78" s="5" t="n"/>
      <c r="F78" s="5" t="n"/>
      <c r="G78" s="5" t="n"/>
    </row>
    <row r="79" ht="15.75" customHeight="1" s="115">
      <c r="A79" s="5" t="n"/>
      <c r="B79" s="5" t="n"/>
      <c r="C79" s="5" t="n"/>
      <c r="D79" s="5" t="n"/>
      <c r="E79" s="5" t="n"/>
      <c r="F79" s="5" t="n"/>
      <c r="G79" s="5" t="n"/>
    </row>
    <row r="80" ht="15.75" customHeight="1" s="115">
      <c r="A80" s="5" t="n"/>
      <c r="B80" s="5" t="n"/>
      <c r="C80" s="5" t="n"/>
      <c r="D80" s="5" t="n"/>
      <c r="E80" s="5" t="n"/>
      <c r="F80" s="5" t="n"/>
      <c r="G80" s="5" t="n"/>
    </row>
    <row r="81" ht="15.75" customHeight="1" s="115">
      <c r="A81" s="5" t="n"/>
      <c r="B81" s="5" t="n"/>
      <c r="C81" s="5" t="n"/>
      <c r="D81" s="5" t="n"/>
      <c r="E81" s="5" t="n"/>
      <c r="F81" s="5" t="n"/>
      <c r="G81" s="5" t="n"/>
    </row>
    <row r="82" ht="15.75" customHeight="1" s="115">
      <c r="A82" s="5" t="n"/>
      <c r="B82" s="5" t="n"/>
      <c r="C82" s="5" t="n"/>
      <c r="D82" s="5" t="n"/>
      <c r="E82" s="5" t="n"/>
      <c r="F82" s="5" t="n"/>
      <c r="G82" s="5" t="n"/>
    </row>
    <row r="83" ht="15.75" customHeight="1" s="115">
      <c r="A83" s="5" t="n"/>
      <c r="B83" s="5" t="n"/>
      <c r="C83" s="5" t="n"/>
      <c r="D83" s="5" t="n"/>
      <c r="E83" s="5" t="n"/>
      <c r="F83" s="5" t="n"/>
      <c r="G83" s="5" t="n"/>
    </row>
    <row r="84" ht="15.75" customHeight="1" s="115">
      <c r="A84" s="5" t="n"/>
      <c r="B84" s="5" t="n"/>
      <c r="C84" s="5" t="n"/>
      <c r="D84" s="5" t="n"/>
      <c r="E84" s="5" t="n"/>
      <c r="F84" s="5" t="n"/>
      <c r="G84" s="5" t="n"/>
    </row>
    <row r="85" ht="15.75" customHeight="1" s="115">
      <c r="A85" s="5" t="n"/>
      <c r="B85" s="5" t="n"/>
      <c r="C85" s="5" t="n"/>
      <c r="D85" s="5" t="n"/>
      <c r="E85" s="5" t="n"/>
      <c r="F85" s="5" t="n"/>
      <c r="G85" s="5" t="n"/>
    </row>
    <row r="86" ht="15.75" customHeight="1" s="115">
      <c r="A86" s="5" t="n"/>
      <c r="B86" s="5" t="n"/>
      <c r="C86" s="5" t="n"/>
      <c r="D86" s="5" t="n"/>
      <c r="E86" s="5" t="n"/>
      <c r="F86" s="5" t="n"/>
      <c r="G86" s="5" t="n"/>
    </row>
    <row r="87" ht="15.75" customHeight="1" s="115">
      <c r="A87" s="5" t="n"/>
      <c r="B87" s="5" t="n"/>
      <c r="C87" s="5" t="n"/>
      <c r="D87" s="5" t="n"/>
      <c r="E87" s="5" t="n"/>
      <c r="F87" s="5" t="n"/>
      <c r="G87" s="5" t="n"/>
    </row>
    <row r="88" ht="15.75" customHeight="1" s="115">
      <c r="A88" s="5" t="n"/>
      <c r="B88" s="5" t="n"/>
      <c r="C88" s="5" t="n"/>
      <c r="D88" s="5" t="n"/>
      <c r="E88" s="5" t="n"/>
      <c r="F88" s="5" t="n"/>
      <c r="G88" s="5" t="n"/>
    </row>
    <row r="89" ht="15.75" customHeight="1" s="115">
      <c r="A89" s="5" t="n"/>
      <c r="B89" s="5" t="n"/>
      <c r="C89" s="5" t="n"/>
      <c r="D89" s="5" t="n"/>
      <c r="E89" s="5" t="n"/>
      <c r="F89" s="5" t="n"/>
      <c r="G89" s="5" t="n"/>
    </row>
    <row r="90" ht="15.75" customHeight="1" s="115">
      <c r="A90" s="5" t="n"/>
      <c r="B90" s="5" t="n"/>
      <c r="C90" s="5" t="n"/>
      <c r="D90" s="5" t="n"/>
      <c r="E90" s="5" t="n"/>
      <c r="F90" s="5" t="n"/>
      <c r="G90" s="5" t="n"/>
    </row>
    <row r="91" ht="15.75" customHeight="1" s="115">
      <c r="A91" s="5" t="n"/>
      <c r="B91" s="5" t="n"/>
      <c r="C91" s="5" t="n"/>
      <c r="D91" s="5" t="n"/>
      <c r="E91" s="5" t="n"/>
      <c r="F91" s="5" t="n"/>
      <c r="G91" s="5" t="n"/>
    </row>
    <row r="92" ht="15.75" customHeight="1" s="115">
      <c r="A92" s="5" t="n"/>
      <c r="B92" s="5" t="n"/>
      <c r="C92" s="5" t="n"/>
      <c r="D92" s="5" t="n"/>
      <c r="E92" s="5" t="n"/>
      <c r="F92" s="5" t="n"/>
      <c r="G92" s="5" t="n"/>
    </row>
    <row r="93" ht="15.75" customHeight="1" s="115">
      <c r="A93" s="5" t="n"/>
      <c r="B93" s="5" t="n"/>
      <c r="C93" s="5" t="n"/>
      <c r="D93" s="5" t="n"/>
      <c r="E93" s="5" t="n"/>
      <c r="F93" s="5" t="n"/>
      <c r="G93" s="5" t="n"/>
    </row>
    <row r="94" ht="15.75" customHeight="1" s="115">
      <c r="A94" s="5" t="n"/>
      <c r="B94" s="5" t="n"/>
      <c r="C94" s="5" t="n"/>
      <c r="D94" s="5" t="n"/>
      <c r="E94" s="5" t="n"/>
      <c r="F94" s="5" t="n"/>
      <c r="G94" s="5" t="n"/>
    </row>
    <row r="95" ht="15.75" customHeight="1" s="115">
      <c r="A95" s="5" t="n"/>
      <c r="B95" s="5" t="n"/>
      <c r="C95" s="5" t="n"/>
      <c r="D95" s="5" t="n"/>
      <c r="E95" s="5" t="n"/>
      <c r="F95" s="5" t="n"/>
      <c r="G95" s="5" t="n"/>
    </row>
    <row r="96" ht="15.75" customHeight="1" s="115">
      <c r="A96" s="5" t="n"/>
      <c r="B96" s="5" t="n"/>
      <c r="C96" s="5" t="n"/>
      <c r="D96" s="5" t="n"/>
      <c r="E96" s="5" t="n"/>
      <c r="F96" s="5" t="n"/>
      <c r="G96" s="5" t="n"/>
    </row>
    <row r="97" ht="15.75" customHeight="1" s="115">
      <c r="A97" s="5" t="n"/>
      <c r="B97" s="5" t="n"/>
      <c r="C97" s="5" t="n"/>
      <c r="D97" s="5" t="n"/>
      <c r="E97" s="5" t="n"/>
      <c r="F97" s="5" t="n"/>
      <c r="G97" s="5" t="n"/>
    </row>
    <row r="98" ht="15.75" customHeight="1" s="115">
      <c r="A98" s="5" t="n"/>
      <c r="B98" s="5" t="n"/>
      <c r="C98" s="5" t="n"/>
      <c r="D98" s="5" t="n"/>
      <c r="E98" s="5" t="n"/>
      <c r="F98" s="5" t="n"/>
      <c r="G98" s="5" t="n"/>
    </row>
    <row r="99" ht="15.75" customHeight="1" s="115">
      <c r="A99" s="5" t="n"/>
      <c r="B99" s="5" t="n"/>
      <c r="C99" s="5" t="n"/>
      <c r="D99" s="5" t="n"/>
      <c r="E99" s="5" t="n"/>
      <c r="F99" s="5" t="n"/>
      <c r="G99" s="5" t="n"/>
    </row>
    <row r="100" ht="15.75" customHeight="1" s="115">
      <c r="A100" s="5" t="n"/>
      <c r="B100" s="5" t="n"/>
      <c r="C100" s="5" t="n"/>
      <c r="D100" s="5" t="n"/>
      <c r="E100" s="5" t="n"/>
      <c r="F100" s="5" t="n"/>
      <c r="G100" s="5" t="n"/>
    </row>
    <row r="101" ht="15.75" customHeight="1" s="115">
      <c r="A101" s="5" t="n"/>
      <c r="B101" s="5" t="n"/>
      <c r="C101" s="5" t="n"/>
      <c r="D101" s="5" t="n"/>
      <c r="E101" s="5" t="n"/>
      <c r="F101" s="5" t="n"/>
      <c r="G101" s="5" t="n"/>
    </row>
    <row r="102" ht="15.75" customHeight="1" s="115">
      <c r="A102" s="5" t="n"/>
      <c r="B102" s="5" t="n"/>
      <c r="C102" s="5" t="n"/>
      <c r="D102" s="5" t="n"/>
      <c r="E102" s="5" t="n"/>
      <c r="F102" s="5" t="n"/>
      <c r="G102" s="5" t="n"/>
    </row>
    <row r="103" ht="15.75" customHeight="1" s="115">
      <c r="A103" s="5" t="n"/>
      <c r="B103" s="5" t="n"/>
      <c r="C103" s="5" t="n"/>
      <c r="D103" s="5" t="n"/>
      <c r="E103" s="5" t="n"/>
      <c r="F103" s="5" t="n"/>
      <c r="G103" s="5" t="n"/>
    </row>
    <row r="104" ht="15.75" customHeight="1" s="115">
      <c r="A104" s="5" t="n"/>
      <c r="B104" s="5" t="n"/>
      <c r="C104" s="5" t="n"/>
      <c r="D104" s="5" t="n"/>
      <c r="E104" s="5" t="n"/>
      <c r="F104" s="5" t="n"/>
      <c r="G104" s="5" t="n"/>
    </row>
    <row r="105" ht="15.75" customHeight="1" s="115">
      <c r="A105" s="5" t="n"/>
      <c r="B105" s="5" t="n"/>
      <c r="C105" s="5" t="n"/>
      <c r="D105" s="5" t="n"/>
      <c r="E105" s="5" t="n"/>
      <c r="F105" s="5" t="n"/>
      <c r="G105" s="5" t="n"/>
    </row>
    <row r="106" ht="15.75" customHeight="1" s="115">
      <c r="A106" s="5" t="n"/>
      <c r="B106" s="5" t="n"/>
      <c r="C106" s="5" t="n"/>
      <c r="D106" s="5" t="n"/>
      <c r="E106" s="5" t="n"/>
      <c r="F106" s="5" t="n"/>
      <c r="G106" s="5" t="n"/>
    </row>
    <row r="107" ht="15.75" customHeight="1" s="115">
      <c r="A107" s="5" t="n"/>
      <c r="B107" s="5" t="n"/>
      <c r="C107" s="5" t="n"/>
      <c r="D107" s="5" t="n"/>
      <c r="E107" s="5" t="n"/>
      <c r="F107" s="5" t="n"/>
      <c r="G107" s="5" t="n"/>
    </row>
    <row r="108" ht="15.75" customHeight="1" s="115">
      <c r="A108" s="5" t="n"/>
      <c r="B108" s="5" t="n"/>
      <c r="C108" s="5" t="n"/>
      <c r="D108" s="5" t="n"/>
      <c r="E108" s="5" t="n"/>
      <c r="F108" s="5" t="n"/>
      <c r="G108" s="5" t="n"/>
    </row>
    <row r="109" ht="15.75" customHeight="1" s="115">
      <c r="A109" s="5" t="n"/>
      <c r="B109" s="5" t="n"/>
      <c r="C109" s="5" t="n"/>
      <c r="D109" s="5" t="n"/>
      <c r="E109" s="5" t="n"/>
      <c r="F109" s="5" t="n"/>
      <c r="G109" s="5" t="n"/>
    </row>
    <row r="110" ht="15.75" customHeight="1" s="115">
      <c r="A110" s="5" t="n"/>
      <c r="B110" s="5" t="n"/>
      <c r="C110" s="5" t="n"/>
      <c r="D110" s="5" t="n"/>
      <c r="E110" s="5" t="n"/>
      <c r="F110" s="5" t="n"/>
      <c r="G110" s="5" t="n"/>
    </row>
    <row r="111" ht="15.75" customHeight="1" s="115">
      <c r="A111" s="5" t="n"/>
      <c r="B111" s="5" t="n"/>
      <c r="C111" s="5" t="n"/>
      <c r="D111" s="5" t="n"/>
      <c r="E111" s="5" t="n"/>
      <c r="F111" s="5" t="n"/>
      <c r="G111" s="5" t="n"/>
    </row>
    <row r="112" ht="15.75" customHeight="1" s="115">
      <c r="A112" s="5" t="n"/>
      <c r="B112" s="5" t="n"/>
      <c r="C112" s="5" t="n"/>
      <c r="D112" s="5" t="n"/>
      <c r="E112" s="5" t="n"/>
      <c r="F112" s="5" t="n"/>
      <c r="G112" s="5" t="n"/>
    </row>
    <row r="113" ht="15.75" customHeight="1" s="115">
      <c r="A113" s="5" t="n"/>
      <c r="B113" s="5" t="n"/>
      <c r="C113" s="5" t="n"/>
      <c r="D113" s="5" t="n"/>
      <c r="E113" s="5" t="n"/>
      <c r="F113" s="5" t="n"/>
      <c r="G113" s="5" t="n"/>
    </row>
    <row r="114" ht="15.75" customHeight="1" s="115">
      <c r="A114" s="5" t="n"/>
      <c r="B114" s="5" t="n"/>
      <c r="C114" s="5" t="n"/>
      <c r="D114" s="5" t="n"/>
      <c r="E114" s="5" t="n"/>
      <c r="F114" s="5" t="n"/>
      <c r="G114" s="5" t="n"/>
    </row>
    <row r="115" ht="15.75" customHeight="1" s="115">
      <c r="A115" s="5" t="n"/>
      <c r="B115" s="5" t="n"/>
      <c r="C115" s="5" t="n"/>
      <c r="D115" s="5" t="n"/>
      <c r="E115" s="5" t="n"/>
      <c r="F115" s="5" t="n"/>
      <c r="G115" s="5" t="n"/>
    </row>
    <row r="116" ht="15.75" customHeight="1" s="115">
      <c r="A116" s="5" t="n"/>
      <c r="B116" s="5" t="n"/>
      <c r="C116" s="5" t="n"/>
      <c r="D116" s="5" t="n"/>
      <c r="E116" s="5" t="n"/>
      <c r="F116" s="5" t="n"/>
      <c r="G116" s="5" t="n"/>
    </row>
    <row r="117" ht="15.75" customHeight="1" s="115">
      <c r="A117" s="5" t="n"/>
      <c r="B117" s="5" t="n"/>
      <c r="C117" s="5" t="n"/>
      <c r="D117" s="5" t="n"/>
      <c r="E117" s="5" t="n"/>
      <c r="F117" s="5" t="n"/>
      <c r="G117" s="5" t="n"/>
    </row>
    <row r="118" ht="15.75" customHeight="1" s="115">
      <c r="A118" s="5" t="n"/>
      <c r="B118" s="5" t="n"/>
      <c r="C118" s="5" t="n"/>
      <c r="D118" s="5" t="n"/>
      <c r="E118" s="5" t="n"/>
      <c r="F118" s="5" t="n"/>
      <c r="G118" s="5" t="n"/>
    </row>
    <row r="119" ht="15.75" customHeight="1" s="115">
      <c r="A119" s="5" t="n"/>
      <c r="B119" s="5" t="n"/>
      <c r="C119" s="5" t="n"/>
      <c r="D119" s="5" t="n"/>
      <c r="E119" s="5" t="n"/>
      <c r="F119" s="5" t="n"/>
      <c r="G119" s="5" t="n"/>
    </row>
    <row r="120" ht="15.75" customHeight="1" s="115">
      <c r="A120" s="5" t="n"/>
      <c r="B120" s="5" t="n"/>
      <c r="C120" s="5" t="n"/>
      <c r="D120" s="5" t="n"/>
      <c r="E120" s="5" t="n"/>
      <c r="F120" s="5" t="n"/>
      <c r="G120" s="5" t="n"/>
    </row>
    <row r="121" ht="15.75" customHeight="1" s="115">
      <c r="A121" s="5" t="n"/>
      <c r="B121" s="5" t="n"/>
      <c r="C121" s="5" t="n"/>
      <c r="D121" s="5" t="n"/>
      <c r="E121" s="5" t="n"/>
      <c r="F121" s="5" t="n"/>
      <c r="G121" s="5" t="n"/>
    </row>
    <row r="122" ht="15.75" customHeight="1" s="115">
      <c r="A122" s="5" t="n"/>
      <c r="B122" s="5" t="n"/>
      <c r="C122" s="5" t="n"/>
      <c r="D122" s="5" t="n"/>
      <c r="E122" s="5" t="n"/>
      <c r="F122" s="5" t="n"/>
      <c r="G122" s="5" t="n"/>
    </row>
    <row r="123" ht="15.75" customHeight="1" s="115">
      <c r="A123" s="5" t="n"/>
      <c r="B123" s="5" t="n"/>
      <c r="C123" s="5" t="n"/>
      <c r="D123" s="5" t="n"/>
      <c r="E123" s="5" t="n"/>
      <c r="F123" s="5" t="n"/>
      <c r="G123" s="5" t="n"/>
    </row>
    <row r="124" ht="15.75" customHeight="1" s="115">
      <c r="A124" s="5" t="n"/>
      <c r="B124" s="5" t="n"/>
      <c r="C124" s="5" t="n"/>
      <c r="D124" s="5" t="n"/>
      <c r="E124" s="5" t="n"/>
      <c r="F124" s="5" t="n"/>
      <c r="G124" s="5" t="n"/>
    </row>
    <row r="125" ht="15.75" customHeight="1" s="115">
      <c r="A125" s="5" t="n"/>
      <c r="B125" s="5" t="n"/>
      <c r="C125" s="5" t="n"/>
      <c r="D125" s="5" t="n"/>
      <c r="E125" s="5" t="n"/>
      <c r="F125" s="5" t="n"/>
      <c r="G125" s="5" t="n"/>
    </row>
    <row r="126" ht="15.75" customHeight="1" s="115">
      <c r="A126" s="5" t="n"/>
      <c r="B126" s="5" t="n"/>
      <c r="C126" s="5" t="n"/>
      <c r="D126" s="5" t="n"/>
      <c r="E126" s="5" t="n"/>
      <c r="F126" s="5" t="n"/>
      <c r="G126" s="5" t="n"/>
    </row>
    <row r="127" ht="15.75" customHeight="1" s="115">
      <c r="A127" s="5" t="n"/>
      <c r="B127" s="5" t="n"/>
      <c r="C127" s="5" t="n"/>
      <c r="D127" s="5" t="n"/>
      <c r="E127" s="5" t="n"/>
      <c r="F127" s="5" t="n"/>
      <c r="G127" s="5" t="n"/>
    </row>
    <row r="128" ht="15.75" customHeight="1" s="115">
      <c r="A128" s="5" t="n"/>
      <c r="B128" s="5" t="n"/>
      <c r="C128" s="5" t="n"/>
      <c r="D128" s="5" t="n"/>
      <c r="E128" s="5" t="n"/>
      <c r="F128" s="5" t="n"/>
      <c r="G128" s="5" t="n"/>
    </row>
    <row r="129" ht="15.75" customHeight="1" s="115">
      <c r="A129" s="5" t="n"/>
      <c r="B129" s="5" t="n"/>
      <c r="C129" s="5" t="n"/>
      <c r="D129" s="5" t="n"/>
      <c r="E129" s="5" t="n"/>
      <c r="F129" s="5" t="n"/>
      <c r="G129" s="5" t="n"/>
    </row>
    <row r="130" ht="15.75" customHeight="1" s="115">
      <c r="A130" s="5" t="n"/>
      <c r="B130" s="5" t="n"/>
      <c r="C130" s="5" t="n"/>
      <c r="D130" s="5" t="n"/>
      <c r="E130" s="5" t="n"/>
      <c r="F130" s="5" t="n"/>
      <c r="G130" s="5" t="n"/>
    </row>
    <row r="131" ht="15.75" customHeight="1" s="115">
      <c r="A131" s="5" t="n"/>
      <c r="B131" s="5" t="n"/>
      <c r="C131" s="5" t="n"/>
      <c r="D131" s="5" t="n"/>
      <c r="E131" s="5" t="n"/>
      <c r="F131" s="5" t="n"/>
      <c r="G131" s="5" t="n"/>
    </row>
    <row r="132" ht="15.75" customHeight="1" s="115">
      <c r="A132" s="5" t="n"/>
      <c r="B132" s="5" t="n"/>
      <c r="C132" s="5" t="n"/>
      <c r="D132" s="5" t="n"/>
      <c r="E132" s="5" t="n"/>
      <c r="F132" s="5" t="n"/>
      <c r="G132" s="5" t="n"/>
    </row>
    <row r="133" ht="15.75" customHeight="1" s="115">
      <c r="A133" s="5" t="n"/>
      <c r="B133" s="5" t="n"/>
      <c r="C133" s="5" t="n"/>
      <c r="D133" s="5" t="n"/>
      <c r="E133" s="5" t="n"/>
      <c r="F133" s="5" t="n"/>
      <c r="G133" s="5" t="n"/>
    </row>
    <row r="134" ht="15.75" customHeight="1" s="115">
      <c r="A134" s="5" t="n"/>
      <c r="B134" s="5" t="n"/>
      <c r="C134" s="5" t="n"/>
      <c r="D134" s="5" t="n"/>
      <c r="E134" s="5" t="n"/>
      <c r="F134" s="5" t="n"/>
      <c r="G134" s="5" t="n"/>
    </row>
    <row r="135" ht="15.75" customHeight="1" s="115">
      <c r="A135" s="5" t="n"/>
      <c r="B135" s="5" t="n"/>
      <c r="C135" s="5" t="n"/>
      <c r="D135" s="5" t="n"/>
      <c r="E135" s="5" t="n"/>
      <c r="F135" s="5" t="n"/>
      <c r="G135" s="5" t="n"/>
    </row>
    <row r="136" ht="15.75" customHeight="1" s="115">
      <c r="A136" s="5" t="n"/>
      <c r="B136" s="5" t="n"/>
      <c r="C136" s="5" t="n"/>
      <c r="D136" s="5" t="n"/>
      <c r="E136" s="5" t="n"/>
      <c r="F136" s="5" t="n"/>
      <c r="G136" s="5" t="n"/>
    </row>
    <row r="137" ht="15.75" customHeight="1" s="115">
      <c r="A137" s="5" t="n"/>
      <c r="B137" s="5" t="n"/>
      <c r="C137" s="5" t="n"/>
      <c r="D137" s="5" t="n"/>
      <c r="E137" s="5" t="n"/>
      <c r="F137" s="5" t="n"/>
      <c r="G137" s="5" t="n"/>
    </row>
    <row r="138" ht="15.75" customHeight="1" s="115">
      <c r="A138" s="5" t="n"/>
      <c r="B138" s="5" t="n"/>
      <c r="C138" s="5" t="n"/>
      <c r="D138" s="5" t="n"/>
      <c r="E138" s="5" t="n"/>
      <c r="F138" s="5" t="n"/>
      <c r="G138" s="5" t="n"/>
    </row>
    <row r="139" ht="15.75" customHeight="1" s="115">
      <c r="A139" s="5" t="n"/>
      <c r="B139" s="5" t="n"/>
      <c r="C139" s="5" t="n"/>
      <c r="D139" s="5" t="n"/>
      <c r="E139" s="5" t="n"/>
      <c r="F139" s="5" t="n"/>
      <c r="G139" s="5" t="n"/>
    </row>
    <row r="140" ht="15.75" customHeight="1" s="115">
      <c r="A140" s="5" t="n"/>
      <c r="B140" s="5" t="n"/>
      <c r="C140" s="5" t="n"/>
      <c r="D140" s="5" t="n"/>
      <c r="E140" s="5" t="n"/>
      <c r="F140" s="5" t="n"/>
      <c r="G140" s="5" t="n"/>
    </row>
    <row r="141" ht="15.75" customHeight="1" s="115">
      <c r="A141" s="5" t="n"/>
      <c r="B141" s="5" t="n"/>
      <c r="C141" s="5" t="n"/>
      <c r="D141" s="5" t="n"/>
      <c r="E141" s="5" t="n"/>
      <c r="F141" s="5" t="n"/>
      <c r="G141" s="5" t="n"/>
    </row>
    <row r="142" ht="15.75" customHeight="1" s="115">
      <c r="A142" s="5" t="n"/>
      <c r="B142" s="5" t="n"/>
      <c r="C142" s="5" t="n"/>
      <c r="D142" s="5" t="n"/>
      <c r="E142" s="5" t="n"/>
      <c r="F142" s="5" t="n"/>
      <c r="G142" s="5" t="n"/>
    </row>
    <row r="143" ht="15.75" customHeight="1" s="115">
      <c r="A143" s="5" t="n"/>
      <c r="B143" s="5" t="n"/>
      <c r="C143" s="5" t="n"/>
      <c r="D143" s="5" t="n"/>
      <c r="E143" s="5" t="n"/>
      <c r="F143" s="5" t="n"/>
      <c r="G143" s="5" t="n"/>
    </row>
    <row r="144" ht="15.75" customHeight="1" s="115">
      <c r="A144" s="5" t="n"/>
      <c r="B144" s="5" t="n"/>
      <c r="C144" s="5" t="n"/>
      <c r="D144" s="5" t="n"/>
      <c r="E144" s="5" t="n"/>
      <c r="F144" s="5" t="n"/>
      <c r="G144" s="5" t="n"/>
    </row>
    <row r="145" ht="15.75" customHeight="1" s="115">
      <c r="A145" s="5" t="n"/>
      <c r="B145" s="5" t="n"/>
      <c r="C145" s="5" t="n"/>
      <c r="D145" s="5" t="n"/>
      <c r="E145" s="5" t="n"/>
      <c r="F145" s="5" t="n"/>
      <c r="G145" s="5" t="n"/>
    </row>
    <row r="146" ht="15.75" customHeight="1" s="115">
      <c r="A146" s="5" t="n"/>
      <c r="B146" s="5" t="n"/>
      <c r="C146" s="5" t="n"/>
      <c r="D146" s="5" t="n"/>
      <c r="E146" s="5" t="n"/>
      <c r="F146" s="5" t="n"/>
      <c r="G146" s="5" t="n"/>
    </row>
    <row r="147" ht="15.75" customHeight="1" s="115">
      <c r="A147" s="5" t="n"/>
      <c r="B147" s="5" t="n"/>
      <c r="C147" s="5" t="n"/>
      <c r="D147" s="5" t="n"/>
      <c r="E147" s="5" t="n"/>
      <c r="F147" s="5" t="n"/>
      <c r="G147" s="5" t="n"/>
    </row>
    <row r="148" ht="15.75" customHeight="1" s="115">
      <c r="A148" s="5" t="n"/>
      <c r="B148" s="5" t="n"/>
      <c r="C148" s="5" t="n"/>
      <c r="D148" s="5" t="n"/>
      <c r="E148" s="5" t="n"/>
      <c r="F148" s="5" t="n"/>
      <c r="G148" s="5" t="n"/>
    </row>
    <row r="149" ht="15.75" customHeight="1" s="115">
      <c r="A149" s="5" t="n"/>
      <c r="B149" s="5" t="n"/>
      <c r="C149" s="5" t="n"/>
      <c r="D149" s="5" t="n"/>
      <c r="E149" s="5" t="n"/>
      <c r="F149" s="5" t="n"/>
      <c r="G149" s="5" t="n"/>
    </row>
    <row r="150" ht="15.75" customHeight="1" s="115">
      <c r="A150" s="5" t="n"/>
      <c r="B150" s="5" t="n"/>
      <c r="C150" s="5" t="n"/>
      <c r="D150" s="5" t="n"/>
      <c r="E150" s="5" t="n"/>
      <c r="F150" s="5" t="n"/>
      <c r="G150" s="5" t="n"/>
    </row>
    <row r="151" ht="15.75" customHeight="1" s="115">
      <c r="A151" s="5" t="n"/>
      <c r="B151" s="5" t="n"/>
      <c r="C151" s="5" t="n"/>
      <c r="D151" s="5" t="n"/>
      <c r="E151" s="5" t="n"/>
      <c r="F151" s="5" t="n"/>
      <c r="G151" s="5" t="n"/>
    </row>
    <row r="152" ht="15.75" customHeight="1" s="115">
      <c r="A152" s="5" t="n"/>
      <c r="B152" s="5" t="n"/>
      <c r="C152" s="5" t="n"/>
      <c r="D152" s="5" t="n"/>
      <c r="E152" s="5" t="n"/>
      <c r="F152" s="5" t="n"/>
      <c r="G152" s="5" t="n"/>
    </row>
    <row r="153" ht="15.75" customHeight="1" s="115">
      <c r="A153" s="5" t="n"/>
      <c r="B153" s="5" t="n"/>
      <c r="C153" s="5" t="n"/>
      <c r="D153" s="5" t="n"/>
      <c r="E153" s="5" t="n"/>
      <c r="F153" s="5" t="n"/>
      <c r="G153" s="5" t="n"/>
    </row>
    <row r="154" ht="15.75" customHeight="1" s="115">
      <c r="A154" s="5" t="n"/>
      <c r="B154" s="5" t="n"/>
      <c r="C154" s="5" t="n"/>
      <c r="D154" s="5" t="n"/>
      <c r="E154" s="5" t="n"/>
      <c r="F154" s="5" t="n"/>
      <c r="G154" s="5" t="n"/>
    </row>
    <row r="155" ht="15.75" customHeight="1" s="115">
      <c r="A155" s="5" t="n"/>
      <c r="B155" s="5" t="n"/>
      <c r="C155" s="5" t="n"/>
      <c r="D155" s="5" t="n"/>
      <c r="E155" s="5" t="n"/>
      <c r="F155" s="5" t="n"/>
      <c r="G155" s="5" t="n"/>
    </row>
    <row r="156" ht="15.75" customHeight="1" s="115">
      <c r="A156" s="5" t="n"/>
      <c r="B156" s="5" t="n"/>
      <c r="C156" s="5" t="n"/>
      <c r="D156" s="5" t="n"/>
      <c r="E156" s="5" t="n"/>
      <c r="F156" s="5" t="n"/>
      <c r="G156" s="5" t="n"/>
    </row>
    <row r="157" ht="15.75" customHeight="1" s="115">
      <c r="A157" s="5" t="n"/>
      <c r="B157" s="5" t="n"/>
      <c r="C157" s="5" t="n"/>
      <c r="D157" s="5" t="n"/>
      <c r="E157" s="5" t="n"/>
      <c r="F157" s="5" t="n"/>
      <c r="G157" s="5" t="n"/>
    </row>
    <row r="158" ht="15.75" customHeight="1" s="115">
      <c r="A158" s="5" t="n"/>
      <c r="B158" s="5" t="n"/>
      <c r="C158" s="5" t="n"/>
      <c r="D158" s="5" t="n"/>
      <c r="E158" s="5" t="n"/>
      <c r="F158" s="5" t="n"/>
      <c r="G158" s="5" t="n"/>
    </row>
    <row r="159" ht="15.75" customHeight="1" s="115">
      <c r="A159" s="5" t="n"/>
      <c r="B159" s="5" t="n"/>
      <c r="C159" s="5" t="n"/>
      <c r="D159" s="5" t="n"/>
      <c r="E159" s="5" t="n"/>
      <c r="F159" s="5" t="n"/>
      <c r="G159" s="5" t="n"/>
    </row>
    <row r="160" ht="15.75" customHeight="1" s="115">
      <c r="A160" s="5" t="n"/>
      <c r="B160" s="5" t="n"/>
      <c r="C160" s="5" t="n"/>
      <c r="D160" s="5" t="n"/>
      <c r="E160" s="5" t="n"/>
      <c r="F160" s="5" t="n"/>
      <c r="G160" s="5" t="n"/>
    </row>
    <row r="161" ht="15.75" customHeight="1" s="115">
      <c r="A161" s="5" t="n"/>
      <c r="B161" s="5" t="n"/>
      <c r="C161" s="5" t="n"/>
      <c r="D161" s="5" t="n"/>
      <c r="E161" s="5" t="n"/>
      <c r="F161" s="5" t="n"/>
      <c r="G161" s="5" t="n"/>
    </row>
    <row r="162" ht="15.75" customHeight="1" s="115">
      <c r="A162" s="5" t="n"/>
      <c r="B162" s="5" t="n"/>
      <c r="C162" s="5" t="n"/>
      <c r="D162" s="5" t="n"/>
      <c r="E162" s="5" t="n"/>
      <c r="F162" s="5" t="n"/>
      <c r="G162" s="5" t="n"/>
    </row>
    <row r="163" ht="15.75" customHeight="1" s="115">
      <c r="A163" s="5" t="n"/>
      <c r="B163" s="5" t="n"/>
      <c r="C163" s="5" t="n"/>
      <c r="D163" s="5" t="n"/>
      <c r="E163" s="5" t="n"/>
      <c r="F163" s="5" t="n"/>
      <c r="G163" s="5" t="n"/>
    </row>
    <row r="164" ht="15.75" customHeight="1" s="115">
      <c r="A164" s="5" t="n"/>
      <c r="B164" s="5" t="n"/>
      <c r="C164" s="5" t="n"/>
      <c r="D164" s="5" t="n"/>
      <c r="E164" s="5" t="n"/>
      <c r="F164" s="5" t="n"/>
      <c r="G164" s="5" t="n"/>
    </row>
    <row r="165" ht="15.75" customHeight="1" s="115">
      <c r="A165" s="5" t="n"/>
      <c r="B165" s="5" t="n"/>
      <c r="C165" s="5" t="n"/>
      <c r="D165" s="5" t="n"/>
      <c r="E165" s="5" t="n"/>
      <c r="F165" s="5" t="n"/>
      <c r="G165" s="5" t="n"/>
    </row>
    <row r="166" ht="15.75" customHeight="1" s="115">
      <c r="A166" s="5" t="n"/>
      <c r="B166" s="5" t="n"/>
      <c r="C166" s="5" t="n"/>
      <c r="D166" s="5" t="n"/>
      <c r="E166" s="5" t="n"/>
      <c r="F166" s="5" t="n"/>
      <c r="G166" s="5" t="n"/>
    </row>
    <row r="167" ht="15.75" customHeight="1" s="115">
      <c r="A167" s="5" t="n"/>
      <c r="B167" s="5" t="n"/>
      <c r="C167" s="5" t="n"/>
      <c r="D167" s="5" t="n"/>
      <c r="E167" s="5" t="n"/>
      <c r="F167" s="5" t="n"/>
      <c r="G167" s="5" t="n"/>
    </row>
    <row r="168" ht="15.75" customHeight="1" s="115">
      <c r="A168" s="5" t="n"/>
      <c r="B168" s="5" t="n"/>
      <c r="C168" s="5" t="n"/>
      <c r="D168" s="5" t="n"/>
      <c r="E168" s="5" t="n"/>
      <c r="F168" s="5" t="n"/>
      <c r="G168" s="5" t="n"/>
    </row>
    <row r="169" ht="15.75" customHeight="1" s="115">
      <c r="A169" s="5" t="n"/>
      <c r="B169" s="5" t="n"/>
      <c r="C169" s="5" t="n"/>
      <c r="D169" s="5" t="n"/>
      <c r="E169" s="5" t="n"/>
      <c r="F169" s="5" t="n"/>
      <c r="G169" s="5" t="n"/>
    </row>
    <row r="170" ht="15.75" customHeight="1" s="115">
      <c r="A170" s="5" t="n"/>
      <c r="B170" s="5" t="n"/>
      <c r="C170" s="5" t="n"/>
      <c r="D170" s="5" t="n"/>
      <c r="E170" s="5" t="n"/>
      <c r="F170" s="5" t="n"/>
      <c r="G170" s="5" t="n"/>
    </row>
    <row r="171" ht="15.75" customHeight="1" s="115">
      <c r="A171" s="5" t="n"/>
      <c r="B171" s="5" t="n"/>
      <c r="C171" s="5" t="n"/>
      <c r="D171" s="5" t="n"/>
      <c r="E171" s="5" t="n"/>
      <c r="F171" s="5" t="n"/>
      <c r="G171" s="5" t="n"/>
    </row>
    <row r="172" ht="15.75" customHeight="1" s="115">
      <c r="A172" s="5" t="n"/>
      <c r="B172" s="5" t="n"/>
      <c r="C172" s="5" t="n"/>
      <c r="D172" s="5" t="n"/>
      <c r="E172" s="5" t="n"/>
      <c r="F172" s="5" t="n"/>
      <c r="G172" s="5" t="n"/>
    </row>
    <row r="173" ht="15.75" customHeight="1" s="115">
      <c r="A173" s="5" t="n"/>
      <c r="B173" s="5" t="n"/>
      <c r="C173" s="5" t="n"/>
      <c r="D173" s="5" t="n"/>
      <c r="E173" s="5" t="n"/>
      <c r="F173" s="5" t="n"/>
      <c r="G173" s="5" t="n"/>
    </row>
    <row r="174" ht="15.75" customHeight="1" s="115">
      <c r="A174" s="5" t="n"/>
      <c r="B174" s="5" t="n"/>
      <c r="C174" s="5" t="n"/>
      <c r="D174" s="5" t="n"/>
      <c r="E174" s="5" t="n"/>
      <c r="F174" s="5" t="n"/>
      <c r="G174" s="5" t="n"/>
    </row>
    <row r="175" ht="15.75" customHeight="1" s="115">
      <c r="A175" s="5" t="n"/>
      <c r="B175" s="5" t="n"/>
      <c r="C175" s="5" t="n"/>
      <c r="D175" s="5" t="n"/>
      <c r="E175" s="5" t="n"/>
      <c r="F175" s="5" t="n"/>
      <c r="G175" s="5" t="n"/>
    </row>
    <row r="176" ht="15.75" customHeight="1" s="115">
      <c r="A176" s="5" t="n"/>
      <c r="B176" s="5" t="n"/>
      <c r="C176" s="5" t="n"/>
      <c r="D176" s="5" t="n"/>
      <c r="E176" s="5" t="n"/>
      <c r="F176" s="5" t="n"/>
      <c r="G176" s="5" t="n"/>
    </row>
    <row r="177" ht="15.75" customHeight="1" s="115">
      <c r="A177" s="5" t="n"/>
      <c r="B177" s="5" t="n"/>
      <c r="C177" s="5" t="n"/>
      <c r="D177" s="5" t="n"/>
      <c r="E177" s="5" t="n"/>
      <c r="F177" s="5" t="n"/>
      <c r="G177" s="5" t="n"/>
    </row>
    <row r="178" ht="15.75" customHeight="1" s="115">
      <c r="A178" s="5" t="n"/>
      <c r="B178" s="5" t="n"/>
      <c r="C178" s="5" t="n"/>
      <c r="D178" s="5" t="n"/>
      <c r="E178" s="5" t="n"/>
      <c r="F178" s="5" t="n"/>
      <c r="G178" s="5" t="n"/>
    </row>
    <row r="179" ht="15.75" customHeight="1" s="115">
      <c r="A179" s="5" t="n"/>
      <c r="B179" s="5" t="n"/>
      <c r="C179" s="5" t="n"/>
      <c r="D179" s="5" t="n"/>
      <c r="E179" s="5" t="n"/>
      <c r="F179" s="5" t="n"/>
      <c r="G179" s="5" t="n"/>
    </row>
    <row r="180" ht="15.75" customHeight="1" s="115">
      <c r="A180" s="5" t="n"/>
      <c r="B180" s="5" t="n"/>
      <c r="C180" s="5" t="n"/>
      <c r="D180" s="5" t="n"/>
      <c r="E180" s="5" t="n"/>
      <c r="F180" s="5" t="n"/>
      <c r="G180" s="5" t="n"/>
    </row>
    <row r="181" ht="15.75" customHeight="1" s="115">
      <c r="A181" s="5" t="n"/>
      <c r="B181" s="5" t="n"/>
      <c r="C181" s="5" t="n"/>
      <c r="D181" s="5" t="n"/>
      <c r="E181" s="5" t="n"/>
      <c r="F181" s="5" t="n"/>
      <c r="G181" s="5" t="n"/>
    </row>
    <row r="182" ht="15.75" customHeight="1" s="115">
      <c r="A182" s="5" t="n"/>
      <c r="B182" s="5" t="n"/>
      <c r="C182" s="5" t="n"/>
      <c r="D182" s="5" t="n"/>
      <c r="E182" s="5" t="n"/>
      <c r="F182" s="5" t="n"/>
      <c r="G182" s="5" t="n"/>
    </row>
    <row r="183" ht="15.75" customHeight="1" s="115">
      <c r="A183" s="5" t="n"/>
      <c r="B183" s="5" t="n"/>
      <c r="C183" s="5" t="n"/>
      <c r="D183" s="5" t="n"/>
      <c r="E183" s="5" t="n"/>
      <c r="F183" s="5" t="n"/>
      <c r="G183" s="5" t="n"/>
    </row>
    <row r="184" ht="15.75" customHeight="1" s="115">
      <c r="A184" s="5" t="n"/>
      <c r="B184" s="5" t="n"/>
      <c r="C184" s="5" t="n"/>
      <c r="D184" s="5" t="n"/>
      <c r="E184" s="5" t="n"/>
      <c r="F184" s="5" t="n"/>
      <c r="G184" s="5" t="n"/>
    </row>
    <row r="185" ht="15.75" customHeight="1" s="115">
      <c r="A185" s="5" t="n"/>
      <c r="B185" s="5" t="n"/>
      <c r="C185" s="5" t="n"/>
      <c r="D185" s="5" t="n"/>
      <c r="E185" s="5" t="n"/>
      <c r="F185" s="5" t="n"/>
      <c r="G185" s="5" t="n"/>
    </row>
    <row r="186" ht="15.75" customHeight="1" s="115">
      <c r="A186" s="5" t="n"/>
      <c r="B186" s="5" t="n"/>
      <c r="C186" s="5" t="n"/>
      <c r="D186" s="5" t="n"/>
      <c r="E186" s="5" t="n"/>
      <c r="F186" s="5" t="n"/>
      <c r="G186" s="5" t="n"/>
    </row>
    <row r="187" ht="15.75" customHeight="1" s="115">
      <c r="A187" s="5" t="n"/>
      <c r="B187" s="5" t="n"/>
      <c r="C187" s="5" t="n"/>
      <c r="D187" s="5" t="n"/>
      <c r="E187" s="5" t="n"/>
      <c r="F187" s="5" t="n"/>
      <c r="G187" s="5" t="n"/>
    </row>
    <row r="188" ht="15.75" customHeight="1" s="115">
      <c r="A188" s="5" t="n"/>
      <c r="B188" s="5" t="n"/>
      <c r="C188" s="5" t="n"/>
      <c r="D188" s="5" t="n"/>
      <c r="E188" s="5" t="n"/>
      <c r="F188" s="5" t="n"/>
      <c r="G188" s="5" t="n"/>
    </row>
    <row r="189" ht="15.75" customHeight="1" s="115">
      <c r="A189" s="5" t="n"/>
      <c r="B189" s="5" t="n"/>
      <c r="C189" s="5" t="n"/>
      <c r="D189" s="5" t="n"/>
      <c r="E189" s="5" t="n"/>
      <c r="F189" s="5" t="n"/>
      <c r="G189" s="5" t="n"/>
    </row>
    <row r="190" ht="15.75" customHeight="1" s="115">
      <c r="A190" s="5" t="n"/>
      <c r="B190" s="5" t="n"/>
      <c r="C190" s="5" t="n"/>
      <c r="D190" s="5" t="n"/>
      <c r="E190" s="5" t="n"/>
      <c r="F190" s="5" t="n"/>
      <c r="G190" s="5" t="n"/>
    </row>
    <row r="191" ht="15.75" customHeight="1" s="115">
      <c r="A191" s="5" t="n"/>
      <c r="B191" s="5" t="n"/>
      <c r="C191" s="5" t="n"/>
      <c r="D191" s="5" t="n"/>
      <c r="E191" s="5" t="n"/>
      <c r="F191" s="5" t="n"/>
      <c r="G191" s="5" t="n"/>
    </row>
    <row r="192" ht="15.75" customHeight="1" s="115">
      <c r="A192" s="5" t="n"/>
      <c r="B192" s="5" t="n"/>
      <c r="C192" s="5" t="n"/>
      <c r="D192" s="5" t="n"/>
      <c r="E192" s="5" t="n"/>
      <c r="F192" s="5" t="n"/>
      <c r="G192" s="5" t="n"/>
    </row>
    <row r="193" ht="15.75" customHeight="1" s="115">
      <c r="A193" s="5" t="n"/>
      <c r="B193" s="5" t="n"/>
      <c r="C193" s="5" t="n"/>
      <c r="D193" s="5" t="n"/>
      <c r="E193" s="5" t="n"/>
      <c r="F193" s="5" t="n"/>
      <c r="G193" s="5" t="n"/>
    </row>
    <row r="194" ht="15.75" customHeight="1" s="115">
      <c r="A194" s="5" t="n"/>
      <c r="B194" s="5" t="n"/>
      <c r="C194" s="5" t="n"/>
      <c r="D194" s="5" t="n"/>
      <c r="E194" s="5" t="n"/>
      <c r="F194" s="5" t="n"/>
      <c r="G194" s="5" t="n"/>
    </row>
    <row r="195" ht="15.75" customHeight="1" s="115">
      <c r="A195" s="5" t="n"/>
      <c r="B195" s="5" t="n"/>
      <c r="C195" s="5" t="n"/>
      <c r="D195" s="5" t="n"/>
      <c r="E195" s="5" t="n"/>
      <c r="F195" s="5" t="n"/>
      <c r="G195" s="5" t="n"/>
    </row>
    <row r="196" ht="15.75" customHeight="1" s="115">
      <c r="A196" s="5" t="n"/>
      <c r="B196" s="5" t="n"/>
      <c r="C196" s="5" t="n"/>
      <c r="D196" s="5" t="n"/>
      <c r="E196" s="5" t="n"/>
      <c r="F196" s="5" t="n"/>
      <c r="G196" s="5" t="n"/>
    </row>
    <row r="197" ht="15.75" customHeight="1" s="115">
      <c r="A197" s="5" t="n"/>
      <c r="B197" s="5" t="n"/>
      <c r="C197" s="5" t="n"/>
      <c r="D197" s="5" t="n"/>
      <c r="E197" s="5" t="n"/>
      <c r="F197" s="5" t="n"/>
      <c r="G197" s="5" t="n"/>
    </row>
    <row r="198" ht="15.75" customHeight="1" s="115">
      <c r="A198" s="5" t="n"/>
      <c r="B198" s="5" t="n"/>
      <c r="C198" s="5" t="n"/>
      <c r="D198" s="5" t="n"/>
      <c r="E198" s="5" t="n"/>
      <c r="F198" s="5" t="n"/>
      <c r="G198" s="5" t="n"/>
    </row>
    <row r="199" ht="15.75" customHeight="1" s="115">
      <c r="A199" s="5" t="n"/>
      <c r="B199" s="5" t="n"/>
      <c r="C199" s="5" t="n"/>
      <c r="D199" s="5" t="n"/>
      <c r="E199" s="5" t="n"/>
      <c r="F199" s="5" t="n"/>
      <c r="G199" s="5" t="n"/>
    </row>
    <row r="200" ht="15.75" customHeight="1" s="115">
      <c r="A200" s="5" t="n"/>
      <c r="B200" s="5" t="n"/>
      <c r="C200" s="5" t="n"/>
      <c r="D200" s="5" t="n"/>
      <c r="E200" s="5" t="n"/>
      <c r="F200" s="5" t="n"/>
      <c r="G200" s="5" t="n"/>
    </row>
    <row r="201" ht="15.75" customHeight="1" s="115">
      <c r="A201" s="5" t="n"/>
      <c r="B201" s="5" t="n"/>
      <c r="C201" s="5" t="n"/>
      <c r="D201" s="5" t="n"/>
      <c r="E201" s="5" t="n"/>
      <c r="F201" s="5" t="n"/>
      <c r="G201" s="5" t="n"/>
    </row>
    <row r="202" ht="15.75" customHeight="1" s="115">
      <c r="A202" s="5" t="n"/>
      <c r="B202" s="5" t="n"/>
      <c r="C202" s="5" t="n"/>
      <c r="D202" s="5" t="n"/>
      <c r="E202" s="5" t="n"/>
      <c r="F202" s="5" t="n"/>
      <c r="G202" s="5" t="n"/>
    </row>
    <row r="203" ht="15.75" customHeight="1" s="115">
      <c r="A203" s="5" t="n"/>
      <c r="B203" s="5" t="n"/>
      <c r="C203" s="5" t="n"/>
      <c r="D203" s="5" t="n"/>
      <c r="E203" s="5" t="n"/>
      <c r="F203" s="5" t="n"/>
      <c r="G203" s="5" t="n"/>
    </row>
    <row r="204" ht="15.75" customHeight="1" s="115">
      <c r="A204" s="5" t="n"/>
      <c r="B204" s="5" t="n"/>
      <c r="C204" s="5" t="n"/>
      <c r="D204" s="5" t="n"/>
      <c r="E204" s="5" t="n"/>
      <c r="F204" s="5" t="n"/>
      <c r="G204" s="5" t="n"/>
    </row>
    <row r="205" ht="15.75" customHeight="1" s="115">
      <c r="A205" s="5" t="n"/>
      <c r="B205" s="5" t="n"/>
      <c r="C205" s="5" t="n"/>
      <c r="D205" s="5" t="n"/>
      <c r="E205" s="5" t="n"/>
      <c r="F205" s="5" t="n"/>
      <c r="G205" s="5" t="n"/>
    </row>
    <row r="206" ht="15.75" customHeight="1" s="115">
      <c r="A206" s="5" t="n"/>
      <c r="B206" s="5" t="n"/>
      <c r="C206" s="5" t="n"/>
      <c r="D206" s="5" t="n"/>
      <c r="E206" s="5" t="n"/>
      <c r="F206" s="5" t="n"/>
      <c r="G206" s="5" t="n"/>
    </row>
    <row r="207" ht="15.75" customHeight="1" s="115">
      <c r="A207" s="5" t="n"/>
      <c r="B207" s="5" t="n"/>
      <c r="C207" s="5" t="n"/>
      <c r="D207" s="5" t="n"/>
      <c r="E207" s="5" t="n"/>
      <c r="F207" s="5" t="n"/>
      <c r="G207" s="5" t="n"/>
    </row>
    <row r="208" ht="15.75" customHeight="1" s="115">
      <c r="A208" s="5" t="n"/>
      <c r="B208" s="5" t="n"/>
      <c r="C208" s="5" t="n"/>
      <c r="D208" s="5" t="n"/>
      <c r="E208" s="5" t="n"/>
      <c r="F208" s="5" t="n"/>
      <c r="G208" s="5" t="n"/>
    </row>
    <row r="209" ht="15.75" customHeight="1" s="115">
      <c r="A209" s="5" t="n"/>
      <c r="B209" s="5" t="n"/>
      <c r="C209" s="5" t="n"/>
      <c r="D209" s="5" t="n"/>
      <c r="E209" s="5" t="n"/>
      <c r="F209" s="5" t="n"/>
      <c r="G209" s="5" t="n"/>
    </row>
    <row r="210" ht="15.75" customHeight="1" s="115">
      <c r="A210" s="5" t="n"/>
      <c r="B210" s="5" t="n"/>
      <c r="C210" s="5" t="n"/>
      <c r="D210" s="5" t="n"/>
      <c r="E210" s="5" t="n"/>
      <c r="F210" s="5" t="n"/>
      <c r="G210" s="5" t="n"/>
    </row>
    <row r="211" ht="15.75" customHeight="1" s="115">
      <c r="A211" s="5" t="n"/>
      <c r="B211" s="5" t="n"/>
      <c r="C211" s="5" t="n"/>
      <c r="D211" s="5" t="n"/>
      <c r="E211" s="5" t="n"/>
      <c r="F211" s="5" t="n"/>
      <c r="G211" s="5" t="n"/>
    </row>
    <row r="212" ht="15.75" customHeight="1" s="115">
      <c r="A212" s="5" t="n"/>
      <c r="B212" s="5" t="n"/>
      <c r="C212" s="5" t="n"/>
      <c r="D212" s="5" t="n"/>
      <c r="E212" s="5" t="n"/>
      <c r="F212" s="5" t="n"/>
      <c r="G212" s="5" t="n"/>
    </row>
    <row r="213" ht="15.75" customHeight="1" s="115">
      <c r="A213" s="5" t="n"/>
      <c r="B213" s="5" t="n"/>
      <c r="C213" s="5" t="n"/>
      <c r="D213" s="5" t="n"/>
      <c r="E213" s="5" t="n"/>
      <c r="F213" s="5" t="n"/>
      <c r="G213" s="5" t="n"/>
    </row>
    <row r="214" ht="15.75" customHeight="1" s="115">
      <c r="A214" s="5" t="n"/>
      <c r="B214" s="5" t="n"/>
      <c r="C214" s="5" t="n"/>
      <c r="D214" s="5" t="n"/>
      <c r="E214" s="5" t="n"/>
      <c r="F214" s="5" t="n"/>
      <c r="G214" s="5" t="n"/>
    </row>
    <row r="215" ht="15.75" customHeight="1" s="115">
      <c r="A215" s="5" t="n"/>
      <c r="B215" s="5" t="n"/>
      <c r="C215" s="5" t="n"/>
      <c r="D215" s="5" t="n"/>
      <c r="E215" s="5" t="n"/>
      <c r="F215" s="5" t="n"/>
      <c r="G215" s="5" t="n"/>
    </row>
    <row r="216" ht="15.75" customHeight="1" s="115">
      <c r="A216" s="5" t="n"/>
      <c r="B216" s="5" t="n"/>
      <c r="C216" s="5" t="n"/>
      <c r="D216" s="5" t="n"/>
      <c r="E216" s="5" t="n"/>
      <c r="F216" s="5" t="n"/>
      <c r="G216" s="5" t="n"/>
    </row>
    <row r="217" ht="15.75" customHeight="1" s="115">
      <c r="A217" s="5" t="n"/>
      <c r="B217" s="5" t="n"/>
      <c r="C217" s="5" t="n"/>
      <c r="D217" s="5" t="n"/>
      <c r="E217" s="5" t="n"/>
      <c r="F217" s="5" t="n"/>
      <c r="G217" s="5" t="n"/>
    </row>
    <row r="218" ht="15.75" customHeight="1" s="115">
      <c r="A218" s="5" t="n"/>
      <c r="B218" s="5" t="n"/>
      <c r="C218" s="5" t="n"/>
      <c r="D218" s="5" t="n"/>
      <c r="E218" s="5" t="n"/>
      <c r="F218" s="5" t="n"/>
      <c r="G218" s="5" t="n"/>
    </row>
    <row r="219" ht="15.75" customHeight="1" s="115">
      <c r="A219" s="5" t="n"/>
      <c r="B219" s="5" t="n"/>
      <c r="C219" s="5" t="n"/>
      <c r="D219" s="5" t="n"/>
      <c r="E219" s="5" t="n"/>
      <c r="F219" s="5" t="n"/>
      <c r="G219" s="5" t="n"/>
    </row>
    <row r="220" ht="15.75" customHeight="1" s="115">
      <c r="A220" s="5" t="n"/>
      <c r="B220" s="5" t="n"/>
      <c r="C220" s="5" t="n"/>
      <c r="D220" s="5" t="n"/>
      <c r="E220" s="5" t="n"/>
      <c r="F220" s="5" t="n"/>
      <c r="G220" s="5" t="n"/>
    </row>
    <row r="221" ht="15.75" customHeight="1" s="115">
      <c r="A221" s="5" t="n"/>
      <c r="B221" s="5" t="n"/>
      <c r="C221" s="5" t="n"/>
      <c r="D221" s="5" t="n"/>
      <c r="E221" s="5" t="n"/>
      <c r="F221" s="5" t="n"/>
      <c r="G221" s="5" t="n"/>
    </row>
    <row r="222" ht="15.75" customHeight="1" s="115">
      <c r="A222" s="5" t="n"/>
      <c r="B222" s="5" t="n"/>
      <c r="C222" s="5" t="n"/>
      <c r="D222" s="5" t="n"/>
      <c r="E222" s="5" t="n"/>
      <c r="F222" s="5" t="n"/>
      <c r="G222" s="5" t="n"/>
    </row>
    <row r="223" ht="15.75" customHeight="1" s="115">
      <c r="A223" s="5" t="n"/>
      <c r="B223" s="5" t="n"/>
      <c r="C223" s="5" t="n"/>
      <c r="D223" s="5" t="n"/>
      <c r="E223" s="5" t="n"/>
      <c r="F223" s="5" t="n"/>
      <c r="G223" s="5" t="n"/>
    </row>
    <row r="224" ht="15.75" customHeight="1" s="115">
      <c r="A224" s="5" t="n"/>
      <c r="B224" s="5" t="n"/>
      <c r="C224" s="5" t="n"/>
      <c r="D224" s="5" t="n"/>
      <c r="E224" s="5" t="n"/>
      <c r="F224" s="5" t="n"/>
      <c r="G224" s="5" t="n"/>
    </row>
    <row r="225" ht="15.75" customHeight="1" s="115">
      <c r="A225" s="5" t="n"/>
      <c r="B225" s="5" t="n"/>
      <c r="C225" s="5" t="n"/>
      <c r="D225" s="5" t="n"/>
      <c r="E225" s="5" t="n"/>
      <c r="F225" s="5" t="n"/>
      <c r="G225" s="5" t="n"/>
    </row>
    <row r="226" ht="15.75" customHeight="1" s="115">
      <c r="A226" s="5" t="n"/>
      <c r="B226" s="5" t="n"/>
      <c r="C226" s="5" t="n"/>
      <c r="D226" s="5" t="n"/>
      <c r="E226" s="5" t="n"/>
      <c r="F226" s="5" t="n"/>
      <c r="G226" s="5" t="n"/>
    </row>
    <row r="227" ht="15.75" customHeight="1" s="115">
      <c r="A227" s="5" t="n"/>
      <c r="B227" s="5" t="n"/>
      <c r="C227" s="5" t="n"/>
      <c r="D227" s="5" t="n"/>
      <c r="E227" s="5" t="n"/>
      <c r="F227" s="5" t="n"/>
      <c r="G227" s="5" t="n"/>
    </row>
    <row r="228" ht="15.75" customHeight="1" s="115">
      <c r="A228" s="5" t="n"/>
      <c r="B228" s="5" t="n"/>
      <c r="C228" s="5" t="n"/>
      <c r="D228" s="5" t="n"/>
      <c r="E228" s="5" t="n"/>
      <c r="F228" s="5" t="n"/>
      <c r="G228" s="5" t="n"/>
    </row>
    <row r="229" ht="15.75" customHeight="1" s="115">
      <c r="A229" s="5" t="n"/>
      <c r="B229" s="5" t="n"/>
      <c r="C229" s="5" t="n"/>
      <c r="D229" s="5" t="n"/>
      <c r="E229" s="5" t="n"/>
      <c r="F229" s="5" t="n"/>
      <c r="G229" s="5" t="n"/>
    </row>
    <row r="230" ht="15.75" customHeight="1" s="115">
      <c r="A230" s="5" t="n"/>
      <c r="B230" s="5" t="n"/>
      <c r="C230" s="5" t="n"/>
      <c r="D230" s="5" t="n"/>
      <c r="E230" s="5" t="n"/>
      <c r="F230" s="5" t="n"/>
      <c r="G230" s="5" t="n"/>
    </row>
    <row r="231" ht="15.75" customHeight="1" s="115">
      <c r="A231" s="5" t="n"/>
      <c r="B231" s="5" t="n"/>
      <c r="C231" s="5" t="n"/>
      <c r="D231" s="5" t="n"/>
      <c r="E231" s="5" t="n"/>
      <c r="F231" s="5" t="n"/>
      <c r="G231" s="5" t="n"/>
    </row>
    <row r="232" ht="15.75" customHeight="1" s="115">
      <c r="A232" s="5" t="n"/>
      <c r="B232" s="5" t="n"/>
      <c r="C232" s="5" t="n"/>
      <c r="D232" s="5" t="n"/>
      <c r="E232" s="5" t="n"/>
      <c r="F232" s="5" t="n"/>
      <c r="G232" s="5" t="n"/>
    </row>
    <row r="233" ht="15.75" customHeight="1" s="115">
      <c r="A233" s="5" t="n"/>
      <c r="B233" s="5" t="n"/>
      <c r="C233" s="5" t="n"/>
      <c r="D233" s="5" t="n"/>
      <c r="E233" s="5" t="n"/>
      <c r="F233" s="5" t="n"/>
      <c r="G233" s="5" t="n"/>
    </row>
    <row r="234" ht="15.75" customHeight="1" s="115">
      <c r="A234" s="5" t="n"/>
      <c r="B234" s="5" t="n"/>
      <c r="C234" s="5" t="n"/>
      <c r="D234" s="5" t="n"/>
      <c r="E234" s="5" t="n"/>
      <c r="F234" s="5" t="n"/>
      <c r="G234" s="5" t="n"/>
    </row>
    <row r="235" ht="15.75" customHeight="1" s="115">
      <c r="A235" s="5" t="n"/>
      <c r="B235" s="5" t="n"/>
      <c r="C235" s="5" t="n"/>
      <c r="D235" s="5" t="n"/>
      <c r="E235" s="5" t="n"/>
      <c r="F235" s="5" t="n"/>
      <c r="G235" s="5" t="n"/>
    </row>
    <row r="236" ht="15.75" customHeight="1" s="115">
      <c r="A236" s="5" t="n"/>
      <c r="B236" s="5" t="n"/>
      <c r="C236" s="5" t="n"/>
      <c r="D236" s="5" t="n"/>
      <c r="E236" s="5" t="n"/>
      <c r="F236" s="5" t="n"/>
      <c r="G236" s="5" t="n"/>
    </row>
    <row r="237" ht="15.75" customHeight="1" s="115">
      <c r="A237" s="5" t="n"/>
      <c r="B237" s="5" t="n"/>
      <c r="C237" s="5" t="n"/>
      <c r="D237" s="5" t="n"/>
      <c r="E237" s="5" t="n"/>
      <c r="F237" s="5" t="n"/>
      <c r="G237" s="5" t="n"/>
    </row>
    <row r="238" ht="15.75" customHeight="1" s="115">
      <c r="A238" s="5" t="n"/>
      <c r="B238" s="5" t="n"/>
      <c r="C238" s="5" t="n"/>
      <c r="D238" s="5" t="n"/>
      <c r="E238" s="5" t="n"/>
      <c r="F238" s="5" t="n"/>
      <c r="G238" s="5" t="n"/>
    </row>
    <row r="239" ht="15.75" customHeight="1" s="115">
      <c r="A239" s="5" t="n"/>
      <c r="B239" s="5" t="n"/>
      <c r="C239" s="5" t="n"/>
      <c r="D239" s="5" t="n"/>
      <c r="E239" s="5" t="n"/>
      <c r="F239" s="5" t="n"/>
      <c r="G239" s="5" t="n"/>
    </row>
    <row r="240" ht="15.75" customHeight="1" s="115">
      <c r="A240" s="5" t="n"/>
      <c r="B240" s="5" t="n"/>
      <c r="C240" s="5" t="n"/>
      <c r="D240" s="5" t="n"/>
      <c r="E240" s="5" t="n"/>
      <c r="F240" s="5" t="n"/>
      <c r="G240" s="5" t="n"/>
    </row>
    <row r="241" ht="15.75" customHeight="1" s="115">
      <c r="A241" s="5" t="n"/>
      <c r="B241" s="5" t="n"/>
      <c r="C241" s="5" t="n"/>
      <c r="D241" s="5" t="n"/>
      <c r="E241" s="5" t="n"/>
      <c r="F241" s="5" t="n"/>
      <c r="G241" s="5" t="n"/>
    </row>
    <row r="242" ht="15.75" customHeight="1" s="115">
      <c r="A242" s="5" t="n"/>
      <c r="B242" s="5" t="n"/>
      <c r="C242" s="5" t="n"/>
      <c r="D242" s="5" t="n"/>
      <c r="E242" s="5" t="n"/>
      <c r="F242" s="5" t="n"/>
      <c r="G242" s="5" t="n"/>
    </row>
    <row r="243" ht="15.75" customHeight="1" s="115">
      <c r="A243" s="5" t="n"/>
      <c r="B243" s="5" t="n"/>
      <c r="C243" s="5" t="n"/>
      <c r="D243" s="5" t="n"/>
      <c r="E243" s="5" t="n"/>
      <c r="F243" s="5" t="n"/>
      <c r="G243" s="5" t="n"/>
    </row>
    <row r="244" ht="15.75" customHeight="1" s="115">
      <c r="A244" s="5" t="n"/>
      <c r="B244" s="5" t="n"/>
      <c r="C244" s="5" t="n"/>
      <c r="D244" s="5" t="n"/>
      <c r="E244" s="5" t="n"/>
      <c r="F244" s="5" t="n"/>
      <c r="G244" s="5" t="n"/>
    </row>
    <row r="245" ht="15.75" customHeight="1" s="115">
      <c r="A245" s="5" t="n"/>
      <c r="B245" s="5" t="n"/>
      <c r="C245" s="5" t="n"/>
      <c r="D245" s="5" t="n"/>
      <c r="E245" s="5" t="n"/>
      <c r="F245" s="5" t="n"/>
      <c r="G245" s="5" t="n"/>
    </row>
    <row r="246" ht="15.75" customHeight="1" s="115">
      <c r="A246" s="5" t="n"/>
      <c r="B246" s="5" t="n"/>
      <c r="C246" s="5" t="n"/>
      <c r="D246" s="5" t="n"/>
      <c r="E246" s="5" t="n"/>
      <c r="F246" s="5" t="n"/>
      <c r="G246" s="5" t="n"/>
    </row>
    <row r="247" ht="15.75" customHeight="1" s="115">
      <c r="A247" s="5" t="n"/>
      <c r="B247" s="5" t="n"/>
      <c r="C247" s="5" t="n"/>
      <c r="D247" s="5" t="n"/>
      <c r="E247" s="5" t="n"/>
      <c r="F247" s="5" t="n"/>
      <c r="G247" s="5" t="n"/>
    </row>
    <row r="248" ht="15.75" customHeight="1" s="115">
      <c r="A248" s="5" t="n"/>
      <c r="B248" s="5" t="n"/>
      <c r="C248" s="5" t="n"/>
      <c r="D248" s="5" t="n"/>
      <c r="E248" s="5" t="n"/>
      <c r="F248" s="5" t="n"/>
      <c r="G248" s="5" t="n"/>
    </row>
    <row r="249" ht="15.75" customHeight="1" s="115">
      <c r="A249" s="5" t="n"/>
      <c r="B249" s="5" t="n"/>
      <c r="C249" s="5" t="n"/>
      <c r="D249" s="5" t="n"/>
      <c r="E249" s="5" t="n"/>
      <c r="F249" s="5" t="n"/>
      <c r="G249" s="5" t="n"/>
    </row>
    <row r="250" ht="15.75" customHeight="1" s="115">
      <c r="A250" s="5" t="n"/>
      <c r="B250" s="5" t="n"/>
      <c r="C250" s="5" t="n"/>
      <c r="D250" s="5" t="n"/>
      <c r="E250" s="5" t="n"/>
      <c r="F250" s="5" t="n"/>
      <c r="G250" s="5" t="n"/>
    </row>
    <row r="251" ht="15.75" customHeight="1" s="115">
      <c r="A251" s="5" t="n"/>
      <c r="B251" s="5" t="n"/>
      <c r="C251" s="5" t="n"/>
      <c r="D251" s="5" t="n"/>
      <c r="E251" s="5" t="n"/>
      <c r="F251" s="5" t="n"/>
      <c r="G251" s="5" t="n"/>
    </row>
    <row r="252" ht="15.75" customHeight="1" s="115">
      <c r="A252" s="5" t="n"/>
      <c r="B252" s="5" t="n"/>
      <c r="C252" s="5" t="n"/>
      <c r="D252" s="5" t="n"/>
      <c r="E252" s="5" t="n"/>
      <c r="F252" s="5" t="n"/>
      <c r="G252" s="5" t="n"/>
    </row>
    <row r="253" ht="15.75" customHeight="1" s="115">
      <c r="A253" s="5" t="n"/>
      <c r="B253" s="5" t="n"/>
      <c r="C253" s="5" t="n"/>
      <c r="D253" s="5" t="n"/>
      <c r="E253" s="5" t="n"/>
      <c r="F253" s="5" t="n"/>
      <c r="G253" s="5" t="n"/>
    </row>
    <row r="254" ht="15.75" customHeight="1" s="115">
      <c r="A254" s="5" t="n"/>
      <c r="B254" s="5" t="n"/>
      <c r="C254" s="5" t="n"/>
      <c r="D254" s="5" t="n"/>
      <c r="E254" s="5" t="n"/>
      <c r="F254" s="5" t="n"/>
      <c r="G254" s="5" t="n"/>
    </row>
    <row r="255" ht="15.75" customHeight="1" s="115">
      <c r="A255" s="5" t="n"/>
      <c r="B255" s="5" t="n"/>
      <c r="C255" s="5" t="n"/>
      <c r="D255" s="5" t="n"/>
      <c r="E255" s="5" t="n"/>
      <c r="F255" s="5" t="n"/>
      <c r="G255" s="5" t="n"/>
    </row>
    <row r="256" ht="15.75" customHeight="1" s="115">
      <c r="A256" s="5" t="n"/>
      <c r="B256" s="5" t="n"/>
      <c r="C256" s="5" t="n"/>
      <c r="D256" s="5" t="n"/>
      <c r="E256" s="5" t="n"/>
      <c r="F256" s="5" t="n"/>
      <c r="G256" s="5" t="n"/>
    </row>
    <row r="257" ht="15.75" customHeight="1" s="115">
      <c r="A257" s="5" t="n"/>
      <c r="B257" s="5" t="n"/>
      <c r="C257" s="5" t="n"/>
      <c r="D257" s="5" t="n"/>
      <c r="E257" s="5" t="n"/>
      <c r="F257" s="5" t="n"/>
      <c r="G257" s="5" t="n"/>
    </row>
    <row r="258" ht="15.75" customHeight="1" s="115">
      <c r="A258" s="5" t="n"/>
      <c r="B258" s="5" t="n"/>
      <c r="C258" s="5" t="n"/>
      <c r="D258" s="5" t="n"/>
      <c r="E258" s="5" t="n"/>
      <c r="F258" s="5" t="n"/>
      <c r="G258" s="5" t="n"/>
    </row>
    <row r="259" ht="15.75" customHeight="1" s="115">
      <c r="A259" s="5" t="n"/>
      <c r="B259" s="5" t="n"/>
      <c r="C259" s="5" t="n"/>
      <c r="D259" s="5" t="n"/>
      <c r="E259" s="5" t="n"/>
      <c r="F259" s="5" t="n"/>
      <c r="G259" s="5" t="n"/>
    </row>
    <row r="260" ht="15.75" customHeight="1" s="115">
      <c r="A260" s="5" t="n"/>
      <c r="B260" s="5" t="n"/>
      <c r="C260" s="5" t="n"/>
      <c r="D260" s="5" t="n"/>
      <c r="E260" s="5" t="n"/>
      <c r="F260" s="5" t="n"/>
      <c r="G260" s="5" t="n"/>
    </row>
    <row r="261" ht="15.75" customHeight="1" s="115">
      <c r="A261" s="5" t="n"/>
      <c r="B261" s="5" t="n"/>
      <c r="C261" s="5" t="n"/>
      <c r="D261" s="5" t="n"/>
      <c r="E261" s="5" t="n"/>
      <c r="F261" s="5" t="n"/>
      <c r="G261" s="5" t="n"/>
    </row>
    <row r="262" ht="15.75" customHeight="1" s="115">
      <c r="A262" s="5" t="n"/>
      <c r="B262" s="5" t="n"/>
      <c r="C262" s="5" t="n"/>
      <c r="D262" s="5" t="n"/>
      <c r="E262" s="5" t="n"/>
      <c r="F262" s="5" t="n"/>
      <c r="G262" s="5" t="n"/>
    </row>
    <row r="263" ht="15.75" customHeight="1" s="115">
      <c r="A263" s="5" t="n"/>
      <c r="B263" s="5" t="n"/>
      <c r="C263" s="5" t="n"/>
      <c r="D263" s="5" t="n"/>
      <c r="E263" s="5" t="n"/>
      <c r="F263" s="5" t="n"/>
      <c r="G263" s="5" t="n"/>
    </row>
    <row r="264" ht="15.75" customHeight="1" s="115">
      <c r="A264" s="5" t="n"/>
      <c r="B264" s="5" t="n"/>
      <c r="C264" s="5" t="n"/>
      <c r="D264" s="5" t="n"/>
      <c r="E264" s="5" t="n"/>
      <c r="F264" s="5" t="n"/>
      <c r="G264" s="5" t="n"/>
    </row>
    <row r="265" ht="15.75" customHeight="1" s="115">
      <c r="A265" s="5" t="n"/>
      <c r="B265" s="5" t="n"/>
      <c r="C265" s="5" t="n"/>
      <c r="D265" s="5" t="n"/>
      <c r="E265" s="5" t="n"/>
      <c r="F265" s="5" t="n"/>
      <c r="G265" s="5" t="n"/>
    </row>
    <row r="266" ht="15.75" customHeight="1" s="115">
      <c r="A266" s="5" t="n"/>
      <c r="B266" s="5" t="n"/>
      <c r="C266" s="5" t="n"/>
      <c r="D266" s="5" t="n"/>
      <c r="E266" s="5" t="n"/>
      <c r="F266" s="5" t="n"/>
      <c r="G266" s="5" t="n"/>
    </row>
    <row r="267" ht="15.75" customHeight="1" s="115">
      <c r="A267" s="5" t="n"/>
      <c r="B267" s="5" t="n"/>
      <c r="C267" s="5" t="n"/>
      <c r="D267" s="5" t="n"/>
      <c r="E267" s="5" t="n"/>
      <c r="F267" s="5" t="n"/>
      <c r="G267" s="5" t="n"/>
    </row>
    <row r="268" ht="15.75" customHeight="1" s="115">
      <c r="A268" s="5" t="n"/>
      <c r="B268" s="5" t="n"/>
      <c r="C268" s="5" t="n"/>
      <c r="D268" s="5" t="n"/>
      <c r="E268" s="5" t="n"/>
      <c r="F268" s="5" t="n"/>
      <c r="G268" s="5" t="n"/>
    </row>
    <row r="269" ht="15.75" customHeight="1" s="115">
      <c r="A269" s="5" t="n"/>
      <c r="B269" s="5" t="n"/>
      <c r="C269" s="5" t="n"/>
      <c r="D269" s="5" t="n"/>
      <c r="E269" s="5" t="n"/>
      <c r="F269" s="5" t="n"/>
      <c r="G269" s="5" t="n"/>
    </row>
    <row r="270" ht="15.75" customHeight="1" s="115">
      <c r="A270" s="5" t="n"/>
      <c r="B270" s="5" t="n"/>
      <c r="C270" s="5" t="n"/>
      <c r="D270" s="5" t="n"/>
      <c r="E270" s="5" t="n"/>
      <c r="F270" s="5" t="n"/>
      <c r="G270" s="5" t="n"/>
    </row>
    <row r="271" ht="15.75" customHeight="1" s="115">
      <c r="A271" s="5" t="n"/>
      <c r="B271" s="5" t="n"/>
      <c r="C271" s="5" t="n"/>
      <c r="D271" s="5" t="n"/>
      <c r="E271" s="5" t="n"/>
      <c r="F271" s="5" t="n"/>
      <c r="G271" s="5" t="n"/>
    </row>
    <row r="272" ht="15.75" customHeight="1" s="115">
      <c r="A272" s="5" t="n"/>
      <c r="B272" s="5" t="n"/>
      <c r="C272" s="5" t="n"/>
      <c r="D272" s="5" t="n"/>
      <c r="E272" s="5" t="n"/>
      <c r="F272" s="5" t="n"/>
      <c r="G272" s="5" t="n"/>
    </row>
    <row r="273" ht="15.75" customHeight="1" s="115">
      <c r="A273" s="5" t="n"/>
      <c r="B273" s="5" t="n"/>
      <c r="C273" s="5" t="n"/>
      <c r="D273" s="5" t="n"/>
      <c r="E273" s="5" t="n"/>
      <c r="F273" s="5" t="n"/>
      <c r="G273" s="5" t="n"/>
    </row>
    <row r="274" ht="15.75" customHeight="1" s="115">
      <c r="A274" s="5" t="n"/>
      <c r="B274" s="5" t="n"/>
      <c r="C274" s="5" t="n"/>
      <c r="D274" s="5" t="n"/>
      <c r="E274" s="5" t="n"/>
      <c r="F274" s="5" t="n"/>
      <c r="G274" s="5" t="n"/>
    </row>
    <row r="275" ht="15.75" customHeight="1" s="115">
      <c r="A275" s="5" t="n"/>
      <c r="B275" s="5" t="n"/>
      <c r="C275" s="5" t="n"/>
      <c r="D275" s="5" t="n"/>
      <c r="E275" s="5" t="n"/>
      <c r="F275" s="5" t="n"/>
      <c r="G275" s="5" t="n"/>
    </row>
    <row r="276" ht="15.75" customHeight="1" s="115">
      <c r="A276" s="5" t="n"/>
      <c r="B276" s="5" t="n"/>
      <c r="C276" s="5" t="n"/>
      <c r="D276" s="5" t="n"/>
      <c r="E276" s="5" t="n"/>
      <c r="F276" s="5" t="n"/>
      <c r="G276" s="5" t="n"/>
    </row>
    <row r="277" ht="15.75" customHeight="1" s="115">
      <c r="A277" s="5" t="n"/>
      <c r="B277" s="5" t="n"/>
      <c r="C277" s="5" t="n"/>
      <c r="D277" s="5" t="n"/>
      <c r="E277" s="5" t="n"/>
      <c r="F277" s="5" t="n"/>
      <c r="G277" s="5" t="n"/>
    </row>
    <row r="278" ht="15.75" customHeight="1" s="115">
      <c r="A278" s="5" t="n"/>
      <c r="B278" s="5" t="n"/>
      <c r="C278" s="5" t="n"/>
      <c r="D278" s="5" t="n"/>
      <c r="E278" s="5" t="n"/>
      <c r="F278" s="5" t="n"/>
      <c r="G278" s="5" t="n"/>
    </row>
    <row r="279" ht="15.75" customHeight="1" s="115">
      <c r="A279" s="5" t="n"/>
      <c r="B279" s="5" t="n"/>
      <c r="C279" s="5" t="n"/>
      <c r="D279" s="5" t="n"/>
      <c r="E279" s="5" t="n"/>
      <c r="F279" s="5" t="n"/>
      <c r="G279" s="5" t="n"/>
    </row>
    <row r="280" ht="15.75" customHeight="1" s="115">
      <c r="A280" s="5" t="n"/>
      <c r="B280" s="5" t="n"/>
      <c r="C280" s="5" t="n"/>
      <c r="D280" s="5" t="n"/>
      <c r="E280" s="5" t="n"/>
      <c r="F280" s="5" t="n"/>
      <c r="G280" s="5" t="n"/>
    </row>
    <row r="281" ht="15.75" customHeight="1" s="115">
      <c r="A281" s="5" t="n"/>
      <c r="B281" s="5" t="n"/>
      <c r="C281" s="5" t="n"/>
      <c r="D281" s="5" t="n"/>
      <c r="E281" s="5" t="n"/>
      <c r="F281" s="5" t="n"/>
      <c r="G281" s="5" t="n"/>
    </row>
    <row r="282" ht="15.75" customHeight="1" s="115">
      <c r="A282" s="5" t="n"/>
      <c r="B282" s="5" t="n"/>
      <c r="C282" s="5" t="n"/>
      <c r="D282" s="5" t="n"/>
      <c r="E282" s="5" t="n"/>
      <c r="F282" s="5" t="n"/>
      <c r="G282" s="5" t="n"/>
    </row>
    <row r="283" ht="15.75" customHeight="1" s="115">
      <c r="A283" s="5" t="n"/>
      <c r="B283" s="5" t="n"/>
      <c r="C283" s="5" t="n"/>
      <c r="D283" s="5" t="n"/>
      <c r="E283" s="5" t="n"/>
      <c r="F283" s="5" t="n"/>
      <c r="G283" s="5" t="n"/>
    </row>
    <row r="284" ht="15.75" customHeight="1" s="115">
      <c r="A284" s="5" t="n"/>
      <c r="B284" s="5" t="n"/>
      <c r="C284" s="5" t="n"/>
      <c r="D284" s="5" t="n"/>
      <c r="E284" s="5" t="n"/>
      <c r="F284" s="5" t="n"/>
      <c r="G284" s="5" t="n"/>
    </row>
    <row r="285" ht="15.75" customHeight="1" s="115">
      <c r="A285" s="5" t="n"/>
      <c r="B285" s="5" t="n"/>
      <c r="C285" s="5" t="n"/>
      <c r="D285" s="5" t="n"/>
      <c r="E285" s="5" t="n"/>
      <c r="F285" s="5" t="n"/>
      <c r="G285" s="5" t="n"/>
    </row>
    <row r="286" ht="15.75" customHeight="1" s="115">
      <c r="A286" s="5" t="n"/>
      <c r="B286" s="5" t="n"/>
      <c r="C286" s="5" t="n"/>
      <c r="D286" s="5" t="n"/>
      <c r="E286" s="5" t="n"/>
      <c r="F286" s="5" t="n"/>
      <c r="G286" s="5" t="n"/>
    </row>
    <row r="287" ht="15.75" customHeight="1" s="115">
      <c r="A287" s="5" t="n"/>
      <c r="B287" s="5" t="n"/>
      <c r="C287" s="5" t="n"/>
      <c r="D287" s="5" t="n"/>
      <c r="E287" s="5" t="n"/>
      <c r="F287" s="5" t="n"/>
      <c r="G287" s="5" t="n"/>
    </row>
    <row r="288" ht="15.75" customHeight="1" s="115">
      <c r="A288" s="5" t="n"/>
      <c r="B288" s="5" t="n"/>
      <c r="C288" s="5" t="n"/>
      <c r="D288" s="5" t="n"/>
      <c r="E288" s="5" t="n"/>
      <c r="F288" s="5" t="n"/>
      <c r="G288" s="5" t="n"/>
    </row>
    <row r="289" ht="15.75" customHeight="1" s="115">
      <c r="A289" s="5" t="n"/>
      <c r="B289" s="5" t="n"/>
      <c r="C289" s="5" t="n"/>
      <c r="D289" s="5" t="n"/>
      <c r="E289" s="5" t="n"/>
      <c r="F289" s="5" t="n"/>
      <c r="G289" s="5" t="n"/>
    </row>
    <row r="290" ht="15.75" customHeight="1" s="115">
      <c r="A290" s="5" t="n"/>
      <c r="B290" s="5" t="n"/>
      <c r="C290" s="5" t="n"/>
      <c r="D290" s="5" t="n"/>
      <c r="E290" s="5" t="n"/>
      <c r="F290" s="5" t="n"/>
      <c r="G290" s="5" t="n"/>
    </row>
    <row r="291" ht="15.75" customHeight="1" s="115">
      <c r="A291" s="5" t="n"/>
      <c r="B291" s="5" t="n"/>
      <c r="C291" s="5" t="n"/>
      <c r="D291" s="5" t="n"/>
      <c r="E291" s="5" t="n"/>
      <c r="F291" s="5" t="n"/>
      <c r="G291" s="5" t="n"/>
    </row>
    <row r="292" ht="15.75" customHeight="1" s="115">
      <c r="A292" s="5" t="n"/>
      <c r="B292" s="5" t="n"/>
      <c r="C292" s="5" t="n"/>
      <c r="D292" s="5" t="n"/>
      <c r="E292" s="5" t="n"/>
      <c r="F292" s="5" t="n"/>
      <c r="G292" s="5" t="n"/>
    </row>
    <row r="293" ht="15.75" customHeight="1" s="115">
      <c r="A293" s="5" t="n"/>
      <c r="B293" s="5" t="n"/>
      <c r="C293" s="5" t="n"/>
      <c r="D293" s="5" t="n"/>
      <c r="E293" s="5" t="n"/>
      <c r="F293" s="5" t="n"/>
      <c r="G293" s="5" t="n"/>
    </row>
    <row r="294" ht="15.75" customHeight="1" s="115">
      <c r="A294" s="5" t="n"/>
      <c r="B294" s="5" t="n"/>
      <c r="C294" s="5" t="n"/>
      <c r="D294" s="5" t="n"/>
      <c r="E294" s="5" t="n"/>
      <c r="F294" s="5" t="n"/>
      <c r="G294" s="5" t="n"/>
    </row>
    <row r="295" ht="15.75" customHeight="1" s="115">
      <c r="A295" s="5" t="n"/>
      <c r="B295" s="5" t="n"/>
      <c r="C295" s="5" t="n"/>
      <c r="D295" s="5" t="n"/>
      <c r="E295" s="5" t="n"/>
      <c r="F295" s="5" t="n"/>
      <c r="G295" s="5" t="n"/>
    </row>
    <row r="296" ht="15.75" customHeight="1" s="115">
      <c r="A296" s="5" t="n"/>
      <c r="B296" s="5" t="n"/>
      <c r="C296" s="5" t="n"/>
      <c r="D296" s="5" t="n"/>
      <c r="E296" s="5" t="n"/>
      <c r="F296" s="5" t="n"/>
      <c r="G296" s="5" t="n"/>
    </row>
    <row r="297" ht="15.75" customHeight="1" s="115">
      <c r="A297" s="5" t="n"/>
      <c r="B297" s="5" t="n"/>
      <c r="C297" s="5" t="n"/>
      <c r="D297" s="5" t="n"/>
      <c r="E297" s="5" t="n"/>
      <c r="F297" s="5" t="n"/>
      <c r="G297" s="5" t="n"/>
    </row>
    <row r="298" ht="15.75" customHeight="1" s="115">
      <c r="A298" s="5" t="n"/>
      <c r="B298" s="5" t="n"/>
      <c r="C298" s="5" t="n"/>
      <c r="D298" s="5" t="n"/>
      <c r="E298" s="5" t="n"/>
      <c r="F298" s="5" t="n"/>
      <c r="G298" s="5" t="n"/>
    </row>
    <row r="299" ht="15.75" customHeight="1" s="115">
      <c r="A299" s="5" t="n"/>
      <c r="B299" s="5" t="n"/>
      <c r="C299" s="5" t="n"/>
      <c r="D299" s="5" t="n"/>
      <c r="E299" s="5" t="n"/>
      <c r="F299" s="5" t="n"/>
      <c r="G299" s="5" t="n"/>
    </row>
    <row r="300" ht="15.75" customHeight="1" s="115">
      <c r="A300" s="5" t="n"/>
      <c r="B300" s="5" t="n"/>
      <c r="C300" s="5" t="n"/>
      <c r="D300" s="5" t="n"/>
      <c r="E300" s="5" t="n"/>
      <c r="F300" s="5" t="n"/>
      <c r="G300" s="5" t="n"/>
    </row>
    <row r="301" ht="15.75" customHeight="1" s="115">
      <c r="A301" s="5" t="n"/>
      <c r="B301" s="5" t="n"/>
      <c r="C301" s="5" t="n"/>
      <c r="D301" s="5" t="n"/>
      <c r="E301" s="5" t="n"/>
      <c r="F301" s="5" t="n"/>
      <c r="G301" s="5" t="n"/>
    </row>
    <row r="302" ht="15.75" customHeight="1" s="115">
      <c r="A302" s="5" t="n"/>
      <c r="B302" s="5" t="n"/>
      <c r="C302" s="5" t="n"/>
      <c r="D302" s="5" t="n"/>
      <c r="E302" s="5" t="n"/>
      <c r="F302" s="5" t="n"/>
      <c r="G302" s="5" t="n"/>
    </row>
    <row r="303" ht="15.75" customHeight="1" s="115">
      <c r="A303" s="5" t="n"/>
      <c r="B303" s="5" t="n"/>
      <c r="C303" s="5" t="n"/>
      <c r="D303" s="5" t="n"/>
      <c r="E303" s="5" t="n"/>
      <c r="F303" s="5" t="n"/>
      <c r="G303" s="5" t="n"/>
    </row>
    <row r="304" ht="15.75" customHeight="1" s="115">
      <c r="A304" s="5" t="n"/>
      <c r="B304" s="5" t="n"/>
      <c r="C304" s="5" t="n"/>
      <c r="D304" s="5" t="n"/>
      <c r="E304" s="5" t="n"/>
      <c r="F304" s="5" t="n"/>
      <c r="G304" s="5" t="n"/>
    </row>
    <row r="305" ht="15.75" customHeight="1" s="115">
      <c r="A305" s="5" t="n"/>
      <c r="B305" s="5" t="n"/>
      <c r="C305" s="5" t="n"/>
      <c r="D305" s="5" t="n"/>
      <c r="E305" s="5" t="n"/>
      <c r="F305" s="5" t="n"/>
      <c r="G305" s="5" t="n"/>
    </row>
    <row r="306" ht="15.75" customHeight="1" s="115">
      <c r="A306" s="5" t="n"/>
      <c r="B306" s="5" t="n"/>
      <c r="C306" s="5" t="n"/>
      <c r="D306" s="5" t="n"/>
      <c r="E306" s="5" t="n"/>
      <c r="F306" s="5" t="n"/>
      <c r="G306" s="5" t="n"/>
    </row>
    <row r="307" ht="15.75" customHeight="1" s="115">
      <c r="A307" s="5" t="n"/>
      <c r="B307" s="5" t="n"/>
      <c r="C307" s="5" t="n"/>
      <c r="D307" s="5" t="n"/>
      <c r="E307" s="5" t="n"/>
      <c r="F307" s="5" t="n"/>
      <c r="G307" s="5" t="n"/>
    </row>
    <row r="308" ht="15.75" customHeight="1" s="115">
      <c r="A308" s="5" t="n"/>
      <c r="B308" s="5" t="n"/>
      <c r="C308" s="5" t="n"/>
      <c r="D308" s="5" t="n"/>
      <c r="E308" s="5" t="n"/>
      <c r="F308" s="5" t="n"/>
      <c r="G308" s="5" t="n"/>
    </row>
    <row r="309" ht="15.75" customHeight="1" s="115">
      <c r="A309" s="5" t="n"/>
      <c r="B309" s="5" t="n"/>
      <c r="C309" s="5" t="n"/>
      <c r="D309" s="5" t="n"/>
      <c r="E309" s="5" t="n"/>
      <c r="F309" s="5" t="n"/>
      <c r="G309" s="5" t="n"/>
    </row>
    <row r="310" ht="15.75" customHeight="1" s="115">
      <c r="A310" s="5" t="n"/>
      <c r="B310" s="5" t="n"/>
      <c r="C310" s="5" t="n"/>
      <c r="D310" s="5" t="n"/>
      <c r="E310" s="5" t="n"/>
      <c r="F310" s="5" t="n"/>
      <c r="G310" s="5" t="n"/>
    </row>
    <row r="311" ht="15.75" customHeight="1" s="115">
      <c r="A311" s="5" t="n"/>
      <c r="B311" s="5" t="n"/>
      <c r="C311" s="5" t="n"/>
      <c r="D311" s="5" t="n"/>
      <c r="E311" s="5" t="n"/>
      <c r="F311" s="5" t="n"/>
      <c r="G311" s="5" t="n"/>
    </row>
    <row r="312" ht="15.75" customHeight="1" s="115">
      <c r="A312" s="5" t="n"/>
      <c r="B312" s="5" t="n"/>
      <c r="C312" s="5" t="n"/>
      <c r="D312" s="5" t="n"/>
      <c r="E312" s="5" t="n"/>
      <c r="F312" s="5" t="n"/>
      <c r="G312" s="5" t="n"/>
    </row>
    <row r="313" ht="15.75" customHeight="1" s="115">
      <c r="A313" s="5" t="n"/>
      <c r="B313" s="5" t="n"/>
      <c r="C313" s="5" t="n"/>
      <c r="D313" s="5" t="n"/>
      <c r="E313" s="5" t="n"/>
      <c r="F313" s="5" t="n"/>
      <c r="G313" s="5" t="n"/>
    </row>
    <row r="314" ht="15.75" customHeight="1" s="115">
      <c r="A314" s="5" t="n"/>
      <c r="B314" s="5" t="n"/>
      <c r="C314" s="5" t="n"/>
      <c r="D314" s="5" t="n"/>
      <c r="E314" s="5" t="n"/>
      <c r="F314" s="5" t="n"/>
      <c r="G314" s="5" t="n"/>
    </row>
    <row r="315" ht="15.75" customHeight="1" s="115">
      <c r="A315" s="5" t="n"/>
      <c r="B315" s="5" t="n"/>
      <c r="C315" s="5" t="n"/>
      <c r="D315" s="5" t="n"/>
      <c r="E315" s="5" t="n"/>
      <c r="F315" s="5" t="n"/>
      <c r="G315" s="5" t="n"/>
    </row>
    <row r="316" ht="15.75" customHeight="1" s="115">
      <c r="A316" s="5" t="n"/>
      <c r="B316" s="5" t="n"/>
      <c r="C316" s="5" t="n"/>
      <c r="D316" s="5" t="n"/>
      <c r="E316" s="5" t="n"/>
      <c r="F316" s="5" t="n"/>
      <c r="G316" s="5" t="n"/>
    </row>
    <row r="317" ht="15.75" customHeight="1" s="115">
      <c r="A317" s="5" t="n"/>
      <c r="B317" s="5" t="n"/>
      <c r="C317" s="5" t="n"/>
      <c r="D317" s="5" t="n"/>
      <c r="E317" s="5" t="n"/>
      <c r="F317" s="5" t="n"/>
      <c r="G317" s="5" t="n"/>
    </row>
    <row r="318" ht="15.75" customHeight="1" s="115">
      <c r="A318" s="5" t="n"/>
      <c r="B318" s="5" t="n"/>
      <c r="C318" s="5" t="n"/>
      <c r="D318" s="5" t="n"/>
      <c r="E318" s="5" t="n"/>
      <c r="F318" s="5" t="n"/>
      <c r="G318" s="5" t="n"/>
    </row>
    <row r="319" ht="15.75" customHeight="1" s="115">
      <c r="A319" s="5" t="n"/>
      <c r="B319" s="5" t="n"/>
      <c r="C319" s="5" t="n"/>
      <c r="D319" s="5" t="n"/>
      <c r="E319" s="5" t="n"/>
      <c r="F319" s="5" t="n"/>
      <c r="G319" s="5" t="n"/>
    </row>
    <row r="320" ht="15.75" customHeight="1" s="115">
      <c r="A320" s="5" t="n"/>
      <c r="B320" s="5" t="n"/>
      <c r="C320" s="5" t="n"/>
      <c r="D320" s="5" t="n"/>
      <c r="E320" s="5" t="n"/>
      <c r="F320" s="5" t="n"/>
      <c r="G320" s="5" t="n"/>
    </row>
    <row r="321" ht="15.75" customHeight="1" s="115">
      <c r="A321" s="5" t="n"/>
      <c r="B321" s="5" t="n"/>
      <c r="C321" s="5" t="n"/>
      <c r="D321" s="5" t="n"/>
      <c r="E321" s="5" t="n"/>
      <c r="F321" s="5" t="n"/>
      <c r="G321" s="5" t="n"/>
    </row>
    <row r="322" ht="15.75" customHeight="1" s="115">
      <c r="A322" s="5" t="n"/>
      <c r="B322" s="5" t="n"/>
      <c r="C322" s="5" t="n"/>
      <c r="D322" s="5" t="n"/>
      <c r="E322" s="5" t="n"/>
      <c r="F322" s="5" t="n"/>
      <c r="G322" s="5" t="n"/>
    </row>
    <row r="323" ht="15.75" customHeight="1" s="115">
      <c r="A323" s="5" t="n"/>
      <c r="B323" s="5" t="n"/>
      <c r="C323" s="5" t="n"/>
      <c r="D323" s="5" t="n"/>
      <c r="E323" s="5" t="n"/>
      <c r="F323" s="5" t="n"/>
      <c r="G323" s="5" t="n"/>
    </row>
    <row r="324" ht="15.75" customHeight="1" s="115">
      <c r="A324" s="5" t="n"/>
      <c r="B324" s="5" t="n"/>
      <c r="C324" s="5" t="n"/>
      <c r="D324" s="5" t="n"/>
      <c r="E324" s="5" t="n"/>
      <c r="F324" s="5" t="n"/>
      <c r="G324" s="5" t="n"/>
    </row>
    <row r="325" ht="15.75" customHeight="1" s="115">
      <c r="A325" s="5" t="n"/>
      <c r="B325" s="5" t="n"/>
      <c r="C325" s="5" t="n"/>
      <c r="D325" s="5" t="n"/>
      <c r="E325" s="5" t="n"/>
      <c r="F325" s="5" t="n"/>
      <c r="G325" s="5" t="n"/>
    </row>
    <row r="326" ht="15.75" customHeight="1" s="115">
      <c r="A326" s="5" t="n"/>
      <c r="B326" s="5" t="n"/>
      <c r="C326" s="5" t="n"/>
      <c r="D326" s="5" t="n"/>
      <c r="E326" s="5" t="n"/>
      <c r="F326" s="5" t="n"/>
      <c r="G326" s="5" t="n"/>
    </row>
    <row r="327" ht="15.75" customHeight="1" s="115">
      <c r="A327" s="5" t="n"/>
      <c r="B327" s="5" t="n"/>
      <c r="C327" s="5" t="n"/>
      <c r="D327" s="5" t="n"/>
      <c r="E327" s="5" t="n"/>
      <c r="F327" s="5" t="n"/>
      <c r="G327" s="5" t="n"/>
    </row>
    <row r="328" ht="15.75" customHeight="1" s="115">
      <c r="A328" s="5" t="n"/>
      <c r="B328" s="5" t="n"/>
      <c r="C328" s="5" t="n"/>
      <c r="D328" s="5" t="n"/>
      <c r="E328" s="5" t="n"/>
      <c r="F328" s="5" t="n"/>
      <c r="G328" s="5" t="n"/>
    </row>
    <row r="329" ht="15.75" customHeight="1" s="115">
      <c r="A329" s="5" t="n"/>
      <c r="B329" s="5" t="n"/>
      <c r="C329" s="5" t="n"/>
      <c r="D329" s="5" t="n"/>
      <c r="E329" s="5" t="n"/>
      <c r="F329" s="5" t="n"/>
      <c r="G329" s="5" t="n"/>
    </row>
    <row r="330" ht="15.75" customHeight="1" s="115">
      <c r="A330" s="5" t="n"/>
      <c r="B330" s="5" t="n"/>
      <c r="C330" s="5" t="n"/>
      <c r="D330" s="5" t="n"/>
      <c r="E330" s="5" t="n"/>
      <c r="F330" s="5" t="n"/>
      <c r="G330" s="5" t="n"/>
    </row>
    <row r="331" ht="15.75" customHeight="1" s="115">
      <c r="A331" s="5" t="n"/>
      <c r="B331" s="5" t="n"/>
      <c r="C331" s="5" t="n"/>
      <c r="D331" s="5" t="n"/>
      <c r="E331" s="5" t="n"/>
      <c r="F331" s="5" t="n"/>
      <c r="G331" s="5" t="n"/>
    </row>
    <row r="332" ht="15.75" customHeight="1" s="115">
      <c r="A332" s="5" t="n"/>
      <c r="B332" s="5" t="n"/>
      <c r="C332" s="5" t="n"/>
      <c r="D332" s="5" t="n"/>
      <c r="E332" s="5" t="n"/>
      <c r="F332" s="5" t="n"/>
      <c r="G332" s="5" t="n"/>
    </row>
    <row r="333" ht="15.75" customHeight="1" s="115">
      <c r="A333" s="5" t="n"/>
      <c r="B333" s="5" t="n"/>
      <c r="C333" s="5" t="n"/>
      <c r="D333" s="5" t="n"/>
      <c r="E333" s="5" t="n"/>
      <c r="F333" s="5" t="n"/>
      <c r="G333" s="5" t="n"/>
    </row>
    <row r="334" ht="15.75" customHeight="1" s="115">
      <c r="A334" s="5" t="n"/>
      <c r="B334" s="5" t="n"/>
      <c r="C334" s="5" t="n"/>
      <c r="D334" s="5" t="n"/>
      <c r="E334" s="5" t="n"/>
      <c r="F334" s="5" t="n"/>
      <c r="G334" s="5" t="n"/>
    </row>
    <row r="335" ht="15.75" customHeight="1" s="115">
      <c r="A335" s="5" t="n"/>
      <c r="B335" s="5" t="n"/>
      <c r="C335" s="5" t="n"/>
      <c r="D335" s="5" t="n"/>
      <c r="E335" s="5" t="n"/>
      <c r="F335" s="5" t="n"/>
      <c r="G335" s="5" t="n"/>
    </row>
    <row r="336" ht="15.75" customHeight="1" s="115">
      <c r="A336" s="5" t="n"/>
      <c r="B336" s="5" t="n"/>
      <c r="C336" s="5" t="n"/>
      <c r="D336" s="5" t="n"/>
      <c r="E336" s="5" t="n"/>
      <c r="F336" s="5" t="n"/>
      <c r="G336" s="5" t="n"/>
    </row>
    <row r="337" ht="15.75" customHeight="1" s="115">
      <c r="A337" s="5" t="n"/>
      <c r="B337" s="5" t="n"/>
      <c r="C337" s="5" t="n"/>
      <c r="D337" s="5" t="n"/>
      <c r="E337" s="5" t="n"/>
      <c r="F337" s="5" t="n"/>
      <c r="G337" s="5" t="n"/>
    </row>
    <row r="338" ht="15.75" customHeight="1" s="115">
      <c r="A338" s="5" t="n"/>
      <c r="B338" s="5" t="n"/>
      <c r="C338" s="5" t="n"/>
      <c r="D338" s="5" t="n"/>
      <c r="E338" s="5" t="n"/>
      <c r="F338" s="5" t="n"/>
      <c r="G338" s="5" t="n"/>
    </row>
    <row r="339" ht="15.75" customHeight="1" s="115">
      <c r="A339" s="5" t="n"/>
      <c r="B339" s="5" t="n"/>
      <c r="C339" s="5" t="n"/>
      <c r="D339" s="5" t="n"/>
      <c r="E339" s="5" t="n"/>
      <c r="F339" s="5" t="n"/>
      <c r="G339" s="5" t="n"/>
    </row>
    <row r="340" ht="15.75" customHeight="1" s="115">
      <c r="A340" s="5" t="n"/>
      <c r="B340" s="5" t="n"/>
      <c r="C340" s="5" t="n"/>
      <c r="D340" s="5" t="n"/>
      <c r="E340" s="5" t="n"/>
      <c r="F340" s="5" t="n"/>
      <c r="G340" s="5" t="n"/>
    </row>
    <row r="341" ht="15.75" customHeight="1" s="115">
      <c r="A341" s="5" t="n"/>
      <c r="B341" s="5" t="n"/>
      <c r="C341" s="5" t="n"/>
      <c r="D341" s="5" t="n"/>
      <c r="E341" s="5" t="n"/>
      <c r="F341" s="5" t="n"/>
      <c r="G341" s="5" t="n"/>
    </row>
    <row r="342" ht="15.75" customHeight="1" s="115">
      <c r="A342" s="5" t="n"/>
      <c r="B342" s="5" t="n"/>
      <c r="C342" s="5" t="n"/>
      <c r="D342" s="5" t="n"/>
      <c r="E342" s="5" t="n"/>
      <c r="F342" s="5" t="n"/>
      <c r="G342" s="5" t="n"/>
    </row>
    <row r="343" ht="15.75" customHeight="1" s="115">
      <c r="A343" s="5" t="n"/>
      <c r="B343" s="5" t="n"/>
      <c r="C343" s="5" t="n"/>
      <c r="D343" s="5" t="n"/>
      <c r="E343" s="5" t="n"/>
      <c r="F343" s="5" t="n"/>
      <c r="G343" s="5" t="n"/>
    </row>
    <row r="344" ht="15.75" customHeight="1" s="115">
      <c r="A344" s="5" t="n"/>
      <c r="B344" s="5" t="n"/>
      <c r="C344" s="5" t="n"/>
      <c r="D344" s="5" t="n"/>
      <c r="E344" s="5" t="n"/>
      <c r="F344" s="5" t="n"/>
      <c r="G344" s="5" t="n"/>
    </row>
    <row r="345" ht="15.75" customHeight="1" s="115">
      <c r="A345" s="5" t="n"/>
      <c r="B345" s="5" t="n"/>
      <c r="C345" s="5" t="n"/>
      <c r="D345" s="5" t="n"/>
      <c r="E345" s="5" t="n"/>
      <c r="F345" s="5" t="n"/>
      <c r="G345" s="5" t="n"/>
    </row>
    <row r="346" ht="15.75" customHeight="1" s="115">
      <c r="A346" s="5" t="n"/>
      <c r="B346" s="5" t="n"/>
      <c r="C346" s="5" t="n"/>
      <c r="D346" s="5" t="n"/>
      <c r="E346" s="5" t="n"/>
      <c r="F346" s="5" t="n"/>
      <c r="G346" s="5" t="n"/>
    </row>
    <row r="347" ht="15.75" customHeight="1" s="115">
      <c r="A347" s="5" t="n"/>
      <c r="B347" s="5" t="n"/>
      <c r="C347" s="5" t="n"/>
      <c r="D347" s="5" t="n"/>
      <c r="E347" s="5" t="n"/>
      <c r="F347" s="5" t="n"/>
      <c r="G347" s="5" t="n"/>
    </row>
    <row r="348" ht="15.75" customHeight="1" s="115">
      <c r="A348" s="5" t="n"/>
      <c r="B348" s="5" t="n"/>
      <c r="C348" s="5" t="n"/>
      <c r="D348" s="5" t="n"/>
      <c r="E348" s="5" t="n"/>
      <c r="F348" s="5" t="n"/>
      <c r="G348" s="5" t="n"/>
    </row>
    <row r="349" ht="15.75" customHeight="1" s="115">
      <c r="A349" s="5" t="n"/>
      <c r="B349" s="5" t="n"/>
      <c r="C349" s="5" t="n"/>
      <c r="D349" s="5" t="n"/>
      <c r="E349" s="5" t="n"/>
      <c r="F349" s="5" t="n"/>
      <c r="G349" s="5" t="n"/>
    </row>
    <row r="350" ht="15.75" customHeight="1" s="115">
      <c r="A350" s="5" t="n"/>
      <c r="B350" s="5" t="n"/>
      <c r="C350" s="5" t="n"/>
      <c r="D350" s="5" t="n"/>
      <c r="E350" s="5" t="n"/>
      <c r="F350" s="5" t="n"/>
      <c r="G350" s="5" t="n"/>
    </row>
    <row r="351" ht="15.75" customHeight="1" s="115">
      <c r="A351" s="5" t="n"/>
      <c r="B351" s="5" t="n"/>
      <c r="C351" s="5" t="n"/>
      <c r="D351" s="5" t="n"/>
      <c r="E351" s="5" t="n"/>
      <c r="F351" s="5" t="n"/>
      <c r="G351" s="5" t="n"/>
    </row>
    <row r="352" ht="15.75" customHeight="1" s="115">
      <c r="A352" s="5" t="n"/>
      <c r="B352" s="5" t="n"/>
      <c r="C352" s="5" t="n"/>
      <c r="D352" s="5" t="n"/>
      <c r="E352" s="5" t="n"/>
      <c r="F352" s="5" t="n"/>
      <c r="G352" s="5" t="n"/>
    </row>
    <row r="353" ht="15.75" customHeight="1" s="115">
      <c r="A353" s="5" t="n"/>
      <c r="B353" s="5" t="n"/>
      <c r="C353" s="5" t="n"/>
      <c r="D353" s="5" t="n"/>
      <c r="E353" s="5" t="n"/>
      <c r="F353" s="5" t="n"/>
      <c r="G353" s="5" t="n"/>
    </row>
    <row r="354" ht="15.75" customHeight="1" s="115">
      <c r="A354" s="5" t="n"/>
      <c r="B354" s="5" t="n"/>
      <c r="C354" s="5" t="n"/>
      <c r="D354" s="5" t="n"/>
      <c r="E354" s="5" t="n"/>
      <c r="F354" s="5" t="n"/>
      <c r="G354" s="5" t="n"/>
    </row>
    <row r="355" ht="15.75" customHeight="1" s="115">
      <c r="A355" s="5" t="n"/>
      <c r="B355" s="5" t="n"/>
      <c r="C355" s="5" t="n"/>
      <c r="D355" s="5" t="n"/>
      <c r="E355" s="5" t="n"/>
      <c r="F355" s="5" t="n"/>
      <c r="G355" s="5" t="n"/>
    </row>
    <row r="356" ht="15.75" customHeight="1" s="115">
      <c r="A356" s="5" t="n"/>
      <c r="B356" s="5" t="n"/>
      <c r="C356" s="5" t="n"/>
      <c r="D356" s="5" t="n"/>
      <c r="E356" s="5" t="n"/>
      <c r="F356" s="5" t="n"/>
      <c r="G356" s="5" t="n"/>
    </row>
    <row r="357" ht="15.75" customHeight="1" s="115">
      <c r="A357" s="5" t="n"/>
      <c r="B357" s="5" t="n"/>
      <c r="C357" s="5" t="n"/>
      <c r="D357" s="5" t="n"/>
      <c r="E357" s="5" t="n"/>
      <c r="F357" s="5" t="n"/>
      <c r="G357" s="5" t="n"/>
    </row>
    <row r="358" ht="15.75" customHeight="1" s="115">
      <c r="A358" s="5" t="n"/>
      <c r="B358" s="5" t="n"/>
      <c r="C358" s="5" t="n"/>
      <c r="D358" s="5" t="n"/>
      <c r="E358" s="5" t="n"/>
      <c r="F358" s="5" t="n"/>
      <c r="G358" s="5" t="n"/>
    </row>
    <row r="359" ht="15.75" customHeight="1" s="115">
      <c r="A359" s="5" t="n"/>
      <c r="B359" s="5" t="n"/>
      <c r="C359" s="5" t="n"/>
      <c r="D359" s="5" t="n"/>
      <c r="E359" s="5" t="n"/>
      <c r="F359" s="5" t="n"/>
      <c r="G359" s="5" t="n"/>
    </row>
    <row r="360" ht="15.75" customHeight="1" s="115">
      <c r="A360" s="5" t="n"/>
      <c r="B360" s="5" t="n"/>
      <c r="C360" s="5" t="n"/>
      <c r="D360" s="5" t="n"/>
      <c r="E360" s="5" t="n"/>
      <c r="F360" s="5" t="n"/>
      <c r="G360" s="5" t="n"/>
    </row>
    <row r="361" ht="15.75" customHeight="1" s="115">
      <c r="A361" s="5" t="n"/>
      <c r="B361" s="5" t="n"/>
      <c r="C361" s="5" t="n"/>
      <c r="D361" s="5" t="n"/>
      <c r="E361" s="5" t="n"/>
      <c r="F361" s="5" t="n"/>
      <c r="G361" s="5" t="n"/>
    </row>
    <row r="362" ht="15.75" customHeight="1" s="115">
      <c r="A362" s="5" t="n"/>
      <c r="B362" s="5" t="n"/>
      <c r="C362" s="5" t="n"/>
      <c r="D362" s="5" t="n"/>
      <c r="E362" s="5" t="n"/>
      <c r="F362" s="5" t="n"/>
      <c r="G362" s="5" t="n"/>
    </row>
    <row r="363" ht="15.75" customHeight="1" s="115">
      <c r="A363" s="5" t="n"/>
      <c r="B363" s="5" t="n"/>
      <c r="C363" s="5" t="n"/>
      <c r="D363" s="5" t="n"/>
      <c r="E363" s="5" t="n"/>
      <c r="F363" s="5" t="n"/>
      <c r="G363" s="5" t="n"/>
    </row>
    <row r="364" ht="15.75" customHeight="1" s="115">
      <c r="A364" s="5" t="n"/>
      <c r="B364" s="5" t="n"/>
      <c r="C364" s="5" t="n"/>
      <c r="D364" s="5" t="n"/>
      <c r="E364" s="5" t="n"/>
      <c r="F364" s="5" t="n"/>
      <c r="G364" s="5" t="n"/>
    </row>
    <row r="365" ht="15.75" customHeight="1" s="115">
      <c r="A365" s="5" t="n"/>
      <c r="B365" s="5" t="n"/>
      <c r="C365" s="5" t="n"/>
      <c r="D365" s="5" t="n"/>
      <c r="E365" s="5" t="n"/>
      <c r="F365" s="5" t="n"/>
      <c r="G365" s="5" t="n"/>
    </row>
    <row r="366" ht="15.75" customHeight="1" s="115">
      <c r="A366" s="5" t="n"/>
      <c r="B366" s="5" t="n"/>
      <c r="C366" s="5" t="n"/>
      <c r="D366" s="5" t="n"/>
      <c r="E366" s="5" t="n"/>
      <c r="F366" s="5" t="n"/>
      <c r="G366" s="5" t="n"/>
    </row>
    <row r="367" ht="15.75" customHeight="1" s="115">
      <c r="A367" s="5" t="n"/>
      <c r="B367" s="5" t="n"/>
      <c r="C367" s="5" t="n"/>
      <c r="D367" s="5" t="n"/>
      <c r="E367" s="5" t="n"/>
      <c r="F367" s="5" t="n"/>
      <c r="G367" s="5" t="n"/>
    </row>
    <row r="368" ht="15.75" customHeight="1" s="115">
      <c r="A368" s="5" t="n"/>
      <c r="B368" s="5" t="n"/>
      <c r="C368" s="5" t="n"/>
      <c r="D368" s="5" t="n"/>
      <c r="E368" s="5" t="n"/>
      <c r="F368" s="5" t="n"/>
      <c r="G368" s="5" t="n"/>
    </row>
    <row r="369" ht="15.75" customHeight="1" s="115">
      <c r="A369" s="5" t="n"/>
      <c r="B369" s="5" t="n"/>
      <c r="C369" s="5" t="n"/>
      <c r="D369" s="5" t="n"/>
      <c r="E369" s="5" t="n"/>
      <c r="F369" s="5" t="n"/>
      <c r="G369" s="5" t="n"/>
    </row>
    <row r="370" ht="15.75" customHeight="1" s="115">
      <c r="A370" s="5" t="n"/>
      <c r="B370" s="5" t="n"/>
      <c r="C370" s="5" t="n"/>
      <c r="D370" s="5" t="n"/>
      <c r="E370" s="5" t="n"/>
      <c r="F370" s="5" t="n"/>
      <c r="G370" s="5" t="n"/>
    </row>
    <row r="371" ht="15.75" customHeight="1" s="115">
      <c r="A371" s="5" t="n"/>
      <c r="B371" s="5" t="n"/>
      <c r="C371" s="5" t="n"/>
      <c r="D371" s="5" t="n"/>
      <c r="E371" s="5" t="n"/>
      <c r="F371" s="5" t="n"/>
      <c r="G371" s="5" t="n"/>
    </row>
    <row r="372" ht="15.75" customHeight="1" s="115">
      <c r="A372" s="5" t="n"/>
      <c r="B372" s="5" t="n"/>
      <c r="C372" s="5" t="n"/>
      <c r="D372" s="5" t="n"/>
      <c r="E372" s="5" t="n"/>
      <c r="F372" s="5" t="n"/>
      <c r="G372" s="5" t="n"/>
    </row>
    <row r="373" ht="15.75" customHeight="1" s="115">
      <c r="A373" s="5" t="n"/>
      <c r="B373" s="5" t="n"/>
      <c r="C373" s="5" t="n"/>
      <c r="D373" s="5" t="n"/>
      <c r="E373" s="5" t="n"/>
      <c r="F373" s="5" t="n"/>
      <c r="G373" s="5" t="n"/>
    </row>
    <row r="374" ht="15.75" customHeight="1" s="115">
      <c r="A374" s="5" t="n"/>
      <c r="B374" s="5" t="n"/>
      <c r="C374" s="5" t="n"/>
      <c r="D374" s="5" t="n"/>
      <c r="E374" s="5" t="n"/>
      <c r="F374" s="5" t="n"/>
      <c r="G374" s="5" t="n"/>
    </row>
    <row r="375" ht="15.75" customHeight="1" s="115">
      <c r="A375" s="5" t="n"/>
      <c r="B375" s="5" t="n"/>
      <c r="C375" s="5" t="n"/>
      <c r="D375" s="5" t="n"/>
      <c r="E375" s="5" t="n"/>
      <c r="F375" s="5" t="n"/>
      <c r="G375" s="5" t="n"/>
    </row>
    <row r="376" ht="15.75" customHeight="1" s="115">
      <c r="A376" s="5" t="n"/>
      <c r="B376" s="5" t="n"/>
      <c r="C376" s="5" t="n"/>
      <c r="D376" s="5" t="n"/>
      <c r="E376" s="5" t="n"/>
      <c r="F376" s="5" t="n"/>
      <c r="G376" s="5" t="n"/>
    </row>
    <row r="377" ht="15.75" customHeight="1" s="115">
      <c r="A377" s="5" t="n"/>
      <c r="B377" s="5" t="n"/>
      <c r="C377" s="5" t="n"/>
      <c r="D377" s="5" t="n"/>
      <c r="E377" s="5" t="n"/>
      <c r="F377" s="5" t="n"/>
      <c r="G377" s="5" t="n"/>
    </row>
    <row r="378" ht="15.75" customHeight="1" s="115">
      <c r="A378" s="5" t="n"/>
      <c r="B378" s="5" t="n"/>
      <c r="C378" s="5" t="n"/>
      <c r="D378" s="5" t="n"/>
      <c r="E378" s="5" t="n"/>
      <c r="F378" s="5" t="n"/>
      <c r="G378" s="5" t="n"/>
    </row>
    <row r="379" ht="15.75" customHeight="1" s="115">
      <c r="A379" s="5" t="n"/>
      <c r="B379" s="5" t="n"/>
      <c r="C379" s="5" t="n"/>
      <c r="D379" s="5" t="n"/>
      <c r="E379" s="5" t="n"/>
      <c r="F379" s="5" t="n"/>
      <c r="G379" s="5" t="n"/>
    </row>
    <row r="380" ht="15.75" customHeight="1" s="115">
      <c r="A380" s="5" t="n"/>
      <c r="B380" s="5" t="n"/>
      <c r="C380" s="5" t="n"/>
      <c r="D380" s="5" t="n"/>
      <c r="E380" s="5" t="n"/>
      <c r="F380" s="5" t="n"/>
      <c r="G380" s="5" t="n"/>
    </row>
    <row r="381" ht="15.75" customHeight="1" s="115">
      <c r="A381" s="5" t="n"/>
      <c r="B381" s="5" t="n"/>
      <c r="C381" s="5" t="n"/>
      <c r="D381" s="5" t="n"/>
      <c r="E381" s="5" t="n"/>
      <c r="F381" s="5" t="n"/>
      <c r="G381" s="5" t="n"/>
    </row>
    <row r="382" ht="15.75" customHeight="1" s="115">
      <c r="A382" s="5" t="n"/>
      <c r="B382" s="5" t="n"/>
      <c r="C382" s="5" t="n"/>
      <c r="D382" s="5" t="n"/>
      <c r="E382" s="5" t="n"/>
      <c r="F382" s="5" t="n"/>
      <c r="G382" s="5" t="n"/>
    </row>
    <row r="383" ht="15.75" customHeight="1" s="115">
      <c r="A383" s="5" t="n"/>
      <c r="B383" s="5" t="n"/>
      <c r="C383" s="5" t="n"/>
      <c r="D383" s="5" t="n"/>
      <c r="E383" s="5" t="n"/>
      <c r="F383" s="5" t="n"/>
      <c r="G383" s="5" t="n"/>
    </row>
    <row r="384" ht="15.75" customHeight="1" s="115">
      <c r="A384" s="5" t="n"/>
      <c r="B384" s="5" t="n"/>
      <c r="C384" s="5" t="n"/>
      <c r="D384" s="5" t="n"/>
      <c r="E384" s="5" t="n"/>
      <c r="F384" s="5" t="n"/>
      <c r="G384" s="5" t="n"/>
    </row>
    <row r="385" ht="15.75" customHeight="1" s="115">
      <c r="A385" s="5" t="n"/>
      <c r="B385" s="5" t="n"/>
      <c r="C385" s="5" t="n"/>
      <c r="D385" s="5" t="n"/>
      <c r="E385" s="5" t="n"/>
      <c r="F385" s="5" t="n"/>
      <c r="G385" s="5" t="n"/>
    </row>
    <row r="386" ht="15.75" customHeight="1" s="115">
      <c r="A386" s="5" t="n"/>
      <c r="B386" s="5" t="n"/>
      <c r="C386" s="5" t="n"/>
      <c r="D386" s="5" t="n"/>
      <c r="E386" s="5" t="n"/>
      <c r="F386" s="5" t="n"/>
      <c r="G386" s="5" t="n"/>
    </row>
    <row r="387" ht="15.75" customHeight="1" s="115">
      <c r="A387" s="5" t="n"/>
      <c r="B387" s="5" t="n"/>
      <c r="C387" s="5" t="n"/>
      <c r="D387" s="5" t="n"/>
      <c r="E387" s="5" t="n"/>
      <c r="F387" s="5" t="n"/>
      <c r="G387" s="5" t="n"/>
    </row>
    <row r="388" ht="15.75" customHeight="1" s="115">
      <c r="A388" s="5" t="n"/>
      <c r="B388" s="5" t="n"/>
      <c r="C388" s="5" t="n"/>
      <c r="D388" s="5" t="n"/>
      <c r="E388" s="5" t="n"/>
      <c r="F388" s="5" t="n"/>
      <c r="G388" s="5" t="n"/>
    </row>
    <row r="389" ht="15.75" customHeight="1" s="115">
      <c r="A389" s="5" t="n"/>
      <c r="B389" s="5" t="n"/>
      <c r="C389" s="5" t="n"/>
      <c r="D389" s="5" t="n"/>
      <c r="E389" s="5" t="n"/>
      <c r="F389" s="5" t="n"/>
      <c r="G389" s="5" t="n"/>
    </row>
    <row r="390" ht="15.75" customHeight="1" s="115">
      <c r="A390" s="5" t="n"/>
      <c r="B390" s="5" t="n"/>
      <c r="C390" s="5" t="n"/>
      <c r="D390" s="5" t="n"/>
      <c r="E390" s="5" t="n"/>
      <c r="F390" s="5" t="n"/>
      <c r="G390" s="5" t="n"/>
    </row>
    <row r="391" ht="15.75" customHeight="1" s="115">
      <c r="A391" s="5" t="n"/>
      <c r="B391" s="5" t="n"/>
      <c r="C391" s="5" t="n"/>
      <c r="D391" s="5" t="n"/>
      <c r="E391" s="5" t="n"/>
      <c r="F391" s="5" t="n"/>
      <c r="G391" s="5" t="n"/>
    </row>
    <row r="392" ht="15.75" customHeight="1" s="115">
      <c r="A392" s="5" t="n"/>
      <c r="B392" s="5" t="n"/>
      <c r="C392" s="5" t="n"/>
      <c r="D392" s="5" t="n"/>
      <c r="E392" s="5" t="n"/>
      <c r="F392" s="5" t="n"/>
      <c r="G392" s="5" t="n"/>
    </row>
    <row r="393" ht="15.75" customHeight="1" s="115">
      <c r="A393" s="5" t="n"/>
      <c r="B393" s="5" t="n"/>
      <c r="C393" s="5" t="n"/>
      <c r="D393" s="5" t="n"/>
      <c r="E393" s="5" t="n"/>
      <c r="F393" s="5" t="n"/>
      <c r="G393" s="5" t="n"/>
    </row>
    <row r="394" ht="15.75" customHeight="1" s="115">
      <c r="A394" s="5" t="n"/>
      <c r="B394" s="5" t="n"/>
      <c r="C394" s="5" t="n"/>
      <c r="D394" s="5" t="n"/>
      <c r="E394" s="5" t="n"/>
      <c r="F394" s="5" t="n"/>
      <c r="G394" s="5" t="n"/>
    </row>
    <row r="395" ht="15.75" customHeight="1" s="115">
      <c r="A395" s="5" t="n"/>
      <c r="B395" s="5" t="n"/>
      <c r="C395" s="5" t="n"/>
      <c r="D395" s="5" t="n"/>
      <c r="E395" s="5" t="n"/>
      <c r="F395" s="5" t="n"/>
      <c r="G395" s="5" t="n"/>
    </row>
    <row r="396" ht="15.75" customHeight="1" s="115">
      <c r="A396" s="5" t="n"/>
      <c r="B396" s="5" t="n"/>
      <c r="C396" s="5" t="n"/>
      <c r="D396" s="5" t="n"/>
      <c r="E396" s="5" t="n"/>
      <c r="F396" s="5" t="n"/>
      <c r="G396" s="5" t="n"/>
    </row>
    <row r="397" ht="15.75" customHeight="1" s="115">
      <c r="A397" s="5" t="n"/>
      <c r="B397" s="5" t="n"/>
      <c r="C397" s="5" t="n"/>
      <c r="D397" s="5" t="n"/>
      <c r="E397" s="5" t="n"/>
      <c r="F397" s="5" t="n"/>
      <c r="G397" s="5" t="n"/>
    </row>
    <row r="398" ht="15.75" customHeight="1" s="115">
      <c r="A398" s="5" t="n"/>
      <c r="B398" s="5" t="n"/>
      <c r="C398" s="5" t="n"/>
      <c r="D398" s="5" t="n"/>
      <c r="E398" s="5" t="n"/>
      <c r="F398" s="5" t="n"/>
      <c r="G398" s="5" t="n"/>
    </row>
    <row r="399" ht="15.75" customHeight="1" s="115">
      <c r="A399" s="5" t="n"/>
      <c r="B399" s="5" t="n"/>
      <c r="C399" s="5" t="n"/>
      <c r="D399" s="5" t="n"/>
      <c r="E399" s="5" t="n"/>
      <c r="F399" s="5" t="n"/>
      <c r="G399" s="5" t="n"/>
    </row>
    <row r="400" ht="15.75" customHeight="1" s="115">
      <c r="A400" s="5" t="n"/>
      <c r="B400" s="5" t="n"/>
      <c r="C400" s="5" t="n"/>
      <c r="D400" s="5" t="n"/>
      <c r="E400" s="5" t="n"/>
      <c r="F400" s="5" t="n"/>
      <c r="G400" s="5" t="n"/>
    </row>
    <row r="401" ht="15.75" customHeight="1" s="115">
      <c r="A401" s="5" t="n"/>
      <c r="B401" s="5" t="n"/>
      <c r="C401" s="5" t="n"/>
      <c r="D401" s="5" t="n"/>
      <c r="E401" s="5" t="n"/>
      <c r="F401" s="5" t="n"/>
      <c r="G401" s="5" t="n"/>
    </row>
    <row r="402" ht="15.75" customHeight="1" s="115">
      <c r="A402" s="5" t="n"/>
      <c r="B402" s="5" t="n"/>
      <c r="C402" s="5" t="n"/>
      <c r="D402" s="5" t="n"/>
      <c r="E402" s="5" t="n"/>
      <c r="F402" s="5" t="n"/>
      <c r="G402" s="5" t="n"/>
    </row>
    <row r="403" ht="15.75" customHeight="1" s="115">
      <c r="A403" s="5" t="n"/>
      <c r="B403" s="5" t="n"/>
      <c r="C403" s="5" t="n"/>
      <c r="D403" s="5" t="n"/>
      <c r="E403" s="5" t="n"/>
      <c r="F403" s="5" t="n"/>
      <c r="G403" s="5" t="n"/>
    </row>
    <row r="404" ht="15.75" customHeight="1" s="115">
      <c r="A404" s="5" t="n"/>
      <c r="B404" s="5" t="n"/>
      <c r="C404" s="5" t="n"/>
      <c r="D404" s="5" t="n"/>
      <c r="E404" s="5" t="n"/>
      <c r="F404" s="5" t="n"/>
      <c r="G404" s="5" t="n"/>
    </row>
    <row r="405" ht="15.75" customHeight="1" s="115">
      <c r="A405" s="5" t="n"/>
      <c r="B405" s="5" t="n"/>
      <c r="C405" s="5" t="n"/>
      <c r="D405" s="5" t="n"/>
      <c r="E405" s="5" t="n"/>
      <c r="F405" s="5" t="n"/>
      <c r="G405" s="5" t="n"/>
    </row>
    <row r="406" ht="15.75" customHeight="1" s="115">
      <c r="A406" s="5" t="n"/>
      <c r="B406" s="5" t="n"/>
      <c r="C406" s="5" t="n"/>
      <c r="D406" s="5" t="n"/>
      <c r="E406" s="5" t="n"/>
      <c r="F406" s="5" t="n"/>
      <c r="G406" s="5" t="n"/>
    </row>
    <row r="407" ht="15.75" customHeight="1" s="115">
      <c r="A407" s="5" t="n"/>
      <c r="B407" s="5" t="n"/>
      <c r="C407" s="5" t="n"/>
      <c r="D407" s="5" t="n"/>
      <c r="E407" s="5" t="n"/>
      <c r="F407" s="5" t="n"/>
      <c r="G407" s="5" t="n"/>
    </row>
    <row r="408" ht="15.75" customHeight="1" s="115">
      <c r="A408" s="5" t="n"/>
      <c r="B408" s="5" t="n"/>
      <c r="C408" s="5" t="n"/>
      <c r="D408" s="5" t="n"/>
      <c r="E408" s="5" t="n"/>
      <c r="F408" s="5" t="n"/>
      <c r="G408" s="5" t="n"/>
    </row>
    <row r="409" ht="15.75" customHeight="1" s="115">
      <c r="A409" s="5" t="n"/>
      <c r="B409" s="5" t="n"/>
      <c r="C409" s="5" t="n"/>
      <c r="D409" s="5" t="n"/>
      <c r="E409" s="5" t="n"/>
      <c r="F409" s="5" t="n"/>
      <c r="G409" s="5" t="n"/>
    </row>
    <row r="410" ht="15.75" customHeight="1" s="115">
      <c r="A410" s="5" t="n"/>
      <c r="B410" s="5" t="n"/>
      <c r="C410" s="5" t="n"/>
      <c r="D410" s="5" t="n"/>
      <c r="E410" s="5" t="n"/>
      <c r="F410" s="5" t="n"/>
      <c r="G410" s="5" t="n"/>
    </row>
    <row r="411" ht="15.75" customHeight="1" s="115">
      <c r="A411" s="5" t="n"/>
      <c r="B411" s="5" t="n"/>
      <c r="C411" s="5" t="n"/>
      <c r="D411" s="5" t="n"/>
      <c r="E411" s="5" t="n"/>
      <c r="F411" s="5" t="n"/>
      <c r="G411" s="5" t="n"/>
    </row>
    <row r="412" ht="15.75" customHeight="1" s="115">
      <c r="A412" s="5" t="n"/>
      <c r="B412" s="5" t="n"/>
      <c r="C412" s="5" t="n"/>
      <c r="D412" s="5" t="n"/>
      <c r="E412" s="5" t="n"/>
      <c r="F412" s="5" t="n"/>
      <c r="G412" s="5" t="n"/>
    </row>
    <row r="413" ht="15.75" customHeight="1" s="115">
      <c r="A413" s="5" t="n"/>
      <c r="B413" s="5" t="n"/>
      <c r="C413" s="5" t="n"/>
      <c r="D413" s="5" t="n"/>
      <c r="E413" s="5" t="n"/>
      <c r="F413" s="5" t="n"/>
      <c r="G413" s="5" t="n"/>
    </row>
    <row r="414" ht="15.75" customHeight="1" s="115">
      <c r="A414" s="5" t="n"/>
      <c r="B414" s="5" t="n"/>
      <c r="C414" s="5" t="n"/>
      <c r="D414" s="5" t="n"/>
      <c r="E414" s="5" t="n"/>
      <c r="F414" s="5" t="n"/>
      <c r="G414" s="5" t="n"/>
    </row>
    <row r="415" ht="15.75" customHeight="1" s="115">
      <c r="A415" s="5" t="n"/>
      <c r="B415" s="5" t="n"/>
      <c r="C415" s="5" t="n"/>
      <c r="D415" s="5" t="n"/>
      <c r="E415" s="5" t="n"/>
      <c r="F415" s="5" t="n"/>
      <c r="G415" s="5" t="n"/>
    </row>
    <row r="416" ht="15.75" customHeight="1" s="115">
      <c r="A416" s="5" t="n"/>
      <c r="B416" s="5" t="n"/>
      <c r="C416" s="5" t="n"/>
      <c r="D416" s="5" t="n"/>
      <c r="E416" s="5" t="n"/>
      <c r="F416" s="5" t="n"/>
      <c r="G416" s="5" t="n"/>
    </row>
    <row r="417" ht="15.75" customHeight="1" s="115">
      <c r="A417" s="5" t="n"/>
      <c r="B417" s="5" t="n"/>
      <c r="C417" s="5" t="n"/>
      <c r="D417" s="5" t="n"/>
      <c r="E417" s="5" t="n"/>
      <c r="F417" s="5" t="n"/>
      <c r="G417" s="5" t="n"/>
    </row>
    <row r="418" ht="15.75" customHeight="1" s="115">
      <c r="A418" s="5" t="n"/>
      <c r="B418" s="5" t="n"/>
      <c r="C418" s="5" t="n"/>
      <c r="D418" s="5" t="n"/>
      <c r="E418" s="5" t="n"/>
      <c r="F418" s="5" t="n"/>
      <c r="G418" s="5" t="n"/>
    </row>
    <row r="419" ht="15.75" customHeight="1" s="115">
      <c r="A419" s="5" t="n"/>
      <c r="B419" s="5" t="n"/>
      <c r="C419" s="5" t="n"/>
      <c r="D419" s="5" t="n"/>
      <c r="E419" s="5" t="n"/>
      <c r="F419" s="5" t="n"/>
      <c r="G419" s="5" t="n"/>
    </row>
    <row r="420" ht="15.75" customHeight="1" s="115">
      <c r="A420" s="5" t="n"/>
      <c r="B420" s="5" t="n"/>
      <c r="C420" s="5" t="n"/>
      <c r="D420" s="5" t="n"/>
      <c r="E420" s="5" t="n"/>
      <c r="F420" s="5" t="n"/>
      <c r="G420" s="5" t="n"/>
    </row>
    <row r="421" ht="15.75" customHeight="1" s="115">
      <c r="A421" s="5" t="n"/>
      <c r="B421" s="5" t="n"/>
      <c r="C421" s="5" t="n"/>
      <c r="D421" s="5" t="n"/>
      <c r="E421" s="5" t="n"/>
      <c r="F421" s="5" t="n"/>
      <c r="G421" s="5" t="n"/>
    </row>
    <row r="422" ht="15.75" customHeight="1" s="115">
      <c r="A422" s="5" t="n"/>
      <c r="B422" s="5" t="n"/>
      <c r="C422" s="5" t="n"/>
      <c r="D422" s="5" t="n"/>
      <c r="E422" s="5" t="n"/>
      <c r="F422" s="5" t="n"/>
      <c r="G422" s="5" t="n"/>
    </row>
    <row r="423" ht="15.75" customHeight="1" s="115">
      <c r="A423" s="5" t="n"/>
      <c r="B423" s="5" t="n"/>
      <c r="C423" s="5" t="n"/>
      <c r="D423" s="5" t="n"/>
      <c r="E423" s="5" t="n"/>
      <c r="F423" s="5" t="n"/>
      <c r="G423" s="5" t="n"/>
    </row>
    <row r="424" ht="15.75" customHeight="1" s="115">
      <c r="A424" s="5" t="n"/>
      <c r="B424" s="5" t="n"/>
      <c r="C424" s="5" t="n"/>
      <c r="D424" s="5" t="n"/>
      <c r="E424" s="5" t="n"/>
      <c r="F424" s="5" t="n"/>
      <c r="G424" s="5" t="n"/>
    </row>
    <row r="425" ht="15.75" customHeight="1" s="115">
      <c r="A425" s="5" t="n"/>
      <c r="B425" s="5" t="n"/>
      <c r="C425" s="5" t="n"/>
      <c r="D425" s="5" t="n"/>
      <c r="E425" s="5" t="n"/>
      <c r="F425" s="5" t="n"/>
      <c r="G425" s="5" t="n"/>
    </row>
    <row r="426" ht="15.75" customHeight="1" s="115">
      <c r="A426" s="5" t="n"/>
      <c r="B426" s="5" t="n"/>
      <c r="C426" s="5" t="n"/>
      <c r="D426" s="5" t="n"/>
      <c r="E426" s="5" t="n"/>
      <c r="F426" s="5" t="n"/>
      <c r="G426" s="5" t="n"/>
    </row>
    <row r="427" ht="15.75" customHeight="1" s="115">
      <c r="A427" s="5" t="n"/>
      <c r="B427" s="5" t="n"/>
      <c r="C427" s="5" t="n"/>
      <c r="D427" s="5" t="n"/>
      <c r="E427" s="5" t="n"/>
      <c r="F427" s="5" t="n"/>
      <c r="G427" s="5" t="n"/>
    </row>
    <row r="428" ht="15.75" customHeight="1" s="115">
      <c r="A428" s="5" t="n"/>
      <c r="B428" s="5" t="n"/>
      <c r="C428" s="5" t="n"/>
      <c r="D428" s="5" t="n"/>
      <c r="E428" s="5" t="n"/>
      <c r="F428" s="5" t="n"/>
      <c r="G428" s="5" t="n"/>
    </row>
    <row r="429" ht="15.75" customHeight="1" s="115">
      <c r="A429" s="5" t="n"/>
      <c r="B429" s="5" t="n"/>
      <c r="C429" s="5" t="n"/>
      <c r="D429" s="5" t="n"/>
      <c r="E429" s="5" t="n"/>
      <c r="F429" s="5" t="n"/>
      <c r="G429" s="5" t="n"/>
    </row>
    <row r="430" ht="15.75" customHeight="1" s="115">
      <c r="A430" s="5" t="n"/>
      <c r="B430" s="5" t="n"/>
      <c r="C430" s="5" t="n"/>
      <c r="D430" s="5" t="n"/>
      <c r="E430" s="5" t="n"/>
      <c r="F430" s="5" t="n"/>
      <c r="G430" s="5" t="n"/>
    </row>
    <row r="431" ht="15.75" customHeight="1" s="115">
      <c r="A431" s="5" t="n"/>
      <c r="B431" s="5" t="n"/>
      <c r="C431" s="5" t="n"/>
      <c r="D431" s="5" t="n"/>
      <c r="E431" s="5" t="n"/>
      <c r="F431" s="5" t="n"/>
      <c r="G431" s="5" t="n"/>
    </row>
    <row r="432" ht="15.75" customHeight="1" s="115">
      <c r="A432" s="5" t="n"/>
      <c r="B432" s="5" t="n"/>
      <c r="C432" s="5" t="n"/>
      <c r="D432" s="5" t="n"/>
      <c r="E432" s="5" t="n"/>
      <c r="F432" s="5" t="n"/>
      <c r="G432" s="5" t="n"/>
    </row>
    <row r="433" ht="15.75" customHeight="1" s="115">
      <c r="A433" s="5" t="n"/>
      <c r="B433" s="5" t="n"/>
      <c r="C433" s="5" t="n"/>
      <c r="D433" s="5" t="n"/>
      <c r="E433" s="5" t="n"/>
      <c r="F433" s="5" t="n"/>
      <c r="G433" s="5" t="n"/>
    </row>
    <row r="434" ht="15.75" customHeight="1" s="115">
      <c r="A434" s="5" t="n"/>
      <c r="B434" s="5" t="n"/>
      <c r="C434" s="5" t="n"/>
      <c r="D434" s="5" t="n"/>
      <c r="E434" s="5" t="n"/>
      <c r="F434" s="5" t="n"/>
      <c r="G434" s="5" t="n"/>
    </row>
    <row r="435" ht="15.75" customHeight="1" s="115">
      <c r="A435" s="5" t="n"/>
      <c r="B435" s="5" t="n"/>
      <c r="C435" s="5" t="n"/>
      <c r="D435" s="5" t="n"/>
      <c r="E435" s="5" t="n"/>
      <c r="F435" s="5" t="n"/>
      <c r="G435" s="5" t="n"/>
    </row>
    <row r="436" ht="15.75" customHeight="1" s="115">
      <c r="A436" s="5" t="n"/>
      <c r="B436" s="5" t="n"/>
      <c r="C436" s="5" t="n"/>
      <c r="D436" s="5" t="n"/>
      <c r="E436" s="5" t="n"/>
      <c r="F436" s="5" t="n"/>
      <c r="G436" s="5" t="n"/>
    </row>
    <row r="437" ht="15.75" customHeight="1" s="115">
      <c r="A437" s="5" t="n"/>
      <c r="B437" s="5" t="n"/>
      <c r="C437" s="5" t="n"/>
      <c r="D437" s="5" t="n"/>
      <c r="E437" s="5" t="n"/>
      <c r="F437" s="5" t="n"/>
      <c r="G437" s="5" t="n"/>
    </row>
    <row r="438" ht="15.75" customHeight="1" s="115">
      <c r="A438" s="5" t="n"/>
      <c r="B438" s="5" t="n"/>
      <c r="C438" s="5" t="n"/>
      <c r="D438" s="5" t="n"/>
      <c r="E438" s="5" t="n"/>
      <c r="F438" s="5" t="n"/>
      <c r="G438" s="5" t="n"/>
    </row>
    <row r="439" ht="15.75" customHeight="1" s="115">
      <c r="A439" s="5" t="n"/>
      <c r="B439" s="5" t="n"/>
      <c r="C439" s="5" t="n"/>
      <c r="D439" s="5" t="n"/>
      <c r="E439" s="5" t="n"/>
      <c r="F439" s="5" t="n"/>
      <c r="G439" s="5" t="n"/>
    </row>
    <row r="440" ht="15.75" customHeight="1" s="115">
      <c r="A440" s="5" t="n"/>
      <c r="B440" s="5" t="n"/>
      <c r="C440" s="5" t="n"/>
      <c r="D440" s="5" t="n"/>
      <c r="E440" s="5" t="n"/>
      <c r="F440" s="5" t="n"/>
      <c r="G440" s="5" t="n"/>
    </row>
    <row r="441" ht="15.75" customHeight="1" s="115">
      <c r="A441" s="5" t="n"/>
      <c r="B441" s="5" t="n"/>
      <c r="C441" s="5" t="n"/>
      <c r="D441" s="5" t="n"/>
      <c r="E441" s="5" t="n"/>
      <c r="F441" s="5" t="n"/>
      <c r="G441" s="5" t="n"/>
    </row>
    <row r="442" ht="15.75" customHeight="1" s="115">
      <c r="A442" s="5" t="n"/>
      <c r="B442" s="5" t="n"/>
      <c r="C442" s="5" t="n"/>
      <c r="D442" s="5" t="n"/>
      <c r="E442" s="5" t="n"/>
      <c r="F442" s="5" t="n"/>
      <c r="G442" s="5" t="n"/>
    </row>
    <row r="443" ht="15.75" customHeight="1" s="115">
      <c r="A443" s="5" t="n"/>
      <c r="B443" s="5" t="n"/>
      <c r="C443" s="5" t="n"/>
      <c r="D443" s="5" t="n"/>
      <c r="E443" s="5" t="n"/>
      <c r="F443" s="5" t="n"/>
      <c r="G443" s="5" t="n"/>
    </row>
    <row r="444" ht="15.75" customHeight="1" s="115">
      <c r="A444" s="5" t="n"/>
      <c r="B444" s="5" t="n"/>
      <c r="C444" s="5" t="n"/>
      <c r="D444" s="5" t="n"/>
      <c r="E444" s="5" t="n"/>
      <c r="F444" s="5" t="n"/>
      <c r="G444" s="5" t="n"/>
    </row>
    <row r="445" ht="15.75" customHeight="1" s="115">
      <c r="A445" s="5" t="n"/>
      <c r="B445" s="5" t="n"/>
      <c r="C445" s="5" t="n"/>
      <c r="D445" s="5" t="n"/>
      <c r="E445" s="5" t="n"/>
      <c r="F445" s="5" t="n"/>
      <c r="G445" s="5" t="n"/>
    </row>
    <row r="446" ht="15.75" customHeight="1" s="115">
      <c r="A446" s="5" t="n"/>
      <c r="B446" s="5" t="n"/>
      <c r="C446" s="5" t="n"/>
      <c r="D446" s="5" t="n"/>
      <c r="E446" s="5" t="n"/>
      <c r="F446" s="5" t="n"/>
      <c r="G446" s="5" t="n"/>
    </row>
    <row r="447" ht="15.75" customHeight="1" s="115">
      <c r="A447" s="5" t="n"/>
      <c r="B447" s="5" t="n"/>
      <c r="C447" s="5" t="n"/>
      <c r="D447" s="5" t="n"/>
      <c r="E447" s="5" t="n"/>
      <c r="F447" s="5" t="n"/>
      <c r="G447" s="5" t="n"/>
    </row>
    <row r="448" ht="15.75" customHeight="1" s="115">
      <c r="A448" s="5" t="n"/>
      <c r="B448" s="5" t="n"/>
      <c r="C448" s="5" t="n"/>
      <c r="D448" s="5" t="n"/>
      <c r="E448" s="5" t="n"/>
      <c r="F448" s="5" t="n"/>
      <c r="G448" s="5" t="n"/>
    </row>
    <row r="449" ht="15.75" customHeight="1" s="115">
      <c r="A449" s="5" t="n"/>
      <c r="B449" s="5" t="n"/>
      <c r="C449" s="5" t="n"/>
      <c r="D449" s="5" t="n"/>
      <c r="E449" s="5" t="n"/>
      <c r="F449" s="5" t="n"/>
      <c r="G449" s="5" t="n"/>
    </row>
    <row r="450" ht="15.75" customHeight="1" s="115">
      <c r="A450" s="5" t="n"/>
      <c r="B450" s="5" t="n"/>
      <c r="C450" s="5" t="n"/>
      <c r="D450" s="5" t="n"/>
      <c r="E450" s="5" t="n"/>
      <c r="F450" s="5" t="n"/>
      <c r="G450" s="5" t="n"/>
    </row>
    <row r="451" ht="15.75" customHeight="1" s="115">
      <c r="A451" s="5" t="n"/>
      <c r="B451" s="5" t="n"/>
      <c r="C451" s="5" t="n"/>
      <c r="D451" s="5" t="n"/>
      <c r="E451" s="5" t="n"/>
      <c r="F451" s="5" t="n"/>
      <c r="G451" s="5" t="n"/>
    </row>
    <row r="452" ht="15.75" customHeight="1" s="115">
      <c r="A452" s="5" t="n"/>
      <c r="B452" s="5" t="n"/>
      <c r="C452" s="5" t="n"/>
      <c r="D452" s="5" t="n"/>
      <c r="E452" s="5" t="n"/>
      <c r="F452" s="5" t="n"/>
      <c r="G452" s="5" t="n"/>
    </row>
    <row r="453" ht="15.75" customHeight="1" s="115">
      <c r="A453" s="5" t="n"/>
      <c r="B453" s="5" t="n"/>
      <c r="C453" s="5" t="n"/>
      <c r="D453" s="5" t="n"/>
      <c r="E453" s="5" t="n"/>
      <c r="F453" s="5" t="n"/>
      <c r="G453" s="5" t="n"/>
    </row>
    <row r="454" ht="15.75" customHeight="1" s="115">
      <c r="A454" s="5" t="n"/>
      <c r="B454" s="5" t="n"/>
      <c r="C454" s="5" t="n"/>
      <c r="D454" s="5" t="n"/>
      <c r="E454" s="5" t="n"/>
      <c r="F454" s="5" t="n"/>
      <c r="G454" s="5" t="n"/>
    </row>
    <row r="455" ht="15.75" customHeight="1" s="115">
      <c r="A455" s="5" t="n"/>
      <c r="B455" s="5" t="n"/>
      <c r="C455" s="5" t="n"/>
      <c r="D455" s="5" t="n"/>
      <c r="E455" s="5" t="n"/>
      <c r="F455" s="5" t="n"/>
      <c r="G455" s="5" t="n"/>
    </row>
    <row r="456" ht="15.75" customHeight="1" s="115">
      <c r="A456" s="5" t="n"/>
      <c r="B456" s="5" t="n"/>
      <c r="C456" s="5" t="n"/>
      <c r="D456" s="5" t="n"/>
      <c r="E456" s="5" t="n"/>
      <c r="F456" s="5" t="n"/>
      <c r="G456" s="5" t="n"/>
    </row>
    <row r="457" ht="15.75" customHeight="1" s="115">
      <c r="A457" s="5" t="n"/>
      <c r="B457" s="5" t="n"/>
      <c r="C457" s="5" t="n"/>
      <c r="D457" s="5" t="n"/>
      <c r="E457" s="5" t="n"/>
      <c r="F457" s="5" t="n"/>
      <c r="G457" s="5" t="n"/>
    </row>
    <row r="458" ht="15.75" customHeight="1" s="115">
      <c r="A458" s="5" t="n"/>
      <c r="B458" s="5" t="n"/>
      <c r="C458" s="5" t="n"/>
      <c r="D458" s="5" t="n"/>
      <c r="E458" s="5" t="n"/>
      <c r="F458" s="5" t="n"/>
      <c r="G458" s="5" t="n"/>
    </row>
    <row r="459" ht="15.75" customHeight="1" s="115">
      <c r="A459" s="5" t="n"/>
      <c r="B459" s="5" t="n"/>
      <c r="C459" s="5" t="n"/>
      <c r="D459" s="5" t="n"/>
      <c r="E459" s="5" t="n"/>
      <c r="F459" s="5" t="n"/>
      <c r="G459" s="5" t="n"/>
    </row>
    <row r="460" ht="15.75" customHeight="1" s="115">
      <c r="A460" s="5" t="n"/>
      <c r="B460" s="5" t="n"/>
      <c r="C460" s="5" t="n"/>
      <c r="D460" s="5" t="n"/>
      <c r="E460" s="5" t="n"/>
      <c r="F460" s="5" t="n"/>
      <c r="G460" s="5" t="n"/>
    </row>
    <row r="461" ht="15.75" customHeight="1" s="115">
      <c r="A461" s="5" t="n"/>
      <c r="B461" s="5" t="n"/>
      <c r="C461" s="5" t="n"/>
      <c r="D461" s="5" t="n"/>
      <c r="E461" s="5" t="n"/>
      <c r="F461" s="5" t="n"/>
      <c r="G461" s="5" t="n"/>
    </row>
    <row r="462" ht="15.75" customHeight="1" s="115">
      <c r="A462" s="5" t="n"/>
      <c r="B462" s="5" t="n"/>
      <c r="C462" s="5" t="n"/>
      <c r="D462" s="5" t="n"/>
      <c r="E462" s="5" t="n"/>
      <c r="F462" s="5" t="n"/>
      <c r="G462" s="5" t="n"/>
    </row>
    <row r="463" ht="15.75" customHeight="1" s="115">
      <c r="A463" s="5" t="n"/>
      <c r="B463" s="5" t="n"/>
      <c r="C463" s="5" t="n"/>
      <c r="D463" s="5" t="n"/>
      <c r="E463" s="5" t="n"/>
      <c r="F463" s="5" t="n"/>
      <c r="G463" s="5" t="n"/>
    </row>
    <row r="464" ht="15.75" customHeight="1" s="115">
      <c r="A464" s="5" t="n"/>
      <c r="B464" s="5" t="n"/>
      <c r="C464" s="5" t="n"/>
      <c r="D464" s="5" t="n"/>
      <c r="E464" s="5" t="n"/>
      <c r="F464" s="5" t="n"/>
      <c r="G464" s="5" t="n"/>
    </row>
    <row r="465" ht="15.75" customHeight="1" s="115">
      <c r="A465" s="5" t="n"/>
      <c r="B465" s="5" t="n"/>
      <c r="C465" s="5" t="n"/>
      <c r="D465" s="5" t="n"/>
      <c r="E465" s="5" t="n"/>
      <c r="F465" s="5" t="n"/>
      <c r="G465" s="5" t="n"/>
    </row>
    <row r="466" ht="15.75" customHeight="1" s="115">
      <c r="A466" s="5" t="n"/>
      <c r="B466" s="5" t="n"/>
      <c r="C466" s="5" t="n"/>
      <c r="D466" s="5" t="n"/>
      <c r="E466" s="5" t="n"/>
      <c r="F466" s="5" t="n"/>
      <c r="G466" s="5" t="n"/>
    </row>
    <row r="467" ht="15.75" customHeight="1" s="115">
      <c r="A467" s="5" t="n"/>
      <c r="B467" s="5" t="n"/>
      <c r="C467" s="5" t="n"/>
      <c r="D467" s="5" t="n"/>
      <c r="E467" s="5" t="n"/>
      <c r="F467" s="5" t="n"/>
      <c r="G467" s="5" t="n"/>
    </row>
    <row r="468" ht="15.75" customHeight="1" s="115">
      <c r="A468" s="5" t="n"/>
      <c r="B468" s="5" t="n"/>
      <c r="C468" s="5" t="n"/>
      <c r="D468" s="5" t="n"/>
      <c r="E468" s="5" t="n"/>
      <c r="F468" s="5" t="n"/>
      <c r="G468" s="5" t="n"/>
    </row>
    <row r="469" ht="15.75" customHeight="1" s="115">
      <c r="A469" s="5" t="n"/>
      <c r="B469" s="5" t="n"/>
      <c r="C469" s="5" t="n"/>
      <c r="D469" s="5" t="n"/>
      <c r="E469" s="5" t="n"/>
      <c r="F469" s="5" t="n"/>
      <c r="G469" s="5" t="n"/>
    </row>
    <row r="470" ht="15.75" customHeight="1" s="115">
      <c r="A470" s="5" t="n"/>
      <c r="B470" s="5" t="n"/>
      <c r="C470" s="5" t="n"/>
      <c r="D470" s="5" t="n"/>
      <c r="E470" s="5" t="n"/>
      <c r="F470" s="5" t="n"/>
      <c r="G470" s="5" t="n"/>
    </row>
    <row r="471" ht="15.75" customHeight="1" s="115">
      <c r="A471" s="5" t="n"/>
      <c r="B471" s="5" t="n"/>
      <c r="C471" s="5" t="n"/>
      <c r="D471" s="5" t="n"/>
      <c r="E471" s="5" t="n"/>
      <c r="F471" s="5" t="n"/>
      <c r="G471" s="5" t="n"/>
    </row>
    <row r="472" ht="15.75" customHeight="1" s="115">
      <c r="A472" s="5" t="n"/>
      <c r="B472" s="5" t="n"/>
      <c r="C472" s="5" t="n"/>
      <c r="D472" s="5" t="n"/>
      <c r="E472" s="5" t="n"/>
      <c r="F472" s="5" t="n"/>
      <c r="G472" s="5" t="n"/>
    </row>
    <row r="473" ht="15.75" customHeight="1" s="115">
      <c r="A473" s="5" t="n"/>
      <c r="B473" s="5" t="n"/>
      <c r="C473" s="5" t="n"/>
      <c r="D473" s="5" t="n"/>
      <c r="E473" s="5" t="n"/>
      <c r="F473" s="5" t="n"/>
      <c r="G473" s="5" t="n"/>
    </row>
    <row r="474" ht="15.75" customHeight="1" s="115">
      <c r="A474" s="5" t="n"/>
      <c r="B474" s="5" t="n"/>
      <c r="C474" s="5" t="n"/>
      <c r="D474" s="5" t="n"/>
      <c r="E474" s="5" t="n"/>
      <c r="F474" s="5" t="n"/>
      <c r="G474" s="5" t="n"/>
    </row>
    <row r="475" ht="15.75" customHeight="1" s="115">
      <c r="A475" s="5" t="n"/>
      <c r="B475" s="5" t="n"/>
      <c r="C475" s="5" t="n"/>
      <c r="D475" s="5" t="n"/>
      <c r="E475" s="5" t="n"/>
      <c r="F475" s="5" t="n"/>
      <c r="G475" s="5" t="n"/>
    </row>
    <row r="476" ht="15.75" customHeight="1" s="115">
      <c r="A476" s="5" t="n"/>
      <c r="B476" s="5" t="n"/>
      <c r="C476" s="5" t="n"/>
      <c r="D476" s="5" t="n"/>
      <c r="E476" s="5" t="n"/>
      <c r="F476" s="5" t="n"/>
      <c r="G476" s="5" t="n"/>
    </row>
    <row r="477" ht="15.75" customHeight="1" s="115">
      <c r="A477" s="5" t="n"/>
      <c r="B477" s="5" t="n"/>
      <c r="C477" s="5" t="n"/>
      <c r="D477" s="5" t="n"/>
      <c r="E477" s="5" t="n"/>
      <c r="F477" s="5" t="n"/>
      <c r="G477" s="5" t="n"/>
    </row>
    <row r="478" ht="15.75" customHeight="1" s="115">
      <c r="A478" s="5" t="n"/>
      <c r="B478" s="5" t="n"/>
      <c r="C478" s="5" t="n"/>
      <c r="D478" s="5" t="n"/>
      <c r="E478" s="5" t="n"/>
      <c r="F478" s="5" t="n"/>
      <c r="G478" s="5" t="n"/>
    </row>
    <row r="479" ht="15.75" customHeight="1" s="115">
      <c r="A479" s="5" t="n"/>
      <c r="B479" s="5" t="n"/>
      <c r="C479" s="5" t="n"/>
      <c r="D479" s="5" t="n"/>
      <c r="E479" s="5" t="n"/>
      <c r="F479" s="5" t="n"/>
      <c r="G479" s="5" t="n"/>
    </row>
    <row r="480" ht="15.75" customHeight="1" s="115">
      <c r="A480" s="5" t="n"/>
      <c r="B480" s="5" t="n"/>
      <c r="C480" s="5" t="n"/>
      <c r="D480" s="5" t="n"/>
      <c r="E480" s="5" t="n"/>
      <c r="F480" s="5" t="n"/>
      <c r="G480" s="5" t="n"/>
    </row>
    <row r="481" ht="15.75" customHeight="1" s="115">
      <c r="A481" s="5" t="n"/>
      <c r="B481" s="5" t="n"/>
      <c r="C481" s="5" t="n"/>
      <c r="D481" s="5" t="n"/>
      <c r="E481" s="5" t="n"/>
      <c r="F481" s="5" t="n"/>
      <c r="G481" s="5" t="n"/>
    </row>
    <row r="482" ht="15.75" customHeight="1" s="115">
      <c r="A482" s="5" t="n"/>
      <c r="B482" s="5" t="n"/>
      <c r="C482" s="5" t="n"/>
      <c r="D482" s="5" t="n"/>
      <c r="E482" s="5" t="n"/>
      <c r="F482" s="5" t="n"/>
      <c r="G482" s="5" t="n"/>
    </row>
    <row r="483" ht="15.75" customHeight="1" s="115">
      <c r="A483" s="5" t="n"/>
      <c r="B483" s="5" t="n"/>
      <c r="C483" s="5" t="n"/>
      <c r="D483" s="5" t="n"/>
      <c r="E483" s="5" t="n"/>
      <c r="F483" s="5" t="n"/>
      <c r="G483" s="5" t="n"/>
    </row>
    <row r="484" ht="15.75" customHeight="1" s="115">
      <c r="A484" s="5" t="n"/>
      <c r="B484" s="5" t="n"/>
      <c r="C484" s="5" t="n"/>
      <c r="D484" s="5" t="n"/>
      <c r="E484" s="5" t="n"/>
      <c r="F484" s="5" t="n"/>
      <c r="G484" s="5" t="n"/>
    </row>
    <row r="485" ht="15.75" customHeight="1" s="115">
      <c r="A485" s="5" t="n"/>
      <c r="B485" s="5" t="n"/>
      <c r="C485" s="5" t="n"/>
      <c r="D485" s="5" t="n"/>
      <c r="E485" s="5" t="n"/>
      <c r="F485" s="5" t="n"/>
      <c r="G485" s="5" t="n"/>
    </row>
    <row r="486" ht="15.75" customHeight="1" s="115">
      <c r="A486" s="5" t="n"/>
      <c r="B486" s="5" t="n"/>
      <c r="C486" s="5" t="n"/>
      <c r="D486" s="5" t="n"/>
      <c r="E486" s="5" t="n"/>
      <c r="F486" s="5" t="n"/>
      <c r="G486" s="5" t="n"/>
    </row>
    <row r="487" ht="15.75" customHeight="1" s="115">
      <c r="A487" s="5" t="n"/>
      <c r="B487" s="5" t="n"/>
      <c r="C487" s="5" t="n"/>
      <c r="D487" s="5" t="n"/>
      <c r="E487" s="5" t="n"/>
      <c r="F487" s="5" t="n"/>
      <c r="G487" s="5" t="n"/>
    </row>
    <row r="488" ht="15.75" customHeight="1" s="115">
      <c r="A488" s="5" t="n"/>
      <c r="B488" s="5" t="n"/>
      <c r="C488" s="5" t="n"/>
      <c r="D488" s="5" t="n"/>
      <c r="E488" s="5" t="n"/>
      <c r="F488" s="5" t="n"/>
      <c r="G488" s="5" t="n"/>
    </row>
    <row r="489" ht="15.75" customHeight="1" s="115">
      <c r="A489" s="5" t="n"/>
      <c r="B489" s="5" t="n"/>
      <c r="C489" s="5" t="n"/>
      <c r="D489" s="5" t="n"/>
      <c r="E489" s="5" t="n"/>
      <c r="F489" s="5" t="n"/>
      <c r="G489" s="5" t="n"/>
    </row>
    <row r="490" ht="15.75" customHeight="1" s="115">
      <c r="A490" s="5" t="n"/>
      <c r="B490" s="5" t="n"/>
      <c r="C490" s="5" t="n"/>
      <c r="D490" s="5" t="n"/>
      <c r="E490" s="5" t="n"/>
      <c r="F490" s="5" t="n"/>
      <c r="G490" s="5" t="n"/>
    </row>
    <row r="491" ht="15.75" customHeight="1" s="115">
      <c r="A491" s="5" t="n"/>
      <c r="B491" s="5" t="n"/>
      <c r="C491" s="5" t="n"/>
      <c r="D491" s="5" t="n"/>
      <c r="E491" s="5" t="n"/>
      <c r="F491" s="5" t="n"/>
      <c r="G491" s="5" t="n"/>
    </row>
    <row r="492" ht="15.75" customHeight="1" s="115">
      <c r="A492" s="5" t="n"/>
      <c r="B492" s="5" t="n"/>
      <c r="C492" s="5" t="n"/>
      <c r="D492" s="5" t="n"/>
      <c r="E492" s="5" t="n"/>
      <c r="F492" s="5" t="n"/>
      <c r="G492" s="5" t="n"/>
    </row>
    <row r="493" ht="15.75" customHeight="1" s="115">
      <c r="A493" s="5" t="n"/>
      <c r="B493" s="5" t="n"/>
      <c r="C493" s="5" t="n"/>
      <c r="D493" s="5" t="n"/>
      <c r="E493" s="5" t="n"/>
      <c r="F493" s="5" t="n"/>
      <c r="G493" s="5" t="n"/>
    </row>
    <row r="494" ht="15.75" customHeight="1" s="115">
      <c r="A494" s="5" t="n"/>
      <c r="B494" s="5" t="n"/>
      <c r="C494" s="5" t="n"/>
      <c r="D494" s="5" t="n"/>
      <c r="E494" s="5" t="n"/>
      <c r="F494" s="5" t="n"/>
      <c r="G494" s="5" t="n"/>
    </row>
    <row r="495" ht="15.75" customHeight="1" s="115">
      <c r="A495" s="5" t="n"/>
      <c r="B495" s="5" t="n"/>
      <c r="C495" s="5" t="n"/>
      <c r="D495" s="5" t="n"/>
      <c r="E495" s="5" t="n"/>
      <c r="F495" s="5" t="n"/>
      <c r="G495" s="5" t="n"/>
    </row>
    <row r="496" ht="15.75" customHeight="1" s="115">
      <c r="A496" s="5" t="n"/>
      <c r="B496" s="5" t="n"/>
      <c r="C496" s="5" t="n"/>
      <c r="D496" s="5" t="n"/>
      <c r="E496" s="5" t="n"/>
      <c r="F496" s="5" t="n"/>
      <c r="G496" s="5" t="n"/>
    </row>
    <row r="497" ht="15.75" customHeight="1" s="115">
      <c r="A497" s="5" t="n"/>
      <c r="B497" s="5" t="n"/>
      <c r="C497" s="5" t="n"/>
      <c r="D497" s="5" t="n"/>
      <c r="E497" s="5" t="n"/>
      <c r="F497" s="5" t="n"/>
      <c r="G497" s="5" t="n"/>
    </row>
    <row r="498" ht="15.75" customHeight="1" s="115">
      <c r="A498" s="5" t="n"/>
      <c r="B498" s="5" t="n"/>
      <c r="C498" s="5" t="n"/>
      <c r="D498" s="5" t="n"/>
      <c r="E498" s="5" t="n"/>
      <c r="F498" s="5" t="n"/>
      <c r="G498" s="5" t="n"/>
    </row>
    <row r="499" ht="15.75" customHeight="1" s="115">
      <c r="A499" s="5" t="n"/>
      <c r="B499" s="5" t="n"/>
      <c r="C499" s="5" t="n"/>
      <c r="D499" s="5" t="n"/>
      <c r="E499" s="5" t="n"/>
      <c r="F499" s="5" t="n"/>
      <c r="G499" s="5" t="n"/>
    </row>
    <row r="500" ht="15.75" customHeight="1" s="115">
      <c r="A500" s="5" t="n"/>
      <c r="B500" s="5" t="n"/>
      <c r="C500" s="5" t="n"/>
      <c r="D500" s="5" t="n"/>
      <c r="E500" s="5" t="n"/>
      <c r="F500" s="5" t="n"/>
      <c r="G500" s="5" t="n"/>
    </row>
    <row r="501" ht="15.75" customHeight="1" s="115">
      <c r="A501" s="5" t="n"/>
      <c r="B501" s="5" t="n"/>
      <c r="C501" s="5" t="n"/>
      <c r="D501" s="5" t="n"/>
      <c r="E501" s="5" t="n"/>
      <c r="F501" s="5" t="n"/>
      <c r="G501" s="5" t="n"/>
    </row>
    <row r="502" ht="15.75" customHeight="1" s="115">
      <c r="A502" s="5" t="n"/>
      <c r="B502" s="5" t="n"/>
      <c r="C502" s="5" t="n"/>
      <c r="D502" s="5" t="n"/>
      <c r="E502" s="5" t="n"/>
      <c r="F502" s="5" t="n"/>
      <c r="G502" s="5" t="n"/>
    </row>
    <row r="503" ht="15.75" customHeight="1" s="115">
      <c r="A503" s="5" t="n"/>
      <c r="B503" s="5" t="n"/>
      <c r="C503" s="5" t="n"/>
      <c r="D503" s="5" t="n"/>
      <c r="E503" s="5" t="n"/>
      <c r="F503" s="5" t="n"/>
      <c r="G503" s="5" t="n"/>
    </row>
    <row r="504" ht="15.75" customHeight="1" s="115">
      <c r="A504" s="5" t="n"/>
      <c r="B504" s="5" t="n"/>
      <c r="C504" s="5" t="n"/>
      <c r="D504" s="5" t="n"/>
      <c r="E504" s="5" t="n"/>
      <c r="F504" s="5" t="n"/>
      <c r="G504" s="5" t="n"/>
    </row>
    <row r="505" ht="15.75" customHeight="1" s="115">
      <c r="A505" s="5" t="n"/>
      <c r="B505" s="5" t="n"/>
      <c r="C505" s="5" t="n"/>
      <c r="D505" s="5" t="n"/>
      <c r="E505" s="5" t="n"/>
      <c r="F505" s="5" t="n"/>
      <c r="G505" s="5" t="n"/>
    </row>
    <row r="506" ht="15.75" customHeight="1" s="115">
      <c r="A506" s="5" t="n"/>
      <c r="B506" s="5" t="n"/>
      <c r="C506" s="5" t="n"/>
      <c r="D506" s="5" t="n"/>
      <c r="E506" s="5" t="n"/>
      <c r="F506" s="5" t="n"/>
      <c r="G506" s="5" t="n"/>
    </row>
    <row r="507" ht="15.75" customHeight="1" s="115">
      <c r="A507" s="5" t="n"/>
      <c r="B507" s="5" t="n"/>
      <c r="C507" s="5" t="n"/>
      <c r="D507" s="5" t="n"/>
      <c r="E507" s="5" t="n"/>
      <c r="F507" s="5" t="n"/>
      <c r="G507" s="5" t="n"/>
    </row>
    <row r="508" ht="15.75" customHeight="1" s="115">
      <c r="A508" s="5" t="n"/>
      <c r="B508" s="5" t="n"/>
      <c r="C508" s="5" t="n"/>
      <c r="D508" s="5" t="n"/>
      <c r="E508" s="5" t="n"/>
      <c r="F508" s="5" t="n"/>
      <c r="G508" s="5" t="n"/>
    </row>
    <row r="509" ht="15.75" customHeight="1" s="115">
      <c r="A509" s="5" t="n"/>
      <c r="B509" s="5" t="n"/>
      <c r="C509" s="5" t="n"/>
      <c r="D509" s="5" t="n"/>
      <c r="E509" s="5" t="n"/>
      <c r="F509" s="5" t="n"/>
      <c r="G509" s="5" t="n"/>
    </row>
    <row r="510" ht="15.75" customHeight="1" s="115">
      <c r="A510" s="5" t="n"/>
      <c r="B510" s="5" t="n"/>
      <c r="C510" s="5" t="n"/>
      <c r="D510" s="5" t="n"/>
      <c r="E510" s="5" t="n"/>
      <c r="F510" s="5" t="n"/>
      <c r="G510" s="5" t="n"/>
    </row>
    <row r="511" ht="15.75" customHeight="1" s="115">
      <c r="A511" s="5" t="n"/>
      <c r="B511" s="5" t="n"/>
      <c r="C511" s="5" t="n"/>
      <c r="D511" s="5" t="n"/>
      <c r="E511" s="5" t="n"/>
      <c r="F511" s="5" t="n"/>
      <c r="G511" s="5" t="n"/>
    </row>
    <row r="512" ht="15.75" customHeight="1" s="115">
      <c r="A512" s="5" t="n"/>
      <c r="B512" s="5" t="n"/>
      <c r="C512" s="5" t="n"/>
      <c r="D512" s="5" t="n"/>
      <c r="E512" s="5" t="n"/>
      <c r="F512" s="5" t="n"/>
      <c r="G512" s="5" t="n"/>
    </row>
    <row r="513" ht="15.75" customHeight="1" s="115">
      <c r="A513" s="5" t="n"/>
      <c r="B513" s="5" t="n"/>
      <c r="C513" s="5" t="n"/>
      <c r="D513" s="5" t="n"/>
      <c r="E513" s="5" t="n"/>
      <c r="F513" s="5" t="n"/>
      <c r="G513" s="5" t="n"/>
    </row>
    <row r="514" ht="15.75" customHeight="1" s="115">
      <c r="A514" s="5" t="n"/>
      <c r="B514" s="5" t="n"/>
      <c r="C514" s="5" t="n"/>
      <c r="D514" s="5" t="n"/>
      <c r="E514" s="5" t="n"/>
      <c r="F514" s="5" t="n"/>
      <c r="G514" s="5" t="n"/>
    </row>
    <row r="515" ht="15.75" customHeight="1" s="115">
      <c r="A515" s="5" t="n"/>
      <c r="B515" s="5" t="n"/>
      <c r="C515" s="5" t="n"/>
      <c r="D515" s="5" t="n"/>
      <c r="E515" s="5" t="n"/>
      <c r="F515" s="5" t="n"/>
      <c r="G515" s="5" t="n"/>
    </row>
    <row r="516" ht="15.75" customHeight="1" s="115">
      <c r="A516" s="5" t="n"/>
      <c r="B516" s="5" t="n"/>
      <c r="C516" s="5" t="n"/>
      <c r="D516" s="5" t="n"/>
      <c r="E516" s="5" t="n"/>
      <c r="F516" s="5" t="n"/>
      <c r="G516" s="5" t="n"/>
    </row>
    <row r="517" ht="15.75" customHeight="1" s="115">
      <c r="A517" s="5" t="n"/>
      <c r="B517" s="5" t="n"/>
      <c r="C517" s="5" t="n"/>
      <c r="D517" s="5" t="n"/>
      <c r="E517" s="5" t="n"/>
      <c r="F517" s="5" t="n"/>
      <c r="G517" s="5" t="n"/>
    </row>
    <row r="518" ht="15.75" customHeight="1" s="115">
      <c r="A518" s="5" t="n"/>
      <c r="B518" s="5" t="n"/>
      <c r="C518" s="5" t="n"/>
      <c r="D518" s="5" t="n"/>
      <c r="E518" s="5" t="n"/>
      <c r="F518" s="5" t="n"/>
      <c r="G518" s="5" t="n"/>
    </row>
    <row r="519" ht="15.75" customHeight="1" s="115">
      <c r="A519" s="5" t="n"/>
      <c r="B519" s="5" t="n"/>
      <c r="C519" s="5" t="n"/>
      <c r="D519" s="5" t="n"/>
      <c r="E519" s="5" t="n"/>
      <c r="F519" s="5" t="n"/>
      <c r="G519" s="5" t="n"/>
    </row>
    <row r="520" ht="15.75" customHeight="1" s="115">
      <c r="A520" s="5" t="n"/>
      <c r="B520" s="5" t="n"/>
      <c r="C520" s="5" t="n"/>
      <c r="D520" s="5" t="n"/>
      <c r="E520" s="5" t="n"/>
      <c r="F520" s="5" t="n"/>
      <c r="G520" s="5" t="n"/>
    </row>
    <row r="521" ht="15.75" customHeight="1" s="115">
      <c r="A521" s="5" t="n"/>
      <c r="B521" s="5" t="n"/>
      <c r="C521" s="5" t="n"/>
      <c r="D521" s="5" t="n"/>
      <c r="E521" s="5" t="n"/>
      <c r="F521" s="5" t="n"/>
      <c r="G521" s="5" t="n"/>
    </row>
    <row r="522" ht="15.75" customHeight="1" s="115">
      <c r="A522" s="5" t="n"/>
      <c r="B522" s="5" t="n"/>
      <c r="C522" s="5" t="n"/>
      <c r="D522" s="5" t="n"/>
      <c r="E522" s="5" t="n"/>
      <c r="F522" s="5" t="n"/>
      <c r="G522" s="5" t="n"/>
    </row>
    <row r="523" ht="15.75" customHeight="1" s="115">
      <c r="A523" s="5" t="n"/>
      <c r="B523" s="5" t="n"/>
      <c r="C523" s="5" t="n"/>
      <c r="D523" s="5" t="n"/>
      <c r="E523" s="5" t="n"/>
      <c r="F523" s="5" t="n"/>
      <c r="G523" s="5" t="n"/>
    </row>
    <row r="524" ht="15.75" customHeight="1" s="115">
      <c r="A524" s="5" t="n"/>
      <c r="B524" s="5" t="n"/>
      <c r="C524" s="5" t="n"/>
      <c r="D524" s="5" t="n"/>
      <c r="E524" s="5" t="n"/>
      <c r="F524" s="5" t="n"/>
      <c r="G524" s="5" t="n"/>
    </row>
    <row r="525" ht="15.75" customHeight="1" s="115">
      <c r="A525" s="5" t="n"/>
      <c r="B525" s="5" t="n"/>
      <c r="C525" s="5" t="n"/>
      <c r="D525" s="5" t="n"/>
      <c r="E525" s="5" t="n"/>
      <c r="F525" s="5" t="n"/>
      <c r="G525" s="5" t="n"/>
    </row>
    <row r="526" ht="15.75" customHeight="1" s="115">
      <c r="A526" s="5" t="n"/>
      <c r="B526" s="5" t="n"/>
      <c r="C526" s="5" t="n"/>
      <c r="D526" s="5" t="n"/>
      <c r="E526" s="5" t="n"/>
      <c r="F526" s="5" t="n"/>
      <c r="G526" s="5" t="n"/>
    </row>
    <row r="527" ht="15.75" customHeight="1" s="115">
      <c r="A527" s="5" t="n"/>
      <c r="B527" s="5" t="n"/>
      <c r="C527" s="5" t="n"/>
      <c r="D527" s="5" t="n"/>
      <c r="E527" s="5" t="n"/>
      <c r="F527" s="5" t="n"/>
      <c r="G527" s="5" t="n"/>
    </row>
    <row r="528" ht="15.75" customHeight="1" s="115">
      <c r="A528" s="5" t="n"/>
      <c r="B528" s="5" t="n"/>
      <c r="C528" s="5" t="n"/>
      <c r="D528" s="5" t="n"/>
      <c r="E528" s="5" t="n"/>
      <c r="F528" s="5" t="n"/>
      <c r="G528" s="5" t="n"/>
    </row>
    <row r="529" ht="15.75" customHeight="1" s="115">
      <c r="A529" s="5" t="n"/>
      <c r="B529" s="5" t="n"/>
      <c r="C529" s="5" t="n"/>
      <c r="D529" s="5" t="n"/>
      <c r="E529" s="5" t="n"/>
      <c r="F529" s="5" t="n"/>
      <c r="G529" s="5" t="n"/>
    </row>
    <row r="530" ht="15.75" customHeight="1" s="115">
      <c r="A530" s="5" t="n"/>
      <c r="B530" s="5" t="n"/>
      <c r="C530" s="5" t="n"/>
      <c r="D530" s="5" t="n"/>
      <c r="E530" s="5" t="n"/>
      <c r="F530" s="5" t="n"/>
      <c r="G530" s="5" t="n"/>
    </row>
    <row r="531" ht="15.75" customHeight="1" s="115">
      <c r="A531" s="5" t="n"/>
      <c r="B531" s="5" t="n"/>
      <c r="C531" s="5" t="n"/>
      <c r="D531" s="5" t="n"/>
      <c r="E531" s="5" t="n"/>
      <c r="F531" s="5" t="n"/>
      <c r="G531" s="5" t="n"/>
    </row>
    <row r="532" ht="15.75" customHeight="1" s="115">
      <c r="A532" s="5" t="n"/>
      <c r="B532" s="5" t="n"/>
      <c r="C532" s="5" t="n"/>
      <c r="D532" s="5" t="n"/>
      <c r="E532" s="5" t="n"/>
      <c r="F532" s="5" t="n"/>
      <c r="G532" s="5" t="n"/>
    </row>
    <row r="533" ht="15.75" customHeight="1" s="115">
      <c r="A533" s="5" t="n"/>
      <c r="B533" s="5" t="n"/>
      <c r="C533" s="5" t="n"/>
      <c r="D533" s="5" t="n"/>
      <c r="E533" s="5" t="n"/>
      <c r="F533" s="5" t="n"/>
      <c r="G533" s="5" t="n"/>
    </row>
    <row r="534" ht="15.75" customHeight="1" s="115">
      <c r="A534" s="5" t="n"/>
      <c r="B534" s="5" t="n"/>
      <c r="C534" s="5" t="n"/>
      <c r="D534" s="5" t="n"/>
      <c r="E534" s="5" t="n"/>
      <c r="F534" s="5" t="n"/>
      <c r="G534" s="5" t="n"/>
    </row>
    <row r="535" ht="15.75" customHeight="1" s="115">
      <c r="A535" s="5" t="n"/>
      <c r="B535" s="5" t="n"/>
      <c r="C535" s="5" t="n"/>
      <c r="D535" s="5" t="n"/>
      <c r="E535" s="5" t="n"/>
      <c r="F535" s="5" t="n"/>
      <c r="G535" s="5" t="n"/>
    </row>
    <row r="536" ht="15.75" customHeight="1" s="115">
      <c r="A536" s="5" t="n"/>
      <c r="B536" s="5" t="n"/>
      <c r="C536" s="5" t="n"/>
      <c r="D536" s="5" t="n"/>
      <c r="E536" s="5" t="n"/>
      <c r="F536" s="5" t="n"/>
      <c r="G536" s="5" t="n"/>
    </row>
    <row r="537" ht="15.75" customHeight="1" s="115">
      <c r="A537" s="5" t="n"/>
      <c r="B537" s="5" t="n"/>
      <c r="C537" s="5" t="n"/>
      <c r="D537" s="5" t="n"/>
      <c r="E537" s="5" t="n"/>
      <c r="F537" s="5" t="n"/>
      <c r="G537" s="5" t="n"/>
    </row>
    <row r="538" ht="15.75" customHeight="1" s="115">
      <c r="A538" s="5" t="n"/>
      <c r="B538" s="5" t="n"/>
      <c r="C538" s="5" t="n"/>
      <c r="D538" s="5" t="n"/>
      <c r="E538" s="5" t="n"/>
      <c r="F538" s="5" t="n"/>
      <c r="G538" s="5" t="n"/>
    </row>
    <row r="539" ht="15.75" customHeight="1" s="115">
      <c r="A539" s="5" t="n"/>
      <c r="B539" s="5" t="n"/>
      <c r="C539" s="5" t="n"/>
      <c r="D539" s="5" t="n"/>
      <c r="E539" s="5" t="n"/>
      <c r="F539" s="5" t="n"/>
      <c r="G539" s="5" t="n"/>
    </row>
    <row r="540" ht="15.75" customHeight="1" s="115">
      <c r="A540" s="5" t="n"/>
      <c r="B540" s="5" t="n"/>
      <c r="C540" s="5" t="n"/>
      <c r="D540" s="5" t="n"/>
      <c r="E540" s="5" t="n"/>
      <c r="F540" s="5" t="n"/>
      <c r="G540" s="5" t="n"/>
    </row>
    <row r="541" ht="15.75" customHeight="1" s="115">
      <c r="A541" s="5" t="n"/>
      <c r="B541" s="5" t="n"/>
      <c r="C541" s="5" t="n"/>
      <c r="D541" s="5" t="n"/>
      <c r="E541" s="5" t="n"/>
      <c r="F541" s="5" t="n"/>
      <c r="G541" s="5" t="n"/>
    </row>
    <row r="542" ht="15.75" customHeight="1" s="115">
      <c r="A542" s="5" t="n"/>
      <c r="B542" s="5" t="n"/>
      <c r="C542" s="5" t="n"/>
      <c r="D542" s="5" t="n"/>
      <c r="E542" s="5" t="n"/>
      <c r="F542" s="5" t="n"/>
      <c r="G542" s="5" t="n"/>
    </row>
    <row r="543" ht="15.75" customHeight="1" s="115">
      <c r="A543" s="5" t="n"/>
      <c r="B543" s="5" t="n"/>
      <c r="C543" s="5" t="n"/>
      <c r="D543" s="5" t="n"/>
      <c r="E543" s="5" t="n"/>
      <c r="F543" s="5" t="n"/>
      <c r="G543" s="5" t="n"/>
    </row>
    <row r="544" ht="15.75" customHeight="1" s="115">
      <c r="A544" s="5" t="n"/>
      <c r="B544" s="5" t="n"/>
      <c r="C544" s="5" t="n"/>
      <c r="D544" s="5" t="n"/>
      <c r="E544" s="5" t="n"/>
      <c r="F544" s="5" t="n"/>
      <c r="G544" s="5" t="n"/>
    </row>
    <row r="545" ht="15.75" customHeight="1" s="115">
      <c r="A545" s="5" t="n"/>
      <c r="B545" s="5" t="n"/>
      <c r="C545" s="5" t="n"/>
      <c r="D545" s="5" t="n"/>
      <c r="E545" s="5" t="n"/>
      <c r="F545" s="5" t="n"/>
      <c r="G545" s="5" t="n"/>
    </row>
    <row r="546" ht="15.75" customHeight="1" s="115">
      <c r="A546" s="5" t="n"/>
      <c r="B546" s="5" t="n"/>
      <c r="C546" s="5" t="n"/>
      <c r="D546" s="5" t="n"/>
      <c r="E546" s="5" t="n"/>
      <c r="F546" s="5" t="n"/>
      <c r="G546" s="5" t="n"/>
    </row>
    <row r="547" ht="15.75" customHeight="1" s="115">
      <c r="A547" s="5" t="n"/>
      <c r="B547" s="5" t="n"/>
      <c r="C547" s="5" t="n"/>
      <c r="D547" s="5" t="n"/>
      <c r="E547" s="5" t="n"/>
      <c r="F547" s="5" t="n"/>
      <c r="G547" s="5" t="n"/>
    </row>
    <row r="548" ht="15.75" customHeight="1" s="115">
      <c r="A548" s="5" t="n"/>
      <c r="B548" s="5" t="n"/>
      <c r="C548" s="5" t="n"/>
      <c r="D548" s="5" t="n"/>
      <c r="E548" s="5" t="n"/>
      <c r="F548" s="5" t="n"/>
      <c r="G548" s="5" t="n"/>
    </row>
    <row r="549" ht="15.75" customHeight="1" s="115">
      <c r="A549" s="5" t="n"/>
      <c r="B549" s="5" t="n"/>
      <c r="C549" s="5" t="n"/>
      <c r="D549" s="5" t="n"/>
      <c r="E549" s="5" t="n"/>
      <c r="F549" s="5" t="n"/>
      <c r="G549" s="5" t="n"/>
    </row>
    <row r="550" ht="15.75" customHeight="1" s="115">
      <c r="A550" s="5" t="n"/>
      <c r="B550" s="5" t="n"/>
      <c r="C550" s="5" t="n"/>
      <c r="D550" s="5" t="n"/>
      <c r="E550" s="5" t="n"/>
      <c r="F550" s="5" t="n"/>
      <c r="G550" s="5" t="n"/>
    </row>
    <row r="551" ht="15.75" customHeight="1" s="115">
      <c r="A551" s="5" t="n"/>
      <c r="B551" s="5" t="n"/>
      <c r="C551" s="5" t="n"/>
      <c r="D551" s="5" t="n"/>
      <c r="E551" s="5" t="n"/>
      <c r="F551" s="5" t="n"/>
      <c r="G551" s="5" t="n"/>
    </row>
    <row r="552" ht="15.75" customHeight="1" s="115">
      <c r="A552" s="5" t="n"/>
      <c r="B552" s="5" t="n"/>
      <c r="C552" s="5" t="n"/>
      <c r="D552" s="5" t="n"/>
      <c r="E552" s="5" t="n"/>
      <c r="F552" s="5" t="n"/>
      <c r="G552" s="5" t="n"/>
    </row>
    <row r="553" ht="15.75" customHeight="1" s="115">
      <c r="A553" s="5" t="n"/>
      <c r="B553" s="5" t="n"/>
      <c r="C553" s="5" t="n"/>
      <c r="D553" s="5" t="n"/>
      <c r="E553" s="5" t="n"/>
      <c r="F553" s="5" t="n"/>
      <c r="G553" s="5" t="n"/>
    </row>
    <row r="554" ht="15.75" customHeight="1" s="115">
      <c r="A554" s="5" t="n"/>
      <c r="B554" s="5" t="n"/>
      <c r="C554" s="5" t="n"/>
      <c r="D554" s="5" t="n"/>
      <c r="E554" s="5" t="n"/>
      <c r="F554" s="5" t="n"/>
      <c r="G554" s="5" t="n"/>
    </row>
    <row r="555" ht="15.75" customHeight="1" s="115">
      <c r="A555" s="5" t="n"/>
      <c r="B555" s="5" t="n"/>
      <c r="C555" s="5" t="n"/>
      <c r="D555" s="5" t="n"/>
      <c r="E555" s="5" t="n"/>
      <c r="F555" s="5" t="n"/>
      <c r="G555" s="5" t="n"/>
    </row>
    <row r="556" ht="15.75" customHeight="1" s="115">
      <c r="A556" s="5" t="n"/>
      <c r="B556" s="5" t="n"/>
      <c r="C556" s="5" t="n"/>
      <c r="D556" s="5" t="n"/>
      <c r="E556" s="5" t="n"/>
      <c r="F556" s="5" t="n"/>
      <c r="G556" s="5" t="n"/>
    </row>
    <row r="557" ht="15.75" customHeight="1" s="115">
      <c r="A557" s="5" t="n"/>
      <c r="B557" s="5" t="n"/>
      <c r="C557" s="5" t="n"/>
      <c r="D557" s="5" t="n"/>
      <c r="E557" s="5" t="n"/>
      <c r="F557" s="5" t="n"/>
      <c r="G557" s="5" t="n"/>
    </row>
    <row r="558" ht="15.75" customHeight="1" s="115">
      <c r="A558" s="5" t="n"/>
      <c r="B558" s="5" t="n"/>
      <c r="C558" s="5" t="n"/>
      <c r="D558" s="5" t="n"/>
      <c r="E558" s="5" t="n"/>
      <c r="F558" s="5" t="n"/>
      <c r="G558" s="5" t="n"/>
    </row>
    <row r="559" ht="15.75" customHeight="1" s="115">
      <c r="A559" s="5" t="n"/>
      <c r="B559" s="5" t="n"/>
      <c r="C559" s="5" t="n"/>
      <c r="D559" s="5" t="n"/>
      <c r="E559" s="5" t="n"/>
      <c r="F559" s="5" t="n"/>
      <c r="G559" s="5" t="n"/>
    </row>
    <row r="560" ht="15.75" customHeight="1" s="115">
      <c r="A560" s="5" t="n"/>
      <c r="B560" s="5" t="n"/>
      <c r="C560" s="5" t="n"/>
      <c r="D560" s="5" t="n"/>
      <c r="E560" s="5" t="n"/>
      <c r="F560" s="5" t="n"/>
      <c r="G560" s="5" t="n"/>
    </row>
    <row r="561" ht="15.75" customHeight="1" s="115">
      <c r="A561" s="5" t="n"/>
      <c r="B561" s="5" t="n"/>
      <c r="C561" s="5" t="n"/>
      <c r="D561" s="5" t="n"/>
      <c r="E561" s="5" t="n"/>
      <c r="F561" s="5" t="n"/>
      <c r="G561" s="5" t="n"/>
    </row>
    <row r="562" ht="15.75" customHeight="1" s="115">
      <c r="A562" s="5" t="n"/>
      <c r="B562" s="5" t="n"/>
      <c r="C562" s="5" t="n"/>
      <c r="D562" s="5" t="n"/>
      <c r="E562" s="5" t="n"/>
      <c r="F562" s="5" t="n"/>
      <c r="G562" s="5" t="n"/>
    </row>
    <row r="563" ht="15.75" customHeight="1" s="115">
      <c r="A563" s="5" t="n"/>
      <c r="B563" s="5" t="n"/>
      <c r="C563" s="5" t="n"/>
      <c r="D563" s="5" t="n"/>
      <c r="E563" s="5" t="n"/>
      <c r="F563" s="5" t="n"/>
      <c r="G563" s="5" t="n"/>
    </row>
    <row r="564" ht="15.75" customHeight="1" s="115">
      <c r="A564" s="5" t="n"/>
      <c r="B564" s="5" t="n"/>
      <c r="C564" s="5" t="n"/>
      <c r="D564" s="5" t="n"/>
      <c r="E564" s="5" t="n"/>
      <c r="F564" s="5" t="n"/>
      <c r="G564" s="5" t="n"/>
    </row>
    <row r="565" ht="15.75" customHeight="1" s="115">
      <c r="A565" s="5" t="n"/>
      <c r="B565" s="5" t="n"/>
      <c r="C565" s="5" t="n"/>
      <c r="D565" s="5" t="n"/>
      <c r="E565" s="5" t="n"/>
      <c r="F565" s="5" t="n"/>
      <c r="G565" s="5" t="n"/>
    </row>
    <row r="566" ht="15.75" customHeight="1" s="115">
      <c r="A566" s="5" t="n"/>
      <c r="B566" s="5" t="n"/>
      <c r="C566" s="5" t="n"/>
      <c r="D566" s="5" t="n"/>
      <c r="E566" s="5" t="n"/>
      <c r="F566" s="5" t="n"/>
      <c r="G566" s="5" t="n"/>
    </row>
    <row r="567" ht="15.75" customHeight="1" s="115">
      <c r="A567" s="5" t="n"/>
      <c r="B567" s="5" t="n"/>
      <c r="C567" s="5" t="n"/>
      <c r="D567" s="5" t="n"/>
      <c r="E567" s="5" t="n"/>
      <c r="F567" s="5" t="n"/>
      <c r="G567" s="5" t="n"/>
    </row>
    <row r="568" ht="15.75" customHeight="1" s="115">
      <c r="A568" s="5" t="n"/>
      <c r="B568" s="5" t="n"/>
      <c r="C568" s="5" t="n"/>
      <c r="D568" s="5" t="n"/>
      <c r="E568" s="5" t="n"/>
      <c r="F568" s="5" t="n"/>
      <c r="G568" s="5" t="n"/>
    </row>
    <row r="569" ht="15.75" customHeight="1" s="115">
      <c r="A569" s="5" t="n"/>
      <c r="B569" s="5" t="n"/>
      <c r="C569" s="5" t="n"/>
      <c r="D569" s="5" t="n"/>
      <c r="E569" s="5" t="n"/>
      <c r="F569" s="5" t="n"/>
      <c r="G569" s="5" t="n"/>
    </row>
    <row r="570" ht="15.75" customHeight="1" s="115">
      <c r="A570" s="5" t="n"/>
      <c r="B570" s="5" t="n"/>
      <c r="C570" s="5" t="n"/>
      <c r="D570" s="5" t="n"/>
      <c r="E570" s="5" t="n"/>
      <c r="F570" s="5" t="n"/>
      <c r="G570" s="5" t="n"/>
    </row>
    <row r="571" ht="15.75" customHeight="1" s="115">
      <c r="A571" s="5" t="n"/>
      <c r="B571" s="5" t="n"/>
      <c r="C571" s="5" t="n"/>
      <c r="D571" s="5" t="n"/>
      <c r="E571" s="5" t="n"/>
      <c r="F571" s="5" t="n"/>
      <c r="G571" s="5" t="n"/>
    </row>
    <row r="572" ht="15.75" customHeight="1" s="115">
      <c r="A572" s="5" t="n"/>
      <c r="B572" s="5" t="n"/>
      <c r="C572" s="5" t="n"/>
      <c r="D572" s="5" t="n"/>
      <c r="E572" s="5" t="n"/>
      <c r="F572" s="5" t="n"/>
      <c r="G572" s="5" t="n"/>
    </row>
    <row r="573" ht="15.75" customHeight="1" s="115">
      <c r="A573" s="5" t="n"/>
      <c r="B573" s="5" t="n"/>
      <c r="C573" s="5" t="n"/>
      <c r="D573" s="5" t="n"/>
      <c r="E573" s="5" t="n"/>
      <c r="F573" s="5" t="n"/>
      <c r="G573" s="5" t="n"/>
    </row>
    <row r="574" ht="15.75" customHeight="1" s="115">
      <c r="A574" s="5" t="n"/>
      <c r="B574" s="5" t="n"/>
      <c r="C574" s="5" t="n"/>
      <c r="D574" s="5" t="n"/>
      <c r="E574" s="5" t="n"/>
      <c r="F574" s="5" t="n"/>
      <c r="G574" s="5" t="n"/>
    </row>
    <row r="575" ht="15.75" customHeight="1" s="115">
      <c r="A575" s="5" t="n"/>
      <c r="B575" s="5" t="n"/>
      <c r="C575" s="5" t="n"/>
      <c r="D575" s="5" t="n"/>
      <c r="E575" s="5" t="n"/>
      <c r="F575" s="5" t="n"/>
      <c r="G575" s="5" t="n"/>
    </row>
    <row r="576" ht="15.75" customHeight="1" s="115">
      <c r="A576" s="5" t="n"/>
      <c r="B576" s="5" t="n"/>
      <c r="C576" s="5" t="n"/>
      <c r="D576" s="5" t="n"/>
      <c r="E576" s="5" t="n"/>
      <c r="F576" s="5" t="n"/>
      <c r="G576" s="5" t="n"/>
    </row>
    <row r="577" ht="15.75" customHeight="1" s="115">
      <c r="A577" s="5" t="n"/>
      <c r="B577" s="5" t="n"/>
      <c r="C577" s="5" t="n"/>
      <c r="D577" s="5" t="n"/>
      <c r="E577" s="5" t="n"/>
      <c r="F577" s="5" t="n"/>
      <c r="G577" s="5" t="n"/>
    </row>
    <row r="578" ht="15.75" customHeight="1" s="115">
      <c r="A578" s="5" t="n"/>
      <c r="B578" s="5" t="n"/>
      <c r="C578" s="5" t="n"/>
      <c r="D578" s="5" t="n"/>
      <c r="E578" s="5" t="n"/>
      <c r="F578" s="5" t="n"/>
      <c r="G578" s="5" t="n"/>
    </row>
    <row r="579" ht="15.75" customHeight="1" s="115">
      <c r="A579" s="5" t="n"/>
      <c r="B579" s="5" t="n"/>
      <c r="C579" s="5" t="n"/>
      <c r="D579" s="5" t="n"/>
      <c r="E579" s="5" t="n"/>
      <c r="F579" s="5" t="n"/>
      <c r="G579" s="5" t="n"/>
    </row>
    <row r="580" ht="15.75" customHeight="1" s="115">
      <c r="A580" s="5" t="n"/>
      <c r="B580" s="5" t="n"/>
      <c r="C580" s="5" t="n"/>
      <c r="D580" s="5" t="n"/>
      <c r="E580" s="5" t="n"/>
      <c r="F580" s="5" t="n"/>
      <c r="G580" s="5" t="n"/>
    </row>
    <row r="581" ht="15.75" customHeight="1" s="115">
      <c r="A581" s="5" t="n"/>
      <c r="B581" s="5" t="n"/>
      <c r="C581" s="5" t="n"/>
      <c r="D581" s="5" t="n"/>
      <c r="E581" s="5" t="n"/>
      <c r="F581" s="5" t="n"/>
      <c r="G581" s="5" t="n"/>
    </row>
    <row r="582" ht="15.75" customHeight="1" s="115">
      <c r="A582" s="5" t="n"/>
      <c r="B582" s="5" t="n"/>
      <c r="C582" s="5" t="n"/>
      <c r="D582" s="5" t="n"/>
      <c r="E582" s="5" t="n"/>
      <c r="F582" s="5" t="n"/>
      <c r="G582" s="5" t="n"/>
    </row>
    <row r="583" ht="15.75" customHeight="1" s="115">
      <c r="A583" s="5" t="n"/>
      <c r="B583" s="5" t="n"/>
      <c r="C583" s="5" t="n"/>
      <c r="D583" s="5" t="n"/>
      <c r="E583" s="5" t="n"/>
      <c r="F583" s="5" t="n"/>
      <c r="G583" s="5" t="n"/>
    </row>
    <row r="584" ht="15.75" customHeight="1" s="115">
      <c r="A584" s="5" t="n"/>
      <c r="B584" s="5" t="n"/>
      <c r="C584" s="5" t="n"/>
      <c r="D584" s="5" t="n"/>
      <c r="E584" s="5" t="n"/>
      <c r="F584" s="5" t="n"/>
      <c r="G584" s="5" t="n"/>
    </row>
    <row r="585" ht="15.75" customHeight="1" s="115">
      <c r="A585" s="5" t="n"/>
      <c r="B585" s="5" t="n"/>
      <c r="C585" s="5" t="n"/>
      <c r="D585" s="5" t="n"/>
      <c r="E585" s="5" t="n"/>
      <c r="F585" s="5" t="n"/>
      <c r="G585" s="5" t="n"/>
    </row>
    <row r="586" ht="15.75" customHeight="1" s="115">
      <c r="A586" s="5" t="n"/>
      <c r="B586" s="5" t="n"/>
      <c r="C586" s="5" t="n"/>
      <c r="D586" s="5" t="n"/>
      <c r="E586" s="5" t="n"/>
      <c r="F586" s="5" t="n"/>
      <c r="G586" s="5" t="n"/>
    </row>
    <row r="587" ht="15.75" customHeight="1" s="115">
      <c r="A587" s="5" t="n"/>
      <c r="B587" s="5" t="n"/>
      <c r="C587" s="5" t="n"/>
      <c r="D587" s="5" t="n"/>
      <c r="E587" s="5" t="n"/>
      <c r="F587" s="5" t="n"/>
      <c r="G587" s="5" t="n"/>
    </row>
    <row r="588" ht="15.75" customHeight="1" s="115">
      <c r="A588" s="5" t="n"/>
      <c r="B588" s="5" t="n"/>
      <c r="C588" s="5" t="n"/>
      <c r="D588" s="5" t="n"/>
      <c r="E588" s="5" t="n"/>
      <c r="F588" s="5" t="n"/>
      <c r="G588" s="5" t="n"/>
    </row>
    <row r="589" ht="15.75" customHeight="1" s="115">
      <c r="A589" s="5" t="n"/>
      <c r="B589" s="5" t="n"/>
      <c r="C589" s="5" t="n"/>
      <c r="D589" s="5" t="n"/>
      <c r="E589" s="5" t="n"/>
      <c r="F589" s="5" t="n"/>
      <c r="G589" s="5" t="n"/>
    </row>
    <row r="590" ht="15.75" customHeight="1" s="115">
      <c r="A590" s="5" t="n"/>
      <c r="B590" s="5" t="n"/>
      <c r="C590" s="5" t="n"/>
      <c r="D590" s="5" t="n"/>
      <c r="E590" s="5" t="n"/>
      <c r="F590" s="5" t="n"/>
      <c r="G590" s="5" t="n"/>
    </row>
    <row r="591" ht="15.75" customHeight="1" s="115">
      <c r="A591" s="5" t="n"/>
      <c r="B591" s="5" t="n"/>
      <c r="C591" s="5" t="n"/>
      <c r="D591" s="5" t="n"/>
      <c r="E591" s="5" t="n"/>
      <c r="F591" s="5" t="n"/>
      <c r="G591" s="5" t="n"/>
    </row>
    <row r="592" ht="15.75" customHeight="1" s="115">
      <c r="A592" s="5" t="n"/>
      <c r="B592" s="5" t="n"/>
      <c r="C592" s="5" t="n"/>
      <c r="D592" s="5" t="n"/>
      <c r="E592" s="5" t="n"/>
      <c r="F592" s="5" t="n"/>
      <c r="G592" s="5" t="n"/>
    </row>
    <row r="593" ht="15.75" customHeight="1" s="115">
      <c r="A593" s="5" t="n"/>
      <c r="B593" s="5" t="n"/>
      <c r="C593" s="5" t="n"/>
      <c r="D593" s="5" t="n"/>
      <c r="E593" s="5" t="n"/>
      <c r="F593" s="5" t="n"/>
      <c r="G593" s="5" t="n"/>
    </row>
    <row r="594" ht="15.75" customHeight="1" s="115">
      <c r="A594" s="5" t="n"/>
      <c r="B594" s="5" t="n"/>
      <c r="C594" s="5" t="n"/>
      <c r="D594" s="5" t="n"/>
      <c r="E594" s="5" t="n"/>
      <c r="F594" s="5" t="n"/>
      <c r="G594" s="5" t="n"/>
    </row>
    <row r="595" ht="15.75" customHeight="1" s="115">
      <c r="A595" s="5" t="n"/>
      <c r="B595" s="5" t="n"/>
      <c r="C595" s="5" t="n"/>
      <c r="D595" s="5" t="n"/>
      <c r="E595" s="5" t="n"/>
      <c r="F595" s="5" t="n"/>
      <c r="G595" s="5" t="n"/>
    </row>
    <row r="596" ht="15.75" customHeight="1" s="115">
      <c r="A596" s="5" t="n"/>
      <c r="B596" s="5" t="n"/>
      <c r="C596" s="5" t="n"/>
      <c r="D596" s="5" t="n"/>
      <c r="E596" s="5" t="n"/>
      <c r="F596" s="5" t="n"/>
      <c r="G596" s="5" t="n"/>
    </row>
    <row r="597" ht="15.75" customHeight="1" s="115">
      <c r="A597" s="5" t="n"/>
      <c r="B597" s="5" t="n"/>
      <c r="C597" s="5" t="n"/>
      <c r="D597" s="5" t="n"/>
      <c r="E597" s="5" t="n"/>
      <c r="F597" s="5" t="n"/>
      <c r="G597" s="5" t="n"/>
    </row>
    <row r="598" ht="15.75" customHeight="1" s="115">
      <c r="A598" s="5" t="n"/>
      <c r="B598" s="5" t="n"/>
      <c r="C598" s="5" t="n"/>
      <c r="D598" s="5" t="n"/>
      <c r="E598" s="5" t="n"/>
      <c r="F598" s="5" t="n"/>
      <c r="G598" s="5" t="n"/>
    </row>
    <row r="599" ht="15.75" customHeight="1" s="115">
      <c r="A599" s="5" t="n"/>
      <c r="B599" s="5" t="n"/>
      <c r="C599" s="5" t="n"/>
      <c r="D599" s="5" t="n"/>
      <c r="E599" s="5" t="n"/>
      <c r="F599" s="5" t="n"/>
      <c r="G599" s="5" t="n"/>
    </row>
    <row r="600" ht="15.75" customHeight="1" s="115">
      <c r="A600" s="5" t="n"/>
      <c r="B600" s="5" t="n"/>
      <c r="C600" s="5" t="n"/>
      <c r="D600" s="5" t="n"/>
      <c r="E600" s="5" t="n"/>
      <c r="F600" s="5" t="n"/>
      <c r="G600" s="5" t="n"/>
    </row>
    <row r="601" ht="15.75" customHeight="1" s="115">
      <c r="A601" s="5" t="n"/>
      <c r="B601" s="5" t="n"/>
      <c r="C601" s="5" t="n"/>
      <c r="D601" s="5" t="n"/>
      <c r="E601" s="5" t="n"/>
      <c r="F601" s="5" t="n"/>
      <c r="G601" s="5" t="n"/>
    </row>
    <row r="602" ht="15.75" customHeight="1" s="115">
      <c r="A602" s="5" t="n"/>
      <c r="B602" s="5" t="n"/>
      <c r="C602" s="5" t="n"/>
      <c r="D602" s="5" t="n"/>
      <c r="E602" s="5" t="n"/>
      <c r="F602" s="5" t="n"/>
      <c r="G602" s="5" t="n"/>
    </row>
    <row r="603" ht="15.75" customHeight="1" s="115">
      <c r="A603" s="5" t="n"/>
      <c r="B603" s="5" t="n"/>
      <c r="C603" s="5" t="n"/>
      <c r="D603" s="5" t="n"/>
      <c r="E603" s="5" t="n"/>
      <c r="F603" s="5" t="n"/>
      <c r="G603" s="5" t="n"/>
    </row>
    <row r="604" ht="15.75" customHeight="1" s="115">
      <c r="A604" s="5" t="n"/>
      <c r="B604" s="5" t="n"/>
      <c r="C604" s="5" t="n"/>
      <c r="D604" s="5" t="n"/>
      <c r="E604" s="5" t="n"/>
      <c r="F604" s="5" t="n"/>
      <c r="G604" s="5" t="n"/>
    </row>
    <row r="605" ht="15.75" customHeight="1" s="115">
      <c r="A605" s="5" t="n"/>
      <c r="B605" s="5" t="n"/>
      <c r="C605" s="5" t="n"/>
      <c r="D605" s="5" t="n"/>
      <c r="E605" s="5" t="n"/>
      <c r="F605" s="5" t="n"/>
      <c r="G605" s="5" t="n"/>
    </row>
    <row r="606" ht="15.75" customHeight="1" s="115">
      <c r="A606" s="5" t="n"/>
      <c r="B606" s="5" t="n"/>
      <c r="C606" s="5" t="n"/>
      <c r="D606" s="5" t="n"/>
      <c r="E606" s="5" t="n"/>
      <c r="F606" s="5" t="n"/>
      <c r="G606" s="5" t="n"/>
    </row>
    <row r="607" ht="15.75" customHeight="1" s="115">
      <c r="A607" s="5" t="n"/>
      <c r="B607" s="5" t="n"/>
      <c r="C607" s="5" t="n"/>
      <c r="D607" s="5" t="n"/>
      <c r="E607" s="5" t="n"/>
      <c r="F607" s="5" t="n"/>
      <c r="G607" s="5" t="n"/>
    </row>
    <row r="608" ht="15.75" customHeight="1" s="115">
      <c r="A608" s="5" t="n"/>
      <c r="B608" s="5" t="n"/>
      <c r="C608" s="5" t="n"/>
      <c r="D608" s="5" t="n"/>
      <c r="E608" s="5" t="n"/>
      <c r="F608" s="5" t="n"/>
      <c r="G608" s="5" t="n"/>
    </row>
    <row r="609" ht="15.75" customHeight="1" s="115">
      <c r="A609" s="5" t="n"/>
      <c r="B609" s="5" t="n"/>
      <c r="C609" s="5" t="n"/>
      <c r="D609" s="5" t="n"/>
      <c r="E609" s="5" t="n"/>
      <c r="F609" s="5" t="n"/>
      <c r="G609" s="5" t="n"/>
    </row>
    <row r="610" ht="15.75" customHeight="1" s="115">
      <c r="A610" s="5" t="n"/>
      <c r="B610" s="5" t="n"/>
      <c r="C610" s="5" t="n"/>
      <c r="D610" s="5" t="n"/>
      <c r="E610" s="5" t="n"/>
      <c r="F610" s="5" t="n"/>
      <c r="G610" s="5" t="n"/>
    </row>
    <row r="611" ht="15.75" customHeight="1" s="115">
      <c r="A611" s="5" t="n"/>
      <c r="B611" s="5" t="n"/>
      <c r="C611" s="5" t="n"/>
      <c r="D611" s="5" t="n"/>
      <c r="E611" s="5" t="n"/>
      <c r="F611" s="5" t="n"/>
      <c r="G611" s="5" t="n"/>
    </row>
    <row r="612" ht="15.75" customHeight="1" s="115">
      <c r="A612" s="5" t="n"/>
      <c r="B612" s="5" t="n"/>
      <c r="C612" s="5" t="n"/>
      <c r="D612" s="5" t="n"/>
      <c r="E612" s="5" t="n"/>
      <c r="F612" s="5" t="n"/>
      <c r="G612" s="5" t="n"/>
    </row>
    <row r="613" ht="15.75" customHeight="1" s="115">
      <c r="A613" s="5" t="n"/>
      <c r="B613" s="5" t="n"/>
      <c r="C613" s="5" t="n"/>
      <c r="D613" s="5" t="n"/>
      <c r="E613" s="5" t="n"/>
      <c r="F613" s="5" t="n"/>
      <c r="G613" s="5" t="n"/>
    </row>
    <row r="614" ht="15.75" customHeight="1" s="115">
      <c r="A614" s="5" t="n"/>
      <c r="B614" s="5" t="n"/>
      <c r="C614" s="5" t="n"/>
      <c r="D614" s="5" t="n"/>
      <c r="E614" s="5" t="n"/>
      <c r="F614" s="5" t="n"/>
      <c r="G614" s="5" t="n"/>
    </row>
    <row r="615" ht="15.75" customHeight="1" s="115">
      <c r="A615" s="5" t="n"/>
      <c r="B615" s="5" t="n"/>
      <c r="C615" s="5" t="n"/>
      <c r="D615" s="5" t="n"/>
      <c r="E615" s="5" t="n"/>
      <c r="F615" s="5" t="n"/>
      <c r="G615" s="5" t="n"/>
    </row>
    <row r="616" ht="15.75" customHeight="1" s="115">
      <c r="A616" s="5" t="n"/>
      <c r="B616" s="5" t="n"/>
      <c r="C616" s="5" t="n"/>
      <c r="D616" s="5" t="n"/>
      <c r="E616" s="5" t="n"/>
      <c r="F616" s="5" t="n"/>
      <c r="G616" s="5" t="n"/>
    </row>
    <row r="617" ht="15.75" customHeight="1" s="115">
      <c r="A617" s="5" t="n"/>
      <c r="B617" s="5" t="n"/>
      <c r="C617" s="5" t="n"/>
      <c r="D617" s="5" t="n"/>
      <c r="E617" s="5" t="n"/>
      <c r="F617" s="5" t="n"/>
      <c r="G617" s="5" t="n"/>
    </row>
    <row r="618" ht="15.75" customHeight="1" s="115">
      <c r="A618" s="5" t="n"/>
      <c r="B618" s="5" t="n"/>
      <c r="C618" s="5" t="n"/>
      <c r="D618" s="5" t="n"/>
      <c r="E618" s="5" t="n"/>
      <c r="F618" s="5" t="n"/>
      <c r="G618" s="5" t="n"/>
    </row>
    <row r="619" ht="15.75" customHeight="1" s="115">
      <c r="A619" s="5" t="n"/>
      <c r="B619" s="5" t="n"/>
      <c r="C619" s="5" t="n"/>
      <c r="D619" s="5" t="n"/>
      <c r="E619" s="5" t="n"/>
      <c r="F619" s="5" t="n"/>
      <c r="G619" s="5" t="n"/>
    </row>
    <row r="620" ht="15.75" customHeight="1" s="115">
      <c r="A620" s="5" t="n"/>
      <c r="B620" s="5" t="n"/>
      <c r="C620" s="5" t="n"/>
      <c r="D620" s="5" t="n"/>
      <c r="E620" s="5" t="n"/>
      <c r="F620" s="5" t="n"/>
      <c r="G620" s="5" t="n"/>
    </row>
    <row r="621" ht="15.75" customHeight="1" s="115">
      <c r="A621" s="5" t="n"/>
      <c r="B621" s="5" t="n"/>
      <c r="C621" s="5" t="n"/>
      <c r="D621" s="5" t="n"/>
      <c r="E621" s="5" t="n"/>
      <c r="F621" s="5" t="n"/>
      <c r="G621" s="5" t="n"/>
    </row>
    <row r="622" ht="15.75" customHeight="1" s="115">
      <c r="A622" s="5" t="n"/>
      <c r="B622" s="5" t="n"/>
      <c r="C622" s="5" t="n"/>
      <c r="D622" s="5" t="n"/>
      <c r="E622" s="5" t="n"/>
      <c r="F622" s="5" t="n"/>
      <c r="G622" s="5" t="n"/>
    </row>
    <row r="623" ht="15.75" customHeight="1" s="115">
      <c r="A623" s="5" t="n"/>
      <c r="B623" s="5" t="n"/>
      <c r="C623" s="5" t="n"/>
      <c r="D623" s="5" t="n"/>
      <c r="E623" s="5" t="n"/>
      <c r="F623" s="5" t="n"/>
      <c r="G623" s="5" t="n"/>
    </row>
    <row r="624" ht="15.75" customHeight="1" s="115">
      <c r="A624" s="5" t="n"/>
      <c r="B624" s="5" t="n"/>
      <c r="C624" s="5" t="n"/>
      <c r="D624" s="5" t="n"/>
      <c r="E624" s="5" t="n"/>
      <c r="F624" s="5" t="n"/>
      <c r="G624" s="5" t="n"/>
    </row>
    <row r="625" ht="15.75" customHeight="1" s="115">
      <c r="A625" s="5" t="n"/>
      <c r="B625" s="5" t="n"/>
      <c r="C625" s="5" t="n"/>
      <c r="D625" s="5" t="n"/>
      <c r="E625" s="5" t="n"/>
      <c r="F625" s="5" t="n"/>
      <c r="G625" s="5" t="n"/>
    </row>
    <row r="626" ht="15.75" customHeight="1" s="115">
      <c r="A626" s="5" t="n"/>
      <c r="B626" s="5" t="n"/>
      <c r="C626" s="5" t="n"/>
      <c r="D626" s="5" t="n"/>
      <c r="E626" s="5" t="n"/>
      <c r="F626" s="5" t="n"/>
      <c r="G626" s="5" t="n"/>
    </row>
    <row r="627" ht="15.75" customHeight="1" s="115">
      <c r="A627" s="5" t="n"/>
      <c r="B627" s="5" t="n"/>
      <c r="C627" s="5" t="n"/>
      <c r="D627" s="5" t="n"/>
      <c r="E627" s="5" t="n"/>
      <c r="F627" s="5" t="n"/>
      <c r="G627" s="5" t="n"/>
    </row>
    <row r="628" ht="15.75" customHeight="1" s="115">
      <c r="A628" s="5" t="n"/>
      <c r="B628" s="5" t="n"/>
      <c r="C628" s="5" t="n"/>
      <c r="D628" s="5" t="n"/>
      <c r="E628" s="5" t="n"/>
      <c r="F628" s="5" t="n"/>
      <c r="G628" s="5" t="n"/>
    </row>
    <row r="629" ht="15.75" customHeight="1" s="115">
      <c r="A629" s="5" t="n"/>
      <c r="B629" s="5" t="n"/>
      <c r="C629" s="5" t="n"/>
      <c r="D629" s="5" t="n"/>
      <c r="E629" s="5" t="n"/>
      <c r="F629" s="5" t="n"/>
      <c r="G629" s="5" t="n"/>
    </row>
    <row r="630" ht="15.75" customHeight="1" s="115">
      <c r="A630" s="5" t="n"/>
      <c r="B630" s="5" t="n"/>
      <c r="C630" s="5" t="n"/>
      <c r="D630" s="5" t="n"/>
      <c r="E630" s="5" t="n"/>
      <c r="F630" s="5" t="n"/>
      <c r="G630" s="5" t="n"/>
    </row>
    <row r="631" ht="15.75" customHeight="1" s="115">
      <c r="A631" s="5" t="n"/>
      <c r="B631" s="5" t="n"/>
      <c r="C631" s="5" t="n"/>
      <c r="D631" s="5" t="n"/>
      <c r="E631" s="5" t="n"/>
      <c r="F631" s="5" t="n"/>
      <c r="G631" s="5" t="n"/>
    </row>
    <row r="632" ht="15.75" customHeight="1" s="115">
      <c r="A632" s="5" t="n"/>
      <c r="B632" s="5" t="n"/>
      <c r="C632" s="5" t="n"/>
      <c r="D632" s="5" t="n"/>
      <c r="E632" s="5" t="n"/>
      <c r="F632" s="5" t="n"/>
      <c r="G632" s="5" t="n"/>
    </row>
    <row r="633" ht="15.75" customHeight="1" s="115">
      <c r="A633" s="5" t="n"/>
      <c r="B633" s="5" t="n"/>
      <c r="C633" s="5" t="n"/>
      <c r="D633" s="5" t="n"/>
      <c r="E633" s="5" t="n"/>
      <c r="F633" s="5" t="n"/>
      <c r="G633" s="5" t="n"/>
    </row>
    <row r="634" ht="15.75" customHeight="1" s="115">
      <c r="A634" s="5" t="n"/>
      <c r="B634" s="5" t="n"/>
      <c r="C634" s="5" t="n"/>
      <c r="D634" s="5" t="n"/>
      <c r="E634" s="5" t="n"/>
      <c r="F634" s="5" t="n"/>
      <c r="G634" s="5" t="n"/>
    </row>
    <row r="635" ht="15.75" customHeight="1" s="115">
      <c r="A635" s="5" t="n"/>
      <c r="B635" s="5" t="n"/>
      <c r="C635" s="5" t="n"/>
      <c r="D635" s="5" t="n"/>
      <c r="E635" s="5" t="n"/>
      <c r="F635" s="5" t="n"/>
      <c r="G635" s="5" t="n"/>
    </row>
    <row r="636" ht="15.75" customHeight="1" s="115">
      <c r="A636" s="5" t="n"/>
      <c r="B636" s="5" t="n"/>
      <c r="C636" s="5" t="n"/>
      <c r="D636" s="5" t="n"/>
      <c r="E636" s="5" t="n"/>
      <c r="F636" s="5" t="n"/>
      <c r="G636" s="5" t="n"/>
    </row>
    <row r="637" ht="15.75" customHeight="1" s="115">
      <c r="A637" s="5" t="n"/>
      <c r="B637" s="5" t="n"/>
      <c r="C637" s="5" t="n"/>
      <c r="D637" s="5" t="n"/>
      <c r="E637" s="5" t="n"/>
      <c r="F637" s="5" t="n"/>
      <c r="G637" s="5" t="n"/>
    </row>
    <row r="638" ht="15.75" customHeight="1" s="115">
      <c r="A638" s="5" t="n"/>
      <c r="B638" s="5" t="n"/>
      <c r="C638" s="5" t="n"/>
      <c r="D638" s="5" t="n"/>
      <c r="E638" s="5" t="n"/>
      <c r="F638" s="5" t="n"/>
      <c r="G638" s="5" t="n"/>
    </row>
    <row r="639" ht="15.75" customHeight="1" s="115">
      <c r="A639" s="5" t="n"/>
      <c r="B639" s="5" t="n"/>
      <c r="C639" s="5" t="n"/>
      <c r="D639" s="5" t="n"/>
      <c r="E639" s="5" t="n"/>
      <c r="F639" s="5" t="n"/>
      <c r="G639" s="5" t="n"/>
    </row>
    <row r="640" ht="15.75" customHeight="1" s="115">
      <c r="A640" s="5" t="n"/>
      <c r="B640" s="5" t="n"/>
      <c r="C640" s="5" t="n"/>
      <c r="D640" s="5" t="n"/>
      <c r="E640" s="5" t="n"/>
      <c r="F640" s="5" t="n"/>
      <c r="G640" s="5" t="n"/>
    </row>
    <row r="641" ht="15.75" customHeight="1" s="115">
      <c r="A641" s="5" t="n"/>
      <c r="B641" s="5" t="n"/>
      <c r="C641" s="5" t="n"/>
      <c r="D641" s="5" t="n"/>
      <c r="E641" s="5" t="n"/>
      <c r="F641" s="5" t="n"/>
      <c r="G641" s="5" t="n"/>
    </row>
    <row r="642" ht="15.75" customHeight="1" s="115">
      <c r="A642" s="5" t="n"/>
      <c r="B642" s="5" t="n"/>
      <c r="C642" s="5" t="n"/>
      <c r="D642" s="5" t="n"/>
      <c r="E642" s="5" t="n"/>
      <c r="F642" s="5" t="n"/>
      <c r="G642" s="5" t="n"/>
    </row>
    <row r="643" ht="15.75" customHeight="1" s="115">
      <c r="A643" s="5" t="n"/>
      <c r="B643" s="5" t="n"/>
      <c r="C643" s="5" t="n"/>
      <c r="D643" s="5" t="n"/>
      <c r="E643" s="5" t="n"/>
      <c r="F643" s="5" t="n"/>
      <c r="G643" s="5" t="n"/>
    </row>
    <row r="644" ht="15.75" customHeight="1" s="115">
      <c r="A644" s="5" t="n"/>
      <c r="B644" s="5" t="n"/>
      <c r="C644" s="5" t="n"/>
      <c r="D644" s="5" t="n"/>
      <c r="E644" s="5" t="n"/>
      <c r="F644" s="5" t="n"/>
      <c r="G644" s="5" t="n"/>
    </row>
    <row r="645" ht="15.75" customHeight="1" s="115">
      <c r="A645" s="5" t="n"/>
      <c r="B645" s="5" t="n"/>
      <c r="C645" s="5" t="n"/>
      <c r="D645" s="5" t="n"/>
      <c r="E645" s="5" t="n"/>
      <c r="F645" s="5" t="n"/>
      <c r="G645" s="5" t="n"/>
    </row>
    <row r="646" ht="15.75" customHeight="1" s="115">
      <c r="A646" s="5" t="n"/>
      <c r="B646" s="5" t="n"/>
      <c r="C646" s="5" t="n"/>
      <c r="D646" s="5" t="n"/>
      <c r="E646" s="5" t="n"/>
      <c r="F646" s="5" t="n"/>
      <c r="G646" s="5" t="n"/>
    </row>
    <row r="647" ht="15.75" customHeight="1" s="115">
      <c r="A647" s="5" t="n"/>
      <c r="B647" s="5" t="n"/>
      <c r="C647" s="5" t="n"/>
      <c r="D647" s="5" t="n"/>
      <c r="E647" s="5" t="n"/>
      <c r="F647" s="5" t="n"/>
      <c r="G647" s="5" t="n"/>
    </row>
    <row r="648" ht="15.75" customHeight="1" s="115">
      <c r="A648" s="5" t="n"/>
      <c r="B648" s="5" t="n"/>
      <c r="C648" s="5" t="n"/>
      <c r="D648" s="5" t="n"/>
      <c r="E648" s="5" t="n"/>
      <c r="F648" s="5" t="n"/>
      <c r="G648" s="5" t="n"/>
    </row>
    <row r="649" ht="15.75" customHeight="1" s="115">
      <c r="A649" s="5" t="n"/>
      <c r="B649" s="5" t="n"/>
      <c r="C649" s="5" t="n"/>
      <c r="D649" s="5" t="n"/>
      <c r="E649" s="5" t="n"/>
      <c r="F649" s="5" t="n"/>
      <c r="G649" s="5" t="n"/>
    </row>
    <row r="650" ht="15.75" customHeight="1" s="115">
      <c r="A650" s="5" t="n"/>
      <c r="B650" s="5" t="n"/>
      <c r="C650" s="5" t="n"/>
      <c r="D650" s="5" t="n"/>
      <c r="E650" s="5" t="n"/>
      <c r="F650" s="5" t="n"/>
      <c r="G650" s="5" t="n"/>
    </row>
    <row r="651" ht="15.75" customHeight="1" s="115">
      <c r="A651" s="5" t="n"/>
      <c r="B651" s="5" t="n"/>
      <c r="C651" s="5" t="n"/>
      <c r="D651" s="5" t="n"/>
      <c r="E651" s="5" t="n"/>
      <c r="F651" s="5" t="n"/>
      <c r="G651" s="5" t="n"/>
    </row>
    <row r="652" ht="15.75" customHeight="1" s="115">
      <c r="A652" s="5" t="n"/>
      <c r="B652" s="5" t="n"/>
      <c r="C652" s="5" t="n"/>
      <c r="D652" s="5" t="n"/>
      <c r="E652" s="5" t="n"/>
      <c r="F652" s="5" t="n"/>
      <c r="G652" s="5" t="n"/>
    </row>
    <row r="653" ht="15.75" customHeight="1" s="115">
      <c r="A653" s="5" t="n"/>
      <c r="B653" s="5" t="n"/>
      <c r="C653" s="5" t="n"/>
      <c r="D653" s="5" t="n"/>
      <c r="E653" s="5" t="n"/>
      <c r="F653" s="5" t="n"/>
      <c r="G653" s="5" t="n"/>
    </row>
    <row r="654" ht="15.75" customHeight="1" s="115">
      <c r="A654" s="5" t="n"/>
      <c r="B654" s="5" t="n"/>
      <c r="C654" s="5" t="n"/>
      <c r="D654" s="5" t="n"/>
      <c r="E654" s="5" t="n"/>
      <c r="F654" s="5" t="n"/>
      <c r="G654" s="5" t="n"/>
    </row>
    <row r="655" ht="15.75" customHeight="1" s="115">
      <c r="A655" s="5" t="n"/>
      <c r="B655" s="5" t="n"/>
      <c r="C655" s="5" t="n"/>
      <c r="D655" s="5" t="n"/>
      <c r="E655" s="5" t="n"/>
      <c r="F655" s="5" t="n"/>
      <c r="G655" s="5" t="n"/>
    </row>
    <row r="656" ht="15.75" customHeight="1" s="115">
      <c r="A656" s="5" t="n"/>
      <c r="B656" s="5" t="n"/>
      <c r="C656" s="5" t="n"/>
      <c r="D656" s="5" t="n"/>
      <c r="E656" s="5" t="n"/>
      <c r="F656" s="5" t="n"/>
      <c r="G656" s="5" t="n"/>
    </row>
    <row r="657" ht="15.75" customHeight="1" s="115">
      <c r="A657" s="5" t="n"/>
      <c r="B657" s="5" t="n"/>
      <c r="C657" s="5" t="n"/>
      <c r="D657" s="5" t="n"/>
      <c r="E657" s="5" t="n"/>
      <c r="F657" s="5" t="n"/>
      <c r="G657" s="5" t="n"/>
    </row>
    <row r="658" ht="15.75" customHeight="1" s="115">
      <c r="A658" s="5" t="n"/>
      <c r="B658" s="5" t="n"/>
      <c r="C658" s="5" t="n"/>
      <c r="D658" s="5" t="n"/>
      <c r="E658" s="5" t="n"/>
      <c r="F658" s="5" t="n"/>
      <c r="G658" s="5" t="n"/>
    </row>
    <row r="659" ht="15.75" customHeight="1" s="115">
      <c r="A659" s="5" t="n"/>
      <c r="B659" s="5" t="n"/>
      <c r="C659" s="5" t="n"/>
      <c r="D659" s="5" t="n"/>
      <c r="E659" s="5" t="n"/>
      <c r="F659" s="5" t="n"/>
      <c r="G659" s="5" t="n"/>
    </row>
    <row r="660" ht="15.75" customHeight="1" s="115">
      <c r="A660" s="5" t="n"/>
      <c r="B660" s="5" t="n"/>
      <c r="C660" s="5" t="n"/>
      <c r="D660" s="5" t="n"/>
      <c r="E660" s="5" t="n"/>
      <c r="F660" s="5" t="n"/>
      <c r="G660" s="5" t="n"/>
    </row>
    <row r="661" ht="15.75" customHeight="1" s="115">
      <c r="A661" s="5" t="n"/>
      <c r="B661" s="5" t="n"/>
      <c r="C661" s="5" t="n"/>
      <c r="D661" s="5" t="n"/>
      <c r="E661" s="5" t="n"/>
      <c r="F661" s="5" t="n"/>
      <c r="G661" s="5" t="n"/>
    </row>
    <row r="662" ht="15.75" customHeight="1" s="115">
      <c r="A662" s="5" t="n"/>
      <c r="B662" s="5" t="n"/>
      <c r="C662" s="5" t="n"/>
      <c r="D662" s="5" t="n"/>
      <c r="E662" s="5" t="n"/>
      <c r="F662" s="5" t="n"/>
      <c r="G662" s="5" t="n"/>
    </row>
    <row r="663" ht="15.75" customHeight="1" s="115">
      <c r="A663" s="5" t="n"/>
      <c r="B663" s="5" t="n"/>
      <c r="C663" s="5" t="n"/>
      <c r="D663" s="5" t="n"/>
      <c r="E663" s="5" t="n"/>
      <c r="F663" s="5" t="n"/>
      <c r="G663" s="5" t="n"/>
    </row>
    <row r="664" ht="15.75" customHeight="1" s="115">
      <c r="A664" s="5" t="n"/>
      <c r="B664" s="5" t="n"/>
      <c r="C664" s="5" t="n"/>
      <c r="D664" s="5" t="n"/>
      <c r="E664" s="5" t="n"/>
      <c r="F664" s="5" t="n"/>
      <c r="G664" s="5" t="n"/>
    </row>
    <row r="665" ht="15.75" customHeight="1" s="115">
      <c r="A665" s="5" t="n"/>
      <c r="B665" s="5" t="n"/>
      <c r="C665" s="5" t="n"/>
      <c r="D665" s="5" t="n"/>
      <c r="E665" s="5" t="n"/>
      <c r="F665" s="5" t="n"/>
      <c r="G665" s="5" t="n"/>
    </row>
    <row r="666" ht="15.75" customHeight="1" s="115">
      <c r="A666" s="5" t="n"/>
      <c r="B666" s="5" t="n"/>
      <c r="C666" s="5" t="n"/>
      <c r="D666" s="5" t="n"/>
      <c r="E666" s="5" t="n"/>
      <c r="F666" s="5" t="n"/>
      <c r="G666" s="5" t="n"/>
    </row>
    <row r="667" ht="15.75" customHeight="1" s="115">
      <c r="A667" s="5" t="n"/>
      <c r="B667" s="5" t="n"/>
      <c r="C667" s="5" t="n"/>
      <c r="D667" s="5" t="n"/>
      <c r="E667" s="5" t="n"/>
      <c r="F667" s="5" t="n"/>
      <c r="G667" s="5" t="n"/>
    </row>
    <row r="668" ht="15.75" customHeight="1" s="115">
      <c r="A668" s="5" t="n"/>
      <c r="B668" s="5" t="n"/>
      <c r="C668" s="5" t="n"/>
      <c r="D668" s="5" t="n"/>
      <c r="E668" s="5" t="n"/>
      <c r="F668" s="5" t="n"/>
      <c r="G668" s="5" t="n"/>
    </row>
    <row r="669" ht="15.75" customHeight="1" s="115">
      <c r="A669" s="5" t="n"/>
      <c r="B669" s="5" t="n"/>
      <c r="C669" s="5" t="n"/>
      <c r="D669" s="5" t="n"/>
      <c r="E669" s="5" t="n"/>
      <c r="F669" s="5" t="n"/>
      <c r="G669" s="5" t="n"/>
    </row>
    <row r="670" ht="15.75" customHeight="1" s="115">
      <c r="A670" s="5" t="n"/>
      <c r="B670" s="5" t="n"/>
      <c r="C670" s="5" t="n"/>
      <c r="D670" s="5" t="n"/>
      <c r="E670" s="5" t="n"/>
      <c r="F670" s="5" t="n"/>
      <c r="G670" s="5" t="n"/>
    </row>
    <row r="671" ht="15.75" customHeight="1" s="115">
      <c r="A671" s="5" t="n"/>
      <c r="B671" s="5" t="n"/>
      <c r="C671" s="5" t="n"/>
      <c r="D671" s="5" t="n"/>
      <c r="E671" s="5" t="n"/>
      <c r="F671" s="5" t="n"/>
      <c r="G671" s="5" t="n"/>
    </row>
    <row r="672" ht="15.75" customHeight="1" s="115">
      <c r="A672" s="5" t="n"/>
      <c r="B672" s="5" t="n"/>
      <c r="C672" s="5" t="n"/>
      <c r="D672" s="5" t="n"/>
      <c r="E672" s="5" t="n"/>
      <c r="F672" s="5" t="n"/>
      <c r="G672" s="5" t="n"/>
    </row>
    <row r="673" ht="15.75" customHeight="1" s="115">
      <c r="A673" s="5" t="n"/>
      <c r="B673" s="5" t="n"/>
      <c r="C673" s="5" t="n"/>
      <c r="D673" s="5" t="n"/>
      <c r="E673" s="5" t="n"/>
      <c r="F673" s="5" t="n"/>
      <c r="G673" s="5" t="n"/>
    </row>
    <row r="674" ht="15.75" customHeight="1" s="115">
      <c r="A674" s="5" t="n"/>
      <c r="B674" s="5" t="n"/>
      <c r="C674" s="5" t="n"/>
      <c r="D674" s="5" t="n"/>
      <c r="E674" s="5" t="n"/>
      <c r="F674" s="5" t="n"/>
      <c r="G674" s="5" t="n"/>
    </row>
    <row r="675" ht="15.75" customHeight="1" s="115">
      <c r="A675" s="5" t="n"/>
      <c r="B675" s="5" t="n"/>
      <c r="C675" s="5" t="n"/>
      <c r="D675" s="5" t="n"/>
      <c r="E675" s="5" t="n"/>
      <c r="F675" s="5" t="n"/>
      <c r="G675" s="5" t="n"/>
    </row>
    <row r="676" ht="15.75" customHeight="1" s="115">
      <c r="A676" s="5" t="n"/>
      <c r="B676" s="5" t="n"/>
      <c r="C676" s="5" t="n"/>
      <c r="D676" s="5" t="n"/>
      <c r="E676" s="5" t="n"/>
      <c r="F676" s="5" t="n"/>
      <c r="G676" s="5" t="n"/>
    </row>
    <row r="677" ht="15.75" customHeight="1" s="115">
      <c r="A677" s="5" t="n"/>
      <c r="B677" s="5" t="n"/>
      <c r="C677" s="5" t="n"/>
      <c r="D677" s="5" t="n"/>
      <c r="E677" s="5" t="n"/>
      <c r="F677" s="5" t="n"/>
      <c r="G677" s="5" t="n"/>
    </row>
    <row r="678" ht="15.75" customHeight="1" s="115">
      <c r="A678" s="5" t="n"/>
      <c r="B678" s="5" t="n"/>
      <c r="C678" s="5" t="n"/>
      <c r="D678" s="5" t="n"/>
      <c r="E678" s="5" t="n"/>
      <c r="F678" s="5" t="n"/>
      <c r="G678" s="5" t="n"/>
    </row>
    <row r="679" ht="15.75" customHeight="1" s="115">
      <c r="A679" s="5" t="n"/>
      <c r="B679" s="5" t="n"/>
      <c r="C679" s="5" t="n"/>
      <c r="D679" s="5" t="n"/>
      <c r="E679" s="5" t="n"/>
      <c r="F679" s="5" t="n"/>
      <c r="G679" s="5" t="n"/>
    </row>
    <row r="680" ht="15.75" customHeight="1" s="115">
      <c r="A680" s="5" t="n"/>
      <c r="B680" s="5" t="n"/>
      <c r="C680" s="5" t="n"/>
      <c r="D680" s="5" t="n"/>
      <c r="E680" s="5" t="n"/>
      <c r="F680" s="5" t="n"/>
      <c r="G680" s="5" t="n"/>
    </row>
    <row r="681" ht="15.75" customHeight="1" s="115">
      <c r="A681" s="5" t="n"/>
      <c r="B681" s="5" t="n"/>
      <c r="C681" s="5" t="n"/>
      <c r="D681" s="5" t="n"/>
      <c r="E681" s="5" t="n"/>
      <c r="F681" s="5" t="n"/>
      <c r="G681" s="5" t="n"/>
    </row>
    <row r="682" ht="15.75" customHeight="1" s="115">
      <c r="A682" s="5" t="n"/>
      <c r="B682" s="5" t="n"/>
      <c r="C682" s="5" t="n"/>
      <c r="D682" s="5" t="n"/>
      <c r="E682" s="5" t="n"/>
      <c r="F682" s="5" t="n"/>
      <c r="G682" s="5" t="n"/>
    </row>
    <row r="683" ht="15.75" customHeight="1" s="115">
      <c r="A683" s="5" t="n"/>
      <c r="B683" s="5" t="n"/>
      <c r="C683" s="5" t="n"/>
      <c r="D683" s="5" t="n"/>
      <c r="E683" s="5" t="n"/>
      <c r="F683" s="5" t="n"/>
      <c r="G683" s="5" t="n"/>
    </row>
    <row r="684" ht="15.75" customHeight="1" s="115">
      <c r="A684" s="5" t="n"/>
      <c r="B684" s="5" t="n"/>
      <c r="C684" s="5" t="n"/>
      <c r="D684" s="5" t="n"/>
      <c r="E684" s="5" t="n"/>
      <c r="F684" s="5" t="n"/>
      <c r="G684" s="5" t="n"/>
    </row>
    <row r="685" ht="15.75" customHeight="1" s="115">
      <c r="A685" s="5" t="n"/>
      <c r="B685" s="5" t="n"/>
      <c r="C685" s="5" t="n"/>
      <c r="D685" s="5" t="n"/>
      <c r="E685" s="5" t="n"/>
      <c r="F685" s="5" t="n"/>
      <c r="G685" s="5" t="n"/>
    </row>
    <row r="686" ht="15.75" customHeight="1" s="115">
      <c r="A686" s="5" t="n"/>
      <c r="B686" s="5" t="n"/>
      <c r="C686" s="5" t="n"/>
      <c r="D686" s="5" t="n"/>
      <c r="E686" s="5" t="n"/>
      <c r="F686" s="5" t="n"/>
      <c r="G686" s="5" t="n"/>
    </row>
    <row r="687" ht="15.75" customHeight="1" s="115">
      <c r="A687" s="5" t="n"/>
      <c r="B687" s="5" t="n"/>
      <c r="C687" s="5" t="n"/>
      <c r="D687" s="5" t="n"/>
      <c r="E687" s="5" t="n"/>
      <c r="F687" s="5" t="n"/>
      <c r="G687" s="5" t="n"/>
    </row>
    <row r="688" ht="15.75" customHeight="1" s="115">
      <c r="A688" s="5" t="n"/>
      <c r="B688" s="5" t="n"/>
      <c r="C688" s="5" t="n"/>
      <c r="D688" s="5" t="n"/>
      <c r="E688" s="5" t="n"/>
      <c r="F688" s="5" t="n"/>
      <c r="G688" s="5" t="n"/>
    </row>
    <row r="689" ht="15.75" customHeight="1" s="115">
      <c r="A689" s="5" t="n"/>
      <c r="B689" s="5" t="n"/>
      <c r="C689" s="5" t="n"/>
      <c r="D689" s="5" t="n"/>
      <c r="E689" s="5" t="n"/>
      <c r="F689" s="5" t="n"/>
      <c r="G689" s="5" t="n"/>
    </row>
    <row r="690" ht="15.75" customHeight="1" s="115">
      <c r="A690" s="5" t="n"/>
      <c r="B690" s="5" t="n"/>
      <c r="C690" s="5" t="n"/>
      <c r="D690" s="5" t="n"/>
      <c r="E690" s="5" t="n"/>
      <c r="F690" s="5" t="n"/>
      <c r="G690" s="5" t="n"/>
    </row>
    <row r="691" ht="15.75" customHeight="1" s="115">
      <c r="A691" s="5" t="n"/>
      <c r="B691" s="5" t="n"/>
      <c r="C691" s="5" t="n"/>
      <c r="D691" s="5" t="n"/>
      <c r="E691" s="5" t="n"/>
      <c r="F691" s="5" t="n"/>
      <c r="G691" s="5" t="n"/>
    </row>
    <row r="692" ht="15.75" customHeight="1" s="115">
      <c r="A692" s="5" t="n"/>
      <c r="B692" s="5" t="n"/>
      <c r="C692" s="5" t="n"/>
      <c r="D692" s="5" t="n"/>
      <c r="E692" s="5" t="n"/>
      <c r="F692" s="5" t="n"/>
      <c r="G692" s="5" t="n"/>
    </row>
    <row r="693" ht="15.75" customHeight="1" s="115">
      <c r="A693" s="5" t="n"/>
      <c r="B693" s="5" t="n"/>
      <c r="C693" s="5" t="n"/>
      <c r="D693" s="5" t="n"/>
      <c r="E693" s="5" t="n"/>
      <c r="F693" s="5" t="n"/>
      <c r="G693" s="5" t="n"/>
    </row>
    <row r="694" ht="15.75" customHeight="1" s="115">
      <c r="A694" s="5" t="n"/>
      <c r="B694" s="5" t="n"/>
      <c r="C694" s="5" t="n"/>
      <c r="D694" s="5" t="n"/>
      <c r="E694" s="5" t="n"/>
      <c r="F694" s="5" t="n"/>
      <c r="G694" s="5" t="n"/>
    </row>
    <row r="695" ht="15.75" customHeight="1" s="115">
      <c r="A695" s="5" t="n"/>
      <c r="B695" s="5" t="n"/>
      <c r="C695" s="5" t="n"/>
      <c r="D695" s="5" t="n"/>
      <c r="E695" s="5" t="n"/>
      <c r="F695" s="5" t="n"/>
      <c r="G695" s="5" t="n"/>
    </row>
    <row r="696" ht="15.75" customHeight="1" s="115">
      <c r="A696" s="5" t="n"/>
      <c r="B696" s="5" t="n"/>
      <c r="C696" s="5" t="n"/>
      <c r="D696" s="5" t="n"/>
      <c r="E696" s="5" t="n"/>
      <c r="F696" s="5" t="n"/>
      <c r="G696" s="5" t="n"/>
    </row>
    <row r="697" ht="15.75" customHeight="1" s="115">
      <c r="A697" s="5" t="n"/>
      <c r="B697" s="5" t="n"/>
      <c r="C697" s="5" t="n"/>
      <c r="D697" s="5" t="n"/>
      <c r="E697" s="5" t="n"/>
      <c r="F697" s="5" t="n"/>
      <c r="G697" s="5" t="n"/>
    </row>
    <row r="698" ht="15.75" customHeight="1" s="115">
      <c r="A698" s="5" t="n"/>
      <c r="B698" s="5" t="n"/>
      <c r="C698" s="5" t="n"/>
      <c r="D698" s="5" t="n"/>
      <c r="E698" s="5" t="n"/>
      <c r="F698" s="5" t="n"/>
      <c r="G698" s="5" t="n"/>
    </row>
    <row r="699" ht="15.75" customHeight="1" s="115">
      <c r="A699" s="5" t="n"/>
      <c r="B699" s="5" t="n"/>
      <c r="C699" s="5" t="n"/>
      <c r="D699" s="5" t="n"/>
      <c r="E699" s="5" t="n"/>
      <c r="F699" s="5" t="n"/>
      <c r="G699" s="5" t="n"/>
    </row>
    <row r="700" ht="15.75" customHeight="1" s="115">
      <c r="A700" s="5" t="n"/>
      <c r="B700" s="5" t="n"/>
      <c r="C700" s="5" t="n"/>
      <c r="D700" s="5" t="n"/>
      <c r="E700" s="5" t="n"/>
      <c r="F700" s="5" t="n"/>
      <c r="G700" s="5" t="n"/>
    </row>
    <row r="701" ht="15.75" customHeight="1" s="115">
      <c r="A701" s="5" t="n"/>
      <c r="B701" s="5" t="n"/>
      <c r="C701" s="5" t="n"/>
      <c r="D701" s="5" t="n"/>
      <c r="E701" s="5" t="n"/>
      <c r="F701" s="5" t="n"/>
      <c r="G701" s="5" t="n"/>
    </row>
    <row r="702" ht="15.75" customHeight="1" s="115">
      <c r="A702" s="5" t="n"/>
      <c r="B702" s="5" t="n"/>
      <c r="C702" s="5" t="n"/>
      <c r="D702" s="5" t="n"/>
      <c r="E702" s="5" t="n"/>
      <c r="F702" s="5" t="n"/>
      <c r="G702" s="5" t="n"/>
    </row>
    <row r="703" ht="15.75" customHeight="1" s="115">
      <c r="A703" s="5" t="n"/>
      <c r="B703" s="5" t="n"/>
      <c r="C703" s="5" t="n"/>
      <c r="D703" s="5" t="n"/>
      <c r="E703" s="5" t="n"/>
      <c r="F703" s="5" t="n"/>
      <c r="G703" s="5" t="n"/>
    </row>
    <row r="704" ht="15.75" customHeight="1" s="115">
      <c r="A704" s="5" t="n"/>
      <c r="B704" s="5" t="n"/>
      <c r="C704" s="5" t="n"/>
      <c r="D704" s="5" t="n"/>
      <c r="E704" s="5" t="n"/>
      <c r="F704" s="5" t="n"/>
      <c r="G704" s="5" t="n"/>
    </row>
    <row r="705" ht="15.75" customHeight="1" s="115">
      <c r="A705" s="5" t="n"/>
      <c r="B705" s="5" t="n"/>
      <c r="C705" s="5" t="n"/>
      <c r="D705" s="5" t="n"/>
      <c r="E705" s="5" t="n"/>
      <c r="F705" s="5" t="n"/>
      <c r="G705" s="5" t="n"/>
    </row>
    <row r="706" ht="15.75" customHeight="1" s="115">
      <c r="A706" s="5" t="n"/>
      <c r="B706" s="5" t="n"/>
      <c r="C706" s="5" t="n"/>
      <c r="D706" s="5" t="n"/>
      <c r="E706" s="5" t="n"/>
      <c r="F706" s="5" t="n"/>
      <c r="G706" s="5" t="n"/>
    </row>
    <row r="707" ht="15.75" customHeight="1" s="115">
      <c r="A707" s="5" t="n"/>
      <c r="B707" s="5" t="n"/>
      <c r="C707" s="5" t="n"/>
      <c r="D707" s="5" t="n"/>
      <c r="E707" s="5" t="n"/>
      <c r="F707" s="5" t="n"/>
      <c r="G707" s="5" t="n"/>
    </row>
    <row r="708" ht="15.75" customHeight="1" s="115">
      <c r="A708" s="5" t="n"/>
      <c r="B708" s="5" t="n"/>
      <c r="C708" s="5" t="n"/>
      <c r="D708" s="5" t="n"/>
      <c r="E708" s="5" t="n"/>
      <c r="F708" s="5" t="n"/>
      <c r="G708" s="5" t="n"/>
    </row>
    <row r="709" ht="15.75" customHeight="1" s="115">
      <c r="A709" s="5" t="n"/>
      <c r="B709" s="5" t="n"/>
      <c r="C709" s="5" t="n"/>
      <c r="D709" s="5" t="n"/>
      <c r="E709" s="5" t="n"/>
      <c r="F709" s="5" t="n"/>
      <c r="G709" s="5" t="n"/>
    </row>
    <row r="710" ht="15.75" customHeight="1" s="115">
      <c r="A710" s="5" t="n"/>
      <c r="B710" s="5" t="n"/>
      <c r="C710" s="5" t="n"/>
      <c r="D710" s="5" t="n"/>
      <c r="E710" s="5" t="n"/>
      <c r="F710" s="5" t="n"/>
      <c r="G710" s="5" t="n"/>
    </row>
    <row r="711" ht="15.75" customHeight="1" s="115">
      <c r="A711" s="5" t="n"/>
      <c r="B711" s="5" t="n"/>
      <c r="C711" s="5" t="n"/>
      <c r="D711" s="5" t="n"/>
      <c r="E711" s="5" t="n"/>
      <c r="F711" s="5" t="n"/>
      <c r="G711" s="5" t="n"/>
    </row>
    <row r="712" ht="15.75" customHeight="1" s="115">
      <c r="A712" s="5" t="n"/>
      <c r="B712" s="5" t="n"/>
      <c r="C712" s="5" t="n"/>
      <c r="D712" s="5" t="n"/>
      <c r="E712" s="5" t="n"/>
      <c r="F712" s="5" t="n"/>
      <c r="G712" s="5" t="n"/>
    </row>
    <row r="713" ht="15.75" customHeight="1" s="115">
      <c r="A713" s="5" t="n"/>
      <c r="B713" s="5" t="n"/>
      <c r="C713" s="5" t="n"/>
      <c r="D713" s="5" t="n"/>
      <c r="E713" s="5" t="n"/>
      <c r="F713" s="5" t="n"/>
      <c r="G713" s="5" t="n"/>
    </row>
    <row r="714" ht="15.75" customHeight="1" s="115">
      <c r="A714" s="5" t="n"/>
      <c r="B714" s="5" t="n"/>
      <c r="C714" s="5" t="n"/>
      <c r="D714" s="5" t="n"/>
      <c r="E714" s="5" t="n"/>
      <c r="F714" s="5" t="n"/>
      <c r="G714" s="5" t="n"/>
    </row>
    <row r="715" ht="15.75" customHeight="1" s="115">
      <c r="A715" s="5" t="n"/>
      <c r="B715" s="5" t="n"/>
      <c r="C715" s="5" t="n"/>
      <c r="D715" s="5" t="n"/>
      <c r="E715" s="5" t="n"/>
      <c r="F715" s="5" t="n"/>
      <c r="G715" s="5" t="n"/>
    </row>
    <row r="716" ht="15.75" customHeight="1" s="115">
      <c r="A716" s="5" t="n"/>
      <c r="B716" s="5" t="n"/>
      <c r="C716" s="5" t="n"/>
      <c r="D716" s="5" t="n"/>
      <c r="E716" s="5" t="n"/>
      <c r="F716" s="5" t="n"/>
      <c r="G716" s="5" t="n"/>
    </row>
    <row r="717" ht="15.75" customHeight="1" s="115">
      <c r="A717" s="5" t="n"/>
      <c r="B717" s="5" t="n"/>
      <c r="C717" s="5" t="n"/>
      <c r="D717" s="5" t="n"/>
      <c r="E717" s="5" t="n"/>
      <c r="F717" s="5" t="n"/>
      <c r="G717" s="5" t="n"/>
    </row>
    <row r="718" ht="15.75" customHeight="1" s="115">
      <c r="A718" s="5" t="n"/>
      <c r="B718" s="5" t="n"/>
      <c r="C718" s="5" t="n"/>
      <c r="D718" s="5" t="n"/>
      <c r="E718" s="5" t="n"/>
      <c r="F718" s="5" t="n"/>
      <c r="G718" s="5" t="n"/>
    </row>
    <row r="719" ht="15.75" customHeight="1" s="115">
      <c r="A719" s="5" t="n"/>
      <c r="B719" s="5" t="n"/>
      <c r="C719" s="5" t="n"/>
      <c r="D719" s="5" t="n"/>
      <c r="E719" s="5" t="n"/>
      <c r="F719" s="5" t="n"/>
      <c r="G719" s="5" t="n"/>
    </row>
    <row r="720" ht="15.75" customHeight="1" s="115">
      <c r="A720" s="5" t="n"/>
      <c r="B720" s="5" t="n"/>
      <c r="C720" s="5" t="n"/>
      <c r="D720" s="5" t="n"/>
      <c r="E720" s="5" t="n"/>
      <c r="F720" s="5" t="n"/>
      <c r="G720" s="5" t="n"/>
    </row>
    <row r="721" ht="15.75" customHeight="1" s="115">
      <c r="A721" s="5" t="n"/>
      <c r="B721" s="5" t="n"/>
      <c r="C721" s="5" t="n"/>
      <c r="D721" s="5" t="n"/>
      <c r="E721" s="5" t="n"/>
      <c r="F721" s="5" t="n"/>
      <c r="G721" s="5" t="n"/>
    </row>
    <row r="722" ht="15.75" customHeight="1" s="115">
      <c r="A722" s="5" t="n"/>
      <c r="B722" s="5" t="n"/>
      <c r="C722" s="5" t="n"/>
      <c r="D722" s="5" t="n"/>
      <c r="E722" s="5" t="n"/>
      <c r="F722" s="5" t="n"/>
      <c r="G722" s="5" t="n"/>
    </row>
    <row r="723" ht="15.75" customHeight="1" s="115">
      <c r="A723" s="5" t="n"/>
      <c r="B723" s="5" t="n"/>
      <c r="C723" s="5" t="n"/>
      <c r="D723" s="5" t="n"/>
      <c r="E723" s="5" t="n"/>
      <c r="F723" s="5" t="n"/>
      <c r="G723" s="5" t="n"/>
    </row>
    <row r="724" ht="15.75" customHeight="1" s="115">
      <c r="A724" s="5" t="n"/>
      <c r="B724" s="5" t="n"/>
      <c r="C724" s="5" t="n"/>
      <c r="D724" s="5" t="n"/>
      <c r="E724" s="5" t="n"/>
      <c r="F724" s="5" t="n"/>
      <c r="G724" s="5" t="n"/>
    </row>
    <row r="725" ht="15.75" customHeight="1" s="115">
      <c r="A725" s="5" t="n"/>
      <c r="B725" s="5" t="n"/>
      <c r="C725" s="5" t="n"/>
      <c r="D725" s="5" t="n"/>
      <c r="E725" s="5" t="n"/>
      <c r="F725" s="5" t="n"/>
      <c r="G725" s="5" t="n"/>
    </row>
    <row r="726" ht="15.75" customHeight="1" s="115">
      <c r="A726" s="5" t="n"/>
      <c r="B726" s="5" t="n"/>
      <c r="C726" s="5" t="n"/>
      <c r="D726" s="5" t="n"/>
      <c r="E726" s="5" t="n"/>
      <c r="F726" s="5" t="n"/>
      <c r="G726" s="5" t="n"/>
    </row>
    <row r="727" ht="15.75" customHeight="1" s="115">
      <c r="A727" s="5" t="n"/>
      <c r="B727" s="5" t="n"/>
      <c r="C727" s="5" t="n"/>
      <c r="D727" s="5" t="n"/>
      <c r="E727" s="5" t="n"/>
      <c r="F727" s="5" t="n"/>
      <c r="G727" s="5" t="n"/>
    </row>
    <row r="728" ht="15.75" customHeight="1" s="115">
      <c r="A728" s="5" t="n"/>
      <c r="B728" s="5" t="n"/>
      <c r="C728" s="5" t="n"/>
      <c r="D728" s="5" t="n"/>
      <c r="E728" s="5" t="n"/>
      <c r="F728" s="5" t="n"/>
      <c r="G728" s="5" t="n"/>
    </row>
    <row r="729" ht="15.75" customHeight="1" s="115">
      <c r="A729" s="5" t="n"/>
      <c r="B729" s="5" t="n"/>
      <c r="C729" s="5" t="n"/>
      <c r="D729" s="5" t="n"/>
      <c r="E729" s="5" t="n"/>
      <c r="F729" s="5" t="n"/>
      <c r="G729" s="5" t="n"/>
    </row>
    <row r="730" ht="15.75" customHeight="1" s="115">
      <c r="A730" s="5" t="n"/>
      <c r="B730" s="5" t="n"/>
      <c r="C730" s="5" t="n"/>
      <c r="D730" s="5" t="n"/>
      <c r="E730" s="5" t="n"/>
      <c r="F730" s="5" t="n"/>
      <c r="G730" s="5" t="n"/>
    </row>
    <row r="731" ht="15.75" customHeight="1" s="115">
      <c r="A731" s="5" t="n"/>
      <c r="B731" s="5" t="n"/>
      <c r="C731" s="5" t="n"/>
      <c r="D731" s="5" t="n"/>
      <c r="E731" s="5" t="n"/>
      <c r="F731" s="5" t="n"/>
      <c r="G731" s="5" t="n"/>
    </row>
    <row r="732" ht="15.75" customHeight="1" s="115">
      <c r="A732" s="5" t="n"/>
      <c r="B732" s="5" t="n"/>
      <c r="C732" s="5" t="n"/>
      <c r="D732" s="5" t="n"/>
      <c r="E732" s="5" t="n"/>
      <c r="F732" s="5" t="n"/>
      <c r="G732" s="5" t="n"/>
    </row>
    <row r="733" ht="15.75" customHeight="1" s="115">
      <c r="A733" s="5" t="n"/>
      <c r="B733" s="5" t="n"/>
      <c r="C733" s="5" t="n"/>
      <c r="D733" s="5" t="n"/>
      <c r="E733" s="5" t="n"/>
      <c r="F733" s="5" t="n"/>
      <c r="G733" s="5" t="n"/>
    </row>
    <row r="734" ht="15.75" customHeight="1" s="115">
      <c r="A734" s="5" t="n"/>
      <c r="B734" s="5" t="n"/>
      <c r="C734" s="5" t="n"/>
      <c r="D734" s="5" t="n"/>
      <c r="E734" s="5" t="n"/>
      <c r="F734" s="5" t="n"/>
      <c r="G734" s="5" t="n"/>
    </row>
    <row r="735" ht="15.75" customHeight="1" s="115">
      <c r="A735" s="5" t="n"/>
      <c r="B735" s="5" t="n"/>
      <c r="C735" s="5" t="n"/>
      <c r="D735" s="5" t="n"/>
      <c r="E735" s="5" t="n"/>
      <c r="F735" s="5" t="n"/>
      <c r="G735" s="5" t="n"/>
    </row>
    <row r="736" ht="15.75" customHeight="1" s="115">
      <c r="A736" s="5" t="n"/>
      <c r="B736" s="5" t="n"/>
      <c r="C736" s="5" t="n"/>
      <c r="D736" s="5" t="n"/>
      <c r="E736" s="5" t="n"/>
      <c r="F736" s="5" t="n"/>
      <c r="G736" s="5" t="n"/>
    </row>
    <row r="737" ht="15.75" customHeight="1" s="115">
      <c r="A737" s="5" t="n"/>
      <c r="B737" s="5" t="n"/>
      <c r="C737" s="5" t="n"/>
      <c r="D737" s="5" t="n"/>
      <c r="E737" s="5" t="n"/>
      <c r="F737" s="5" t="n"/>
      <c r="G737" s="5" t="n"/>
    </row>
    <row r="738" ht="15.75" customHeight="1" s="115">
      <c r="A738" s="5" t="n"/>
      <c r="B738" s="5" t="n"/>
      <c r="C738" s="5" t="n"/>
      <c r="D738" s="5" t="n"/>
      <c r="E738" s="5" t="n"/>
      <c r="F738" s="5" t="n"/>
      <c r="G738" s="5" t="n"/>
    </row>
    <row r="739" ht="15.75" customHeight="1" s="115">
      <c r="A739" s="5" t="n"/>
      <c r="B739" s="5" t="n"/>
      <c r="C739" s="5" t="n"/>
      <c r="D739" s="5" t="n"/>
      <c r="E739" s="5" t="n"/>
      <c r="F739" s="5" t="n"/>
      <c r="G739" s="5" t="n"/>
    </row>
    <row r="740" ht="15.75" customHeight="1" s="115">
      <c r="A740" s="5" t="n"/>
      <c r="B740" s="5" t="n"/>
      <c r="C740" s="5" t="n"/>
      <c r="D740" s="5" t="n"/>
      <c r="E740" s="5" t="n"/>
      <c r="F740" s="5" t="n"/>
      <c r="G740" s="5" t="n"/>
    </row>
    <row r="741" ht="15.75" customHeight="1" s="115">
      <c r="A741" s="5" t="n"/>
      <c r="B741" s="5" t="n"/>
      <c r="C741" s="5" t="n"/>
      <c r="D741" s="5" t="n"/>
      <c r="E741" s="5" t="n"/>
      <c r="F741" s="5" t="n"/>
      <c r="G741" s="5" t="n"/>
    </row>
    <row r="742" ht="15.75" customHeight="1" s="115">
      <c r="A742" s="5" t="n"/>
      <c r="B742" s="5" t="n"/>
      <c r="C742" s="5" t="n"/>
      <c r="D742" s="5" t="n"/>
      <c r="E742" s="5" t="n"/>
      <c r="F742" s="5" t="n"/>
      <c r="G742" s="5" t="n"/>
    </row>
    <row r="743" ht="15.75" customHeight="1" s="115">
      <c r="A743" s="5" t="n"/>
      <c r="B743" s="5" t="n"/>
      <c r="C743" s="5" t="n"/>
      <c r="D743" s="5" t="n"/>
      <c r="E743" s="5" t="n"/>
      <c r="F743" s="5" t="n"/>
      <c r="G743" s="5" t="n"/>
    </row>
    <row r="744" ht="15.75" customHeight="1" s="115">
      <c r="A744" s="5" t="n"/>
      <c r="B744" s="5" t="n"/>
      <c r="C744" s="5" t="n"/>
      <c r="D744" s="5" t="n"/>
      <c r="E744" s="5" t="n"/>
      <c r="F744" s="5" t="n"/>
      <c r="G744" s="5" t="n"/>
    </row>
    <row r="745" ht="15.75" customHeight="1" s="115">
      <c r="A745" s="5" t="n"/>
      <c r="B745" s="5" t="n"/>
      <c r="C745" s="5" t="n"/>
      <c r="D745" s="5" t="n"/>
      <c r="E745" s="5" t="n"/>
      <c r="F745" s="5" t="n"/>
      <c r="G745" s="5" t="n"/>
    </row>
    <row r="746" ht="15.75" customHeight="1" s="115">
      <c r="A746" s="5" t="n"/>
      <c r="B746" s="5" t="n"/>
      <c r="C746" s="5" t="n"/>
      <c r="D746" s="5" t="n"/>
      <c r="E746" s="5" t="n"/>
      <c r="F746" s="5" t="n"/>
      <c r="G746" s="5" t="n"/>
    </row>
    <row r="747" ht="15.75" customHeight="1" s="115">
      <c r="A747" s="5" t="n"/>
      <c r="B747" s="5" t="n"/>
      <c r="C747" s="5" t="n"/>
      <c r="D747" s="5" t="n"/>
      <c r="E747" s="5" t="n"/>
      <c r="F747" s="5" t="n"/>
      <c r="G747" s="5" t="n"/>
    </row>
    <row r="748" ht="15.75" customHeight="1" s="115">
      <c r="A748" s="5" t="n"/>
      <c r="B748" s="5" t="n"/>
      <c r="C748" s="5" t="n"/>
      <c r="D748" s="5" t="n"/>
      <c r="E748" s="5" t="n"/>
      <c r="F748" s="5" t="n"/>
      <c r="G748" s="5" t="n"/>
    </row>
    <row r="749" ht="15.75" customHeight="1" s="115">
      <c r="A749" s="5" t="n"/>
      <c r="B749" s="5" t="n"/>
      <c r="C749" s="5" t="n"/>
      <c r="D749" s="5" t="n"/>
      <c r="E749" s="5" t="n"/>
      <c r="F749" s="5" t="n"/>
      <c r="G749" s="5" t="n"/>
    </row>
    <row r="750" ht="15.75" customHeight="1" s="115">
      <c r="A750" s="5" t="n"/>
      <c r="B750" s="5" t="n"/>
      <c r="C750" s="5" t="n"/>
      <c r="D750" s="5" t="n"/>
      <c r="E750" s="5" t="n"/>
      <c r="F750" s="5" t="n"/>
      <c r="G750" s="5" t="n"/>
    </row>
    <row r="751" ht="15.75" customHeight="1" s="115">
      <c r="A751" s="5" t="n"/>
      <c r="B751" s="5" t="n"/>
      <c r="C751" s="5" t="n"/>
      <c r="D751" s="5" t="n"/>
      <c r="E751" s="5" t="n"/>
      <c r="F751" s="5" t="n"/>
      <c r="G751" s="5" t="n"/>
    </row>
    <row r="752" ht="15.75" customHeight="1" s="115">
      <c r="A752" s="5" t="n"/>
      <c r="B752" s="5" t="n"/>
      <c r="C752" s="5" t="n"/>
      <c r="D752" s="5" t="n"/>
      <c r="E752" s="5" t="n"/>
      <c r="F752" s="5" t="n"/>
      <c r="G752" s="5" t="n"/>
    </row>
    <row r="753" ht="15.75" customHeight="1" s="115">
      <c r="A753" s="5" t="n"/>
      <c r="B753" s="5" t="n"/>
      <c r="C753" s="5" t="n"/>
      <c r="D753" s="5" t="n"/>
      <c r="E753" s="5" t="n"/>
      <c r="F753" s="5" t="n"/>
      <c r="G753" s="5" t="n"/>
    </row>
    <row r="754" ht="15.75" customHeight="1" s="115">
      <c r="A754" s="5" t="n"/>
      <c r="B754" s="5" t="n"/>
      <c r="C754" s="5" t="n"/>
      <c r="D754" s="5" t="n"/>
      <c r="E754" s="5" t="n"/>
      <c r="F754" s="5" t="n"/>
      <c r="G754" s="5" t="n"/>
    </row>
    <row r="755" ht="15.75" customHeight="1" s="115">
      <c r="A755" s="5" t="n"/>
      <c r="B755" s="5" t="n"/>
      <c r="C755" s="5" t="n"/>
      <c r="D755" s="5" t="n"/>
      <c r="E755" s="5" t="n"/>
      <c r="F755" s="5" t="n"/>
      <c r="G755" s="5" t="n"/>
    </row>
    <row r="756" ht="15.75" customHeight="1" s="115">
      <c r="A756" s="5" t="n"/>
      <c r="B756" s="5" t="n"/>
      <c r="C756" s="5" t="n"/>
      <c r="D756" s="5" t="n"/>
      <c r="E756" s="5" t="n"/>
      <c r="F756" s="5" t="n"/>
      <c r="G756" s="5" t="n"/>
    </row>
    <row r="757" ht="15.75" customHeight="1" s="115">
      <c r="A757" s="5" t="n"/>
      <c r="B757" s="5" t="n"/>
      <c r="C757" s="5" t="n"/>
      <c r="D757" s="5" t="n"/>
      <c r="E757" s="5" t="n"/>
      <c r="F757" s="5" t="n"/>
      <c r="G757" s="5" t="n"/>
    </row>
    <row r="758" ht="15.75" customHeight="1" s="115">
      <c r="A758" s="5" t="n"/>
      <c r="B758" s="5" t="n"/>
      <c r="C758" s="5" t="n"/>
      <c r="D758" s="5" t="n"/>
      <c r="E758" s="5" t="n"/>
      <c r="F758" s="5" t="n"/>
      <c r="G758" s="5" t="n"/>
    </row>
    <row r="759" ht="15.75" customHeight="1" s="115">
      <c r="A759" s="5" t="n"/>
      <c r="B759" s="5" t="n"/>
      <c r="C759" s="5" t="n"/>
      <c r="D759" s="5" t="n"/>
      <c r="E759" s="5" t="n"/>
      <c r="F759" s="5" t="n"/>
      <c r="G759" s="5" t="n"/>
    </row>
    <row r="760" ht="15.75" customHeight="1" s="115">
      <c r="A760" s="5" t="n"/>
      <c r="B760" s="5" t="n"/>
      <c r="C760" s="5" t="n"/>
      <c r="D760" s="5" t="n"/>
      <c r="E760" s="5" t="n"/>
      <c r="F760" s="5" t="n"/>
      <c r="G760" s="5" t="n"/>
    </row>
    <row r="761" ht="15.75" customHeight="1" s="115">
      <c r="A761" s="5" t="n"/>
      <c r="B761" s="5" t="n"/>
      <c r="C761" s="5" t="n"/>
      <c r="D761" s="5" t="n"/>
      <c r="E761" s="5" t="n"/>
      <c r="F761" s="5" t="n"/>
      <c r="G761" s="5" t="n"/>
    </row>
    <row r="762" ht="15.75" customHeight="1" s="115">
      <c r="A762" s="5" t="n"/>
      <c r="B762" s="5" t="n"/>
      <c r="C762" s="5" t="n"/>
      <c r="D762" s="5" t="n"/>
      <c r="E762" s="5" t="n"/>
      <c r="F762" s="5" t="n"/>
      <c r="G762" s="5" t="n"/>
    </row>
    <row r="763" ht="15.75" customHeight="1" s="115">
      <c r="A763" s="5" t="n"/>
      <c r="B763" s="5" t="n"/>
      <c r="C763" s="5" t="n"/>
      <c r="D763" s="5" t="n"/>
      <c r="E763" s="5" t="n"/>
      <c r="F763" s="5" t="n"/>
      <c r="G763" s="5" t="n"/>
    </row>
    <row r="764" ht="15.75" customHeight="1" s="115">
      <c r="A764" s="5" t="n"/>
      <c r="B764" s="5" t="n"/>
      <c r="C764" s="5" t="n"/>
      <c r="D764" s="5" t="n"/>
      <c r="E764" s="5" t="n"/>
      <c r="F764" s="5" t="n"/>
      <c r="G764" s="5" t="n"/>
    </row>
    <row r="765" ht="15.75" customHeight="1" s="115">
      <c r="A765" s="5" t="n"/>
      <c r="B765" s="5" t="n"/>
      <c r="C765" s="5" t="n"/>
      <c r="D765" s="5" t="n"/>
      <c r="E765" s="5" t="n"/>
      <c r="F765" s="5" t="n"/>
      <c r="G765" s="5" t="n"/>
    </row>
    <row r="766" ht="15.75" customHeight="1" s="115">
      <c r="A766" s="5" t="n"/>
      <c r="B766" s="5" t="n"/>
      <c r="C766" s="5" t="n"/>
      <c r="D766" s="5" t="n"/>
      <c r="E766" s="5" t="n"/>
      <c r="F766" s="5" t="n"/>
      <c r="G766" s="5" t="n"/>
    </row>
    <row r="767" ht="15.75" customHeight="1" s="115">
      <c r="A767" s="5" t="n"/>
      <c r="B767" s="5" t="n"/>
      <c r="C767" s="5" t="n"/>
      <c r="D767" s="5" t="n"/>
      <c r="E767" s="5" t="n"/>
      <c r="F767" s="5" t="n"/>
      <c r="G767" s="5" t="n"/>
    </row>
    <row r="768" ht="15.75" customHeight="1" s="115">
      <c r="A768" s="5" t="n"/>
      <c r="B768" s="5" t="n"/>
      <c r="C768" s="5" t="n"/>
      <c r="D768" s="5" t="n"/>
      <c r="E768" s="5" t="n"/>
      <c r="F768" s="5" t="n"/>
      <c r="G768" s="5" t="n"/>
    </row>
    <row r="769" ht="15.75" customHeight="1" s="115">
      <c r="A769" s="5" t="n"/>
      <c r="B769" s="5" t="n"/>
      <c r="C769" s="5" t="n"/>
      <c r="D769" s="5" t="n"/>
      <c r="E769" s="5" t="n"/>
      <c r="F769" s="5" t="n"/>
      <c r="G769" s="5" t="n"/>
    </row>
    <row r="770" ht="15.75" customHeight="1" s="115">
      <c r="A770" s="5" t="n"/>
      <c r="B770" s="5" t="n"/>
      <c r="C770" s="5" t="n"/>
      <c r="D770" s="5" t="n"/>
      <c r="E770" s="5" t="n"/>
      <c r="F770" s="5" t="n"/>
      <c r="G770" s="5" t="n"/>
    </row>
    <row r="771" ht="15.75" customHeight="1" s="115">
      <c r="A771" s="5" t="n"/>
      <c r="B771" s="5" t="n"/>
      <c r="C771" s="5" t="n"/>
      <c r="D771" s="5" t="n"/>
      <c r="E771" s="5" t="n"/>
      <c r="F771" s="5" t="n"/>
      <c r="G771" s="5" t="n"/>
    </row>
    <row r="772" ht="15.75" customHeight="1" s="115">
      <c r="A772" s="5" t="n"/>
      <c r="B772" s="5" t="n"/>
      <c r="C772" s="5" t="n"/>
      <c r="D772" s="5" t="n"/>
      <c r="E772" s="5" t="n"/>
      <c r="F772" s="5" t="n"/>
      <c r="G772" s="5" t="n"/>
    </row>
    <row r="773" ht="15.75" customHeight="1" s="115">
      <c r="A773" s="5" t="n"/>
      <c r="B773" s="5" t="n"/>
      <c r="C773" s="5" t="n"/>
      <c r="D773" s="5" t="n"/>
      <c r="E773" s="5" t="n"/>
      <c r="F773" s="5" t="n"/>
      <c r="G773" s="5" t="n"/>
    </row>
    <row r="774" ht="15.75" customHeight="1" s="115">
      <c r="A774" s="5" t="n"/>
      <c r="B774" s="5" t="n"/>
      <c r="C774" s="5" t="n"/>
      <c r="D774" s="5" t="n"/>
      <c r="E774" s="5" t="n"/>
      <c r="F774" s="5" t="n"/>
      <c r="G774" s="5" t="n"/>
    </row>
    <row r="775" ht="15.75" customHeight="1" s="115">
      <c r="A775" s="5" t="n"/>
      <c r="B775" s="5" t="n"/>
      <c r="C775" s="5" t="n"/>
      <c r="D775" s="5" t="n"/>
      <c r="E775" s="5" t="n"/>
      <c r="F775" s="5" t="n"/>
      <c r="G775" s="5" t="n"/>
    </row>
    <row r="776" ht="15.75" customHeight="1" s="115">
      <c r="A776" s="5" t="n"/>
      <c r="B776" s="5" t="n"/>
      <c r="C776" s="5" t="n"/>
      <c r="D776" s="5" t="n"/>
      <c r="E776" s="5" t="n"/>
      <c r="F776" s="5" t="n"/>
      <c r="G776" s="5" t="n"/>
    </row>
    <row r="777" ht="15.75" customHeight="1" s="115">
      <c r="A777" s="5" t="n"/>
      <c r="B777" s="5" t="n"/>
      <c r="C777" s="5" t="n"/>
      <c r="D777" s="5" t="n"/>
      <c r="E777" s="5" t="n"/>
      <c r="F777" s="5" t="n"/>
      <c r="G777" s="5" t="n"/>
    </row>
    <row r="778" ht="15.75" customHeight="1" s="115">
      <c r="A778" s="5" t="n"/>
      <c r="B778" s="5" t="n"/>
      <c r="C778" s="5" t="n"/>
      <c r="D778" s="5" t="n"/>
      <c r="E778" s="5" t="n"/>
      <c r="F778" s="5" t="n"/>
      <c r="G778" s="5" t="n"/>
    </row>
    <row r="779" ht="15.75" customHeight="1" s="115">
      <c r="A779" s="5" t="n"/>
      <c r="B779" s="5" t="n"/>
      <c r="C779" s="5" t="n"/>
      <c r="D779" s="5" t="n"/>
      <c r="E779" s="5" t="n"/>
      <c r="F779" s="5" t="n"/>
      <c r="G779" s="5" t="n"/>
    </row>
    <row r="780" ht="15.75" customHeight="1" s="115">
      <c r="A780" s="5" t="n"/>
      <c r="B780" s="5" t="n"/>
      <c r="C780" s="5" t="n"/>
      <c r="D780" s="5" t="n"/>
      <c r="E780" s="5" t="n"/>
      <c r="F780" s="5" t="n"/>
      <c r="G780" s="5" t="n"/>
    </row>
    <row r="781" ht="15.75" customHeight="1" s="115">
      <c r="A781" s="5" t="n"/>
      <c r="B781" s="5" t="n"/>
      <c r="C781" s="5" t="n"/>
      <c r="D781" s="5" t="n"/>
      <c r="E781" s="5" t="n"/>
      <c r="F781" s="5" t="n"/>
      <c r="G781" s="5" t="n"/>
    </row>
    <row r="782" ht="15.75" customHeight="1" s="115">
      <c r="A782" s="5" t="n"/>
      <c r="B782" s="5" t="n"/>
      <c r="C782" s="5" t="n"/>
      <c r="D782" s="5" t="n"/>
      <c r="E782" s="5" t="n"/>
      <c r="F782" s="5" t="n"/>
      <c r="G782" s="5" t="n"/>
    </row>
    <row r="783" ht="15.75" customHeight="1" s="115">
      <c r="A783" s="5" t="n"/>
      <c r="B783" s="5" t="n"/>
      <c r="C783" s="5" t="n"/>
      <c r="D783" s="5" t="n"/>
      <c r="E783" s="5" t="n"/>
      <c r="F783" s="5" t="n"/>
      <c r="G783" s="5" t="n"/>
    </row>
    <row r="784" ht="15.75" customHeight="1" s="115">
      <c r="A784" s="5" t="n"/>
      <c r="B784" s="5" t="n"/>
      <c r="C784" s="5" t="n"/>
      <c r="D784" s="5" t="n"/>
      <c r="E784" s="5" t="n"/>
      <c r="F784" s="5" t="n"/>
      <c r="G784" s="5" t="n"/>
    </row>
    <row r="785" ht="15.75" customHeight="1" s="115">
      <c r="A785" s="5" t="n"/>
      <c r="B785" s="5" t="n"/>
      <c r="C785" s="5" t="n"/>
      <c r="D785" s="5" t="n"/>
      <c r="E785" s="5" t="n"/>
      <c r="F785" s="5" t="n"/>
      <c r="G785" s="5" t="n"/>
    </row>
    <row r="786" ht="15.75" customHeight="1" s="115">
      <c r="A786" s="5" t="n"/>
      <c r="B786" s="5" t="n"/>
      <c r="C786" s="5" t="n"/>
      <c r="D786" s="5" t="n"/>
      <c r="E786" s="5" t="n"/>
      <c r="F786" s="5" t="n"/>
      <c r="G786" s="5" t="n"/>
    </row>
    <row r="787" ht="15.75" customHeight="1" s="115">
      <c r="A787" s="5" t="n"/>
      <c r="B787" s="5" t="n"/>
      <c r="C787" s="5" t="n"/>
      <c r="D787" s="5" t="n"/>
      <c r="E787" s="5" t="n"/>
      <c r="F787" s="5" t="n"/>
      <c r="G787" s="5" t="n"/>
    </row>
    <row r="788" ht="15.75" customHeight="1" s="115">
      <c r="A788" s="5" t="n"/>
      <c r="B788" s="5" t="n"/>
      <c r="C788" s="5" t="n"/>
      <c r="D788" s="5" t="n"/>
      <c r="E788" s="5" t="n"/>
      <c r="F788" s="5" t="n"/>
      <c r="G788" s="5" t="n"/>
    </row>
    <row r="789" ht="15.75" customHeight="1" s="115">
      <c r="A789" s="5" t="n"/>
      <c r="B789" s="5" t="n"/>
      <c r="C789" s="5" t="n"/>
      <c r="D789" s="5" t="n"/>
      <c r="E789" s="5" t="n"/>
      <c r="F789" s="5" t="n"/>
      <c r="G789" s="5" t="n"/>
    </row>
    <row r="790" ht="15.75" customHeight="1" s="115">
      <c r="A790" s="5" t="n"/>
      <c r="B790" s="5" t="n"/>
      <c r="C790" s="5" t="n"/>
      <c r="D790" s="5" t="n"/>
      <c r="E790" s="5" t="n"/>
      <c r="F790" s="5" t="n"/>
      <c r="G790" s="5" t="n"/>
    </row>
    <row r="791" ht="15.75" customHeight="1" s="115">
      <c r="A791" s="5" t="n"/>
      <c r="B791" s="5" t="n"/>
      <c r="C791" s="5" t="n"/>
      <c r="D791" s="5" t="n"/>
      <c r="E791" s="5" t="n"/>
      <c r="F791" s="5" t="n"/>
      <c r="G791" s="5" t="n"/>
    </row>
    <row r="792" ht="15.75" customHeight="1" s="115">
      <c r="A792" s="5" t="n"/>
      <c r="B792" s="5" t="n"/>
      <c r="C792" s="5" t="n"/>
      <c r="D792" s="5" t="n"/>
      <c r="E792" s="5" t="n"/>
      <c r="F792" s="5" t="n"/>
      <c r="G792" s="5" t="n"/>
    </row>
    <row r="793" ht="15.75" customHeight="1" s="115">
      <c r="A793" s="5" t="n"/>
      <c r="B793" s="5" t="n"/>
      <c r="C793" s="5" t="n"/>
      <c r="D793" s="5" t="n"/>
      <c r="E793" s="5" t="n"/>
      <c r="F793" s="5" t="n"/>
      <c r="G793" s="5" t="n"/>
    </row>
    <row r="794" ht="15.75" customHeight="1" s="115">
      <c r="A794" s="5" t="n"/>
      <c r="B794" s="5" t="n"/>
      <c r="C794" s="5" t="n"/>
      <c r="D794" s="5" t="n"/>
      <c r="E794" s="5" t="n"/>
      <c r="F794" s="5" t="n"/>
      <c r="G794" s="5" t="n"/>
    </row>
    <row r="795" ht="15.75" customHeight="1" s="115">
      <c r="A795" s="5" t="n"/>
      <c r="B795" s="5" t="n"/>
      <c r="C795" s="5" t="n"/>
      <c r="D795" s="5" t="n"/>
      <c r="E795" s="5" t="n"/>
      <c r="F795" s="5" t="n"/>
      <c r="G795" s="5" t="n"/>
    </row>
    <row r="796" ht="15.75" customHeight="1" s="115">
      <c r="A796" s="5" t="n"/>
      <c r="B796" s="5" t="n"/>
      <c r="C796" s="5" t="n"/>
      <c r="D796" s="5" t="n"/>
      <c r="E796" s="5" t="n"/>
      <c r="F796" s="5" t="n"/>
      <c r="G796" s="5" t="n"/>
    </row>
    <row r="797" ht="15.75" customHeight="1" s="115">
      <c r="A797" s="5" t="n"/>
      <c r="B797" s="5" t="n"/>
      <c r="C797" s="5" t="n"/>
      <c r="D797" s="5" t="n"/>
      <c r="E797" s="5" t="n"/>
      <c r="F797" s="5" t="n"/>
      <c r="G797" s="5" t="n"/>
    </row>
    <row r="798" ht="15.75" customHeight="1" s="115">
      <c r="A798" s="5" t="n"/>
      <c r="B798" s="5" t="n"/>
      <c r="C798" s="5" t="n"/>
      <c r="D798" s="5" t="n"/>
      <c r="E798" s="5" t="n"/>
      <c r="F798" s="5" t="n"/>
      <c r="G798" s="5" t="n"/>
    </row>
    <row r="799" ht="15.75" customHeight="1" s="115">
      <c r="A799" s="5" t="n"/>
      <c r="B799" s="5" t="n"/>
      <c r="C799" s="5" t="n"/>
      <c r="D799" s="5" t="n"/>
      <c r="E799" s="5" t="n"/>
      <c r="F799" s="5" t="n"/>
      <c r="G799" s="5" t="n"/>
    </row>
    <row r="800" ht="15.75" customHeight="1" s="115">
      <c r="A800" s="5" t="n"/>
      <c r="B800" s="5" t="n"/>
      <c r="C800" s="5" t="n"/>
      <c r="D800" s="5" t="n"/>
      <c r="E800" s="5" t="n"/>
      <c r="F800" s="5" t="n"/>
      <c r="G800" s="5" t="n"/>
    </row>
    <row r="801" ht="15.75" customHeight="1" s="115">
      <c r="A801" s="5" t="n"/>
      <c r="B801" s="5" t="n"/>
      <c r="C801" s="5" t="n"/>
      <c r="D801" s="5" t="n"/>
      <c r="E801" s="5" t="n"/>
      <c r="F801" s="5" t="n"/>
      <c r="G801" s="5" t="n"/>
    </row>
    <row r="802" ht="15.75" customHeight="1" s="115">
      <c r="A802" s="5" t="n"/>
      <c r="B802" s="5" t="n"/>
      <c r="C802" s="5" t="n"/>
      <c r="D802" s="5" t="n"/>
      <c r="E802" s="5" t="n"/>
      <c r="F802" s="5" t="n"/>
      <c r="G802" s="5" t="n"/>
    </row>
    <row r="803" ht="15.75" customHeight="1" s="115">
      <c r="A803" s="5" t="n"/>
      <c r="B803" s="5" t="n"/>
      <c r="C803" s="5" t="n"/>
      <c r="D803" s="5" t="n"/>
      <c r="E803" s="5" t="n"/>
      <c r="F803" s="5" t="n"/>
      <c r="G803" s="5" t="n"/>
    </row>
    <row r="804" ht="15.75" customHeight="1" s="115">
      <c r="A804" s="5" t="n"/>
      <c r="B804" s="5" t="n"/>
      <c r="C804" s="5" t="n"/>
      <c r="D804" s="5" t="n"/>
      <c r="E804" s="5" t="n"/>
      <c r="F804" s="5" t="n"/>
      <c r="G804" s="5" t="n"/>
    </row>
    <row r="805" ht="15.75" customHeight="1" s="115">
      <c r="A805" s="5" t="n"/>
      <c r="B805" s="5" t="n"/>
      <c r="C805" s="5" t="n"/>
      <c r="D805" s="5" t="n"/>
      <c r="E805" s="5" t="n"/>
      <c r="F805" s="5" t="n"/>
      <c r="G805" s="5" t="n"/>
    </row>
    <row r="806" ht="15.75" customHeight="1" s="115">
      <c r="A806" s="5" t="n"/>
      <c r="B806" s="5" t="n"/>
      <c r="C806" s="5" t="n"/>
      <c r="D806" s="5" t="n"/>
      <c r="E806" s="5" t="n"/>
      <c r="F806" s="5" t="n"/>
      <c r="G806" s="5" t="n"/>
    </row>
    <row r="807" ht="15.75" customHeight="1" s="115">
      <c r="A807" s="5" t="n"/>
      <c r="B807" s="5" t="n"/>
      <c r="C807" s="5" t="n"/>
      <c r="D807" s="5" t="n"/>
      <c r="E807" s="5" t="n"/>
      <c r="F807" s="5" t="n"/>
      <c r="G807" s="5" t="n"/>
    </row>
    <row r="808" ht="15.75" customHeight="1" s="115">
      <c r="A808" s="5" t="n"/>
      <c r="B808" s="5" t="n"/>
      <c r="C808" s="5" t="n"/>
      <c r="D808" s="5" t="n"/>
      <c r="E808" s="5" t="n"/>
      <c r="F808" s="5" t="n"/>
      <c r="G808" s="5" t="n"/>
    </row>
    <row r="809" ht="15.75" customHeight="1" s="115">
      <c r="A809" s="5" t="n"/>
      <c r="B809" s="5" t="n"/>
      <c r="C809" s="5" t="n"/>
      <c r="D809" s="5" t="n"/>
      <c r="E809" s="5" t="n"/>
      <c r="F809" s="5" t="n"/>
      <c r="G809" s="5" t="n"/>
    </row>
    <row r="810" ht="15.75" customHeight="1" s="115">
      <c r="A810" s="5" t="n"/>
      <c r="B810" s="5" t="n"/>
      <c r="C810" s="5" t="n"/>
      <c r="D810" s="5" t="n"/>
      <c r="E810" s="5" t="n"/>
      <c r="F810" s="5" t="n"/>
      <c r="G810" s="5" t="n"/>
    </row>
    <row r="811" ht="15.75" customHeight="1" s="115">
      <c r="A811" s="5" t="n"/>
      <c r="B811" s="5" t="n"/>
      <c r="C811" s="5" t="n"/>
      <c r="D811" s="5" t="n"/>
      <c r="E811" s="5" t="n"/>
      <c r="F811" s="5" t="n"/>
      <c r="G811" s="5" t="n"/>
    </row>
    <row r="812" ht="15.75" customHeight="1" s="115">
      <c r="A812" s="5" t="n"/>
      <c r="B812" s="5" t="n"/>
      <c r="C812" s="5" t="n"/>
      <c r="D812" s="5" t="n"/>
      <c r="E812" s="5" t="n"/>
      <c r="F812" s="5" t="n"/>
      <c r="G812" s="5" t="n"/>
    </row>
    <row r="813" ht="15.75" customHeight="1" s="115">
      <c r="A813" s="5" t="n"/>
      <c r="B813" s="5" t="n"/>
      <c r="C813" s="5" t="n"/>
      <c r="D813" s="5" t="n"/>
      <c r="E813" s="5" t="n"/>
      <c r="F813" s="5" t="n"/>
      <c r="G813" s="5" t="n"/>
    </row>
    <row r="814" ht="15.75" customHeight="1" s="115">
      <c r="A814" s="5" t="n"/>
      <c r="B814" s="5" t="n"/>
      <c r="C814" s="5" t="n"/>
      <c r="D814" s="5" t="n"/>
      <c r="E814" s="5" t="n"/>
      <c r="F814" s="5" t="n"/>
      <c r="G814" s="5" t="n"/>
    </row>
    <row r="815" ht="15.75" customHeight="1" s="115">
      <c r="A815" s="5" t="n"/>
      <c r="B815" s="5" t="n"/>
      <c r="C815" s="5" t="n"/>
      <c r="D815" s="5" t="n"/>
      <c r="E815" s="5" t="n"/>
      <c r="F815" s="5" t="n"/>
      <c r="G815" s="5" t="n"/>
    </row>
    <row r="816" ht="15.75" customHeight="1" s="115">
      <c r="A816" s="5" t="n"/>
      <c r="B816" s="5" t="n"/>
      <c r="C816" s="5" t="n"/>
      <c r="D816" s="5" t="n"/>
      <c r="E816" s="5" t="n"/>
      <c r="F816" s="5" t="n"/>
      <c r="G816" s="5" t="n"/>
    </row>
    <row r="817" ht="15.75" customHeight="1" s="115">
      <c r="A817" s="5" t="n"/>
      <c r="B817" s="5" t="n"/>
      <c r="C817" s="5" t="n"/>
      <c r="D817" s="5" t="n"/>
      <c r="E817" s="5" t="n"/>
      <c r="F817" s="5" t="n"/>
      <c r="G817" s="5" t="n"/>
    </row>
    <row r="818" ht="15.75" customHeight="1" s="115">
      <c r="A818" s="5" t="n"/>
      <c r="B818" s="5" t="n"/>
      <c r="C818" s="5" t="n"/>
      <c r="D818" s="5" t="n"/>
      <c r="E818" s="5" t="n"/>
      <c r="F818" s="5" t="n"/>
      <c r="G818" s="5" t="n"/>
    </row>
    <row r="819" ht="15.75" customHeight="1" s="115">
      <c r="A819" s="5" t="n"/>
      <c r="B819" s="5" t="n"/>
      <c r="C819" s="5" t="n"/>
      <c r="D819" s="5" t="n"/>
      <c r="E819" s="5" t="n"/>
      <c r="F819" s="5" t="n"/>
      <c r="G819" s="5" t="n"/>
    </row>
    <row r="820" ht="15.75" customHeight="1" s="115">
      <c r="A820" s="5" t="n"/>
      <c r="B820" s="5" t="n"/>
      <c r="C820" s="5" t="n"/>
      <c r="D820" s="5" t="n"/>
      <c r="E820" s="5" t="n"/>
      <c r="F820" s="5" t="n"/>
      <c r="G820" s="5" t="n"/>
    </row>
    <row r="821" ht="15.75" customHeight="1" s="115">
      <c r="A821" s="5" t="n"/>
      <c r="B821" s="5" t="n"/>
      <c r="C821" s="5" t="n"/>
      <c r="D821" s="5" t="n"/>
      <c r="E821" s="5" t="n"/>
      <c r="F821" s="5" t="n"/>
      <c r="G821" s="5" t="n"/>
    </row>
    <row r="822" ht="15.75" customHeight="1" s="115">
      <c r="A822" s="5" t="n"/>
      <c r="B822" s="5" t="n"/>
      <c r="C822" s="5" t="n"/>
      <c r="D822" s="5" t="n"/>
      <c r="E822" s="5" t="n"/>
      <c r="F822" s="5" t="n"/>
      <c r="G822" s="5" t="n"/>
    </row>
    <row r="823" ht="15.75" customHeight="1" s="115">
      <c r="A823" s="5" t="n"/>
      <c r="B823" s="5" t="n"/>
      <c r="C823" s="5" t="n"/>
      <c r="D823" s="5" t="n"/>
      <c r="E823" s="5" t="n"/>
      <c r="F823" s="5" t="n"/>
      <c r="G823" s="5" t="n"/>
    </row>
    <row r="824" ht="15.75" customHeight="1" s="115">
      <c r="A824" s="5" t="n"/>
      <c r="B824" s="5" t="n"/>
      <c r="C824" s="5" t="n"/>
      <c r="D824" s="5" t="n"/>
      <c r="E824" s="5" t="n"/>
      <c r="F824" s="5" t="n"/>
      <c r="G824" s="5" t="n"/>
    </row>
    <row r="825" ht="15.75" customHeight="1" s="115">
      <c r="A825" s="5" t="n"/>
      <c r="B825" s="5" t="n"/>
      <c r="C825" s="5" t="n"/>
      <c r="D825" s="5" t="n"/>
      <c r="E825" s="5" t="n"/>
      <c r="F825" s="5" t="n"/>
      <c r="G825" s="5" t="n"/>
    </row>
    <row r="826" ht="15.75" customHeight="1" s="115">
      <c r="A826" s="5" t="n"/>
      <c r="B826" s="5" t="n"/>
      <c r="C826" s="5" t="n"/>
      <c r="D826" s="5" t="n"/>
      <c r="E826" s="5" t="n"/>
      <c r="F826" s="5" t="n"/>
      <c r="G826" s="5" t="n"/>
    </row>
    <row r="827" ht="15.75" customHeight="1" s="115">
      <c r="A827" s="5" t="n"/>
      <c r="B827" s="5" t="n"/>
      <c r="C827" s="5" t="n"/>
      <c r="D827" s="5" t="n"/>
      <c r="E827" s="5" t="n"/>
      <c r="F827" s="5" t="n"/>
      <c r="G827" s="5" t="n"/>
    </row>
    <row r="828" ht="15.75" customHeight="1" s="115">
      <c r="A828" s="5" t="n"/>
      <c r="B828" s="5" t="n"/>
      <c r="C828" s="5" t="n"/>
      <c r="D828" s="5" t="n"/>
      <c r="E828" s="5" t="n"/>
      <c r="F828" s="5" t="n"/>
      <c r="G828" s="5" t="n"/>
    </row>
    <row r="829" ht="15.75" customHeight="1" s="115">
      <c r="A829" s="5" t="n"/>
      <c r="B829" s="5" t="n"/>
      <c r="C829" s="5" t="n"/>
      <c r="D829" s="5" t="n"/>
      <c r="E829" s="5" t="n"/>
      <c r="F829" s="5" t="n"/>
      <c r="G829" s="5" t="n"/>
    </row>
    <row r="830" ht="15.75" customHeight="1" s="115">
      <c r="A830" s="5" t="n"/>
      <c r="B830" s="5" t="n"/>
      <c r="C830" s="5" t="n"/>
      <c r="D830" s="5" t="n"/>
      <c r="E830" s="5" t="n"/>
      <c r="F830" s="5" t="n"/>
      <c r="G830" s="5" t="n"/>
    </row>
    <row r="831" ht="15.75" customHeight="1" s="115">
      <c r="A831" s="5" t="n"/>
      <c r="B831" s="5" t="n"/>
      <c r="C831" s="5" t="n"/>
      <c r="D831" s="5" t="n"/>
      <c r="E831" s="5" t="n"/>
      <c r="F831" s="5" t="n"/>
      <c r="G831" s="5" t="n"/>
    </row>
    <row r="832" ht="15.75" customHeight="1" s="115">
      <c r="A832" s="5" t="n"/>
      <c r="B832" s="5" t="n"/>
      <c r="C832" s="5" t="n"/>
      <c r="D832" s="5" t="n"/>
      <c r="E832" s="5" t="n"/>
      <c r="F832" s="5" t="n"/>
      <c r="G832" s="5" t="n"/>
    </row>
    <row r="833" ht="15.75" customHeight="1" s="115">
      <c r="A833" s="5" t="n"/>
      <c r="B833" s="5" t="n"/>
      <c r="C833" s="5" t="n"/>
      <c r="D833" s="5" t="n"/>
      <c r="E833" s="5" t="n"/>
      <c r="F833" s="5" t="n"/>
      <c r="G833" s="5" t="n"/>
    </row>
    <row r="834" ht="15.75" customHeight="1" s="115">
      <c r="A834" s="5" t="n"/>
      <c r="B834" s="5" t="n"/>
      <c r="C834" s="5" t="n"/>
      <c r="D834" s="5" t="n"/>
      <c r="E834" s="5" t="n"/>
      <c r="F834" s="5" t="n"/>
      <c r="G834" s="5" t="n"/>
    </row>
    <row r="835" ht="15.75" customHeight="1" s="115">
      <c r="A835" s="5" t="n"/>
      <c r="B835" s="5" t="n"/>
      <c r="C835" s="5" t="n"/>
      <c r="D835" s="5" t="n"/>
      <c r="E835" s="5" t="n"/>
      <c r="F835" s="5" t="n"/>
      <c r="G835" s="5" t="n"/>
    </row>
    <row r="836" ht="15.75" customHeight="1" s="115">
      <c r="A836" s="5" t="n"/>
      <c r="B836" s="5" t="n"/>
      <c r="C836" s="5" t="n"/>
      <c r="D836" s="5" t="n"/>
      <c r="E836" s="5" t="n"/>
      <c r="F836" s="5" t="n"/>
      <c r="G836" s="5" t="n"/>
    </row>
    <row r="837" ht="15.75" customHeight="1" s="115">
      <c r="A837" s="5" t="n"/>
      <c r="B837" s="5" t="n"/>
      <c r="C837" s="5" t="n"/>
      <c r="D837" s="5" t="n"/>
      <c r="E837" s="5" t="n"/>
      <c r="F837" s="5" t="n"/>
      <c r="G837" s="5" t="n"/>
    </row>
    <row r="838" ht="15.75" customHeight="1" s="115">
      <c r="A838" s="5" t="n"/>
      <c r="B838" s="5" t="n"/>
      <c r="C838" s="5" t="n"/>
      <c r="D838" s="5" t="n"/>
      <c r="E838" s="5" t="n"/>
      <c r="F838" s="5" t="n"/>
      <c r="G838" s="5" t="n"/>
    </row>
    <row r="839" ht="15.75" customHeight="1" s="115">
      <c r="A839" s="5" t="n"/>
      <c r="B839" s="5" t="n"/>
      <c r="C839" s="5" t="n"/>
      <c r="D839" s="5" t="n"/>
      <c r="E839" s="5" t="n"/>
      <c r="F839" s="5" t="n"/>
      <c r="G839" s="5" t="n"/>
    </row>
    <row r="840" ht="15.75" customHeight="1" s="115">
      <c r="A840" s="5" t="n"/>
      <c r="B840" s="5" t="n"/>
      <c r="C840" s="5" t="n"/>
      <c r="D840" s="5" t="n"/>
      <c r="E840" s="5" t="n"/>
      <c r="F840" s="5" t="n"/>
      <c r="G840" s="5" t="n"/>
    </row>
    <row r="841" ht="15.75" customHeight="1" s="115">
      <c r="A841" s="5" t="n"/>
      <c r="B841" s="5" t="n"/>
      <c r="C841" s="5" t="n"/>
      <c r="D841" s="5" t="n"/>
      <c r="E841" s="5" t="n"/>
      <c r="F841" s="5" t="n"/>
      <c r="G841" s="5" t="n"/>
    </row>
    <row r="842" ht="15.75" customHeight="1" s="115">
      <c r="A842" s="5" t="n"/>
      <c r="B842" s="5" t="n"/>
      <c r="C842" s="5" t="n"/>
      <c r="D842" s="5" t="n"/>
      <c r="E842" s="5" t="n"/>
      <c r="F842" s="5" t="n"/>
      <c r="G842" s="5" t="n"/>
    </row>
    <row r="843" ht="15.75" customHeight="1" s="115">
      <c r="A843" s="5" t="n"/>
      <c r="B843" s="5" t="n"/>
      <c r="C843" s="5" t="n"/>
      <c r="D843" s="5" t="n"/>
      <c r="E843" s="5" t="n"/>
      <c r="F843" s="5" t="n"/>
      <c r="G843" s="5" t="n"/>
    </row>
    <row r="844" ht="15.75" customHeight="1" s="115">
      <c r="A844" s="5" t="n"/>
      <c r="B844" s="5" t="n"/>
      <c r="C844" s="5" t="n"/>
      <c r="D844" s="5" t="n"/>
      <c r="E844" s="5" t="n"/>
      <c r="F844" s="5" t="n"/>
      <c r="G844" s="5" t="n"/>
    </row>
    <row r="845" ht="15.75" customHeight="1" s="115">
      <c r="A845" s="5" t="n"/>
      <c r="B845" s="5" t="n"/>
      <c r="C845" s="5" t="n"/>
      <c r="D845" s="5" t="n"/>
      <c r="E845" s="5" t="n"/>
      <c r="F845" s="5" t="n"/>
      <c r="G845" s="5" t="n"/>
    </row>
    <row r="846" ht="15.75" customHeight="1" s="115">
      <c r="A846" s="5" t="n"/>
      <c r="B846" s="5" t="n"/>
      <c r="C846" s="5" t="n"/>
      <c r="D846" s="5" t="n"/>
      <c r="E846" s="5" t="n"/>
      <c r="F846" s="5" t="n"/>
      <c r="G846" s="5" t="n"/>
    </row>
    <row r="847" ht="15.75" customHeight="1" s="115">
      <c r="A847" s="5" t="n"/>
      <c r="B847" s="5" t="n"/>
      <c r="C847" s="5" t="n"/>
      <c r="D847" s="5" t="n"/>
      <c r="E847" s="5" t="n"/>
      <c r="F847" s="5" t="n"/>
      <c r="G847" s="5" t="n"/>
    </row>
    <row r="848" ht="15.75" customHeight="1" s="115">
      <c r="A848" s="5" t="n"/>
      <c r="B848" s="5" t="n"/>
      <c r="C848" s="5" t="n"/>
      <c r="D848" s="5" t="n"/>
      <c r="E848" s="5" t="n"/>
      <c r="F848" s="5" t="n"/>
      <c r="G848" s="5" t="n"/>
    </row>
    <row r="849" ht="15.75" customHeight="1" s="115">
      <c r="A849" s="5" t="n"/>
      <c r="B849" s="5" t="n"/>
      <c r="C849" s="5" t="n"/>
      <c r="D849" s="5" t="n"/>
      <c r="E849" s="5" t="n"/>
      <c r="F849" s="5" t="n"/>
      <c r="G849" s="5" t="n"/>
    </row>
    <row r="850" ht="15.75" customHeight="1" s="115">
      <c r="A850" s="5" t="n"/>
      <c r="B850" s="5" t="n"/>
      <c r="C850" s="5" t="n"/>
      <c r="D850" s="5" t="n"/>
      <c r="E850" s="5" t="n"/>
      <c r="F850" s="5" t="n"/>
      <c r="G850" s="5" t="n"/>
    </row>
    <row r="851" ht="15.75" customHeight="1" s="115">
      <c r="A851" s="5" t="n"/>
      <c r="B851" s="5" t="n"/>
      <c r="C851" s="5" t="n"/>
      <c r="D851" s="5" t="n"/>
      <c r="E851" s="5" t="n"/>
      <c r="F851" s="5" t="n"/>
      <c r="G851" s="5" t="n"/>
    </row>
    <row r="852" ht="15.75" customHeight="1" s="115">
      <c r="A852" s="5" t="n"/>
      <c r="B852" s="5" t="n"/>
      <c r="C852" s="5" t="n"/>
      <c r="D852" s="5" t="n"/>
      <c r="E852" s="5" t="n"/>
      <c r="F852" s="5" t="n"/>
      <c r="G852" s="5" t="n"/>
    </row>
    <row r="853" ht="15.75" customHeight="1" s="115">
      <c r="A853" s="5" t="n"/>
      <c r="B853" s="5" t="n"/>
      <c r="C853" s="5" t="n"/>
      <c r="D853" s="5" t="n"/>
      <c r="E853" s="5" t="n"/>
      <c r="F853" s="5" t="n"/>
      <c r="G853" s="5" t="n"/>
    </row>
    <row r="854" ht="15.75" customHeight="1" s="115">
      <c r="A854" s="5" t="n"/>
      <c r="B854" s="5" t="n"/>
      <c r="C854" s="5" t="n"/>
      <c r="D854" s="5" t="n"/>
      <c r="E854" s="5" t="n"/>
      <c r="F854" s="5" t="n"/>
      <c r="G854" s="5" t="n"/>
    </row>
    <row r="855" ht="15.75" customHeight="1" s="115">
      <c r="A855" s="5" t="n"/>
      <c r="B855" s="5" t="n"/>
      <c r="C855" s="5" t="n"/>
      <c r="D855" s="5" t="n"/>
      <c r="E855" s="5" t="n"/>
      <c r="F855" s="5" t="n"/>
      <c r="G855" s="5" t="n"/>
    </row>
    <row r="856" ht="15.75" customHeight="1" s="115">
      <c r="A856" s="5" t="n"/>
      <c r="B856" s="5" t="n"/>
      <c r="C856" s="5" t="n"/>
      <c r="D856" s="5" t="n"/>
      <c r="E856" s="5" t="n"/>
      <c r="F856" s="5" t="n"/>
      <c r="G856" s="5" t="n"/>
    </row>
    <row r="857" ht="15.75" customHeight="1" s="115">
      <c r="A857" s="5" t="n"/>
      <c r="B857" s="5" t="n"/>
      <c r="C857" s="5" t="n"/>
      <c r="D857" s="5" t="n"/>
      <c r="E857" s="5" t="n"/>
      <c r="F857" s="5" t="n"/>
      <c r="G857" s="5" t="n"/>
    </row>
    <row r="858" ht="15.75" customHeight="1" s="115">
      <c r="A858" s="5" t="n"/>
      <c r="B858" s="5" t="n"/>
      <c r="C858" s="5" t="n"/>
      <c r="D858" s="5" t="n"/>
      <c r="E858" s="5" t="n"/>
      <c r="F858" s="5" t="n"/>
      <c r="G858" s="5" t="n"/>
    </row>
    <row r="859" ht="15.75" customHeight="1" s="115">
      <c r="A859" s="5" t="n"/>
      <c r="B859" s="5" t="n"/>
      <c r="C859" s="5" t="n"/>
      <c r="D859" s="5" t="n"/>
      <c r="E859" s="5" t="n"/>
      <c r="F859" s="5" t="n"/>
      <c r="G859" s="5" t="n"/>
    </row>
    <row r="860" ht="15.75" customHeight="1" s="115">
      <c r="A860" s="5" t="n"/>
      <c r="B860" s="5" t="n"/>
      <c r="C860" s="5" t="n"/>
      <c r="D860" s="5" t="n"/>
      <c r="E860" s="5" t="n"/>
      <c r="F860" s="5" t="n"/>
      <c r="G860" s="5" t="n"/>
    </row>
    <row r="861" ht="15.75" customHeight="1" s="115">
      <c r="A861" s="5" t="n"/>
      <c r="B861" s="5" t="n"/>
      <c r="C861" s="5" t="n"/>
      <c r="D861" s="5" t="n"/>
      <c r="E861" s="5" t="n"/>
      <c r="F861" s="5" t="n"/>
      <c r="G861" s="5" t="n"/>
    </row>
    <row r="862" ht="15.75" customHeight="1" s="115">
      <c r="A862" s="5" t="n"/>
      <c r="B862" s="5" t="n"/>
      <c r="C862" s="5" t="n"/>
      <c r="D862" s="5" t="n"/>
      <c r="E862" s="5" t="n"/>
      <c r="F862" s="5" t="n"/>
      <c r="G862" s="5" t="n"/>
    </row>
    <row r="863" ht="15.75" customHeight="1" s="115">
      <c r="A863" s="5" t="n"/>
      <c r="B863" s="5" t="n"/>
      <c r="C863" s="5" t="n"/>
      <c r="D863" s="5" t="n"/>
      <c r="E863" s="5" t="n"/>
      <c r="F863" s="5" t="n"/>
      <c r="G863" s="5" t="n"/>
    </row>
    <row r="864" ht="15.75" customHeight="1" s="115">
      <c r="A864" s="5" t="n"/>
      <c r="B864" s="5" t="n"/>
      <c r="C864" s="5" t="n"/>
      <c r="D864" s="5" t="n"/>
      <c r="E864" s="5" t="n"/>
      <c r="F864" s="5" t="n"/>
      <c r="G864" s="5" t="n"/>
    </row>
    <row r="865" ht="15.75" customHeight="1" s="115">
      <c r="A865" s="5" t="n"/>
      <c r="B865" s="5" t="n"/>
      <c r="C865" s="5" t="n"/>
      <c r="D865" s="5" t="n"/>
      <c r="E865" s="5" t="n"/>
      <c r="F865" s="5" t="n"/>
      <c r="G865" s="5" t="n"/>
    </row>
    <row r="866" ht="15.75" customHeight="1" s="115">
      <c r="A866" s="5" t="n"/>
      <c r="B866" s="5" t="n"/>
      <c r="C866" s="5" t="n"/>
      <c r="D866" s="5" t="n"/>
      <c r="E866" s="5" t="n"/>
      <c r="F866" s="5" t="n"/>
      <c r="G866" s="5" t="n"/>
    </row>
    <row r="867" ht="15.75" customHeight="1" s="115">
      <c r="A867" s="5" t="n"/>
      <c r="B867" s="5" t="n"/>
      <c r="C867" s="5" t="n"/>
      <c r="D867" s="5" t="n"/>
      <c r="E867" s="5" t="n"/>
      <c r="F867" s="5" t="n"/>
      <c r="G867" s="5" t="n"/>
    </row>
    <row r="868" ht="15.75" customHeight="1" s="115">
      <c r="A868" s="5" t="n"/>
      <c r="B868" s="5" t="n"/>
      <c r="C868" s="5" t="n"/>
      <c r="D868" s="5" t="n"/>
      <c r="E868" s="5" t="n"/>
      <c r="F868" s="5" t="n"/>
      <c r="G868" s="5" t="n"/>
    </row>
    <row r="869" ht="15.75" customHeight="1" s="115">
      <c r="A869" s="5" t="n"/>
      <c r="B869" s="5" t="n"/>
      <c r="C869" s="5" t="n"/>
      <c r="D869" s="5" t="n"/>
      <c r="E869" s="5" t="n"/>
      <c r="F869" s="5" t="n"/>
      <c r="G869" s="5" t="n"/>
    </row>
    <row r="870" ht="15.75" customHeight="1" s="115">
      <c r="A870" s="5" t="n"/>
      <c r="B870" s="5" t="n"/>
      <c r="C870" s="5" t="n"/>
      <c r="D870" s="5" t="n"/>
      <c r="E870" s="5" t="n"/>
      <c r="F870" s="5" t="n"/>
      <c r="G870" s="5" t="n"/>
    </row>
    <row r="871" ht="15.75" customHeight="1" s="115">
      <c r="A871" s="5" t="n"/>
      <c r="B871" s="5" t="n"/>
      <c r="C871" s="5" t="n"/>
      <c r="D871" s="5" t="n"/>
      <c r="E871" s="5" t="n"/>
      <c r="F871" s="5" t="n"/>
      <c r="G871" s="5" t="n"/>
    </row>
    <row r="872" ht="15.75" customHeight="1" s="115">
      <c r="A872" s="5" t="n"/>
      <c r="B872" s="5" t="n"/>
      <c r="C872" s="5" t="n"/>
      <c r="D872" s="5" t="n"/>
      <c r="E872" s="5" t="n"/>
      <c r="F872" s="5" t="n"/>
      <c r="G872" s="5" t="n"/>
    </row>
    <row r="873" ht="15.75" customHeight="1" s="115">
      <c r="A873" s="5" t="n"/>
      <c r="B873" s="5" t="n"/>
      <c r="C873" s="5" t="n"/>
      <c r="D873" s="5" t="n"/>
      <c r="E873" s="5" t="n"/>
      <c r="F873" s="5" t="n"/>
      <c r="G873" s="5" t="n"/>
    </row>
    <row r="874" ht="15.75" customHeight="1" s="115">
      <c r="A874" s="5" t="n"/>
      <c r="B874" s="5" t="n"/>
      <c r="C874" s="5" t="n"/>
      <c r="D874" s="5" t="n"/>
      <c r="E874" s="5" t="n"/>
      <c r="F874" s="5" t="n"/>
      <c r="G874" s="5" t="n"/>
    </row>
    <row r="875" ht="15.75" customHeight="1" s="115">
      <c r="A875" s="5" t="n"/>
      <c r="B875" s="5" t="n"/>
      <c r="C875" s="5" t="n"/>
      <c r="D875" s="5" t="n"/>
      <c r="E875" s="5" t="n"/>
      <c r="F875" s="5" t="n"/>
      <c r="G875" s="5" t="n"/>
    </row>
    <row r="876" ht="15.75" customHeight="1" s="115">
      <c r="A876" s="5" t="n"/>
      <c r="B876" s="5" t="n"/>
      <c r="C876" s="5" t="n"/>
      <c r="D876" s="5" t="n"/>
      <c r="E876" s="5" t="n"/>
      <c r="F876" s="5" t="n"/>
      <c r="G876" s="5" t="n"/>
    </row>
    <row r="877" ht="15.75" customHeight="1" s="115">
      <c r="A877" s="5" t="n"/>
      <c r="B877" s="5" t="n"/>
      <c r="C877" s="5" t="n"/>
      <c r="D877" s="5" t="n"/>
      <c r="E877" s="5" t="n"/>
      <c r="F877" s="5" t="n"/>
      <c r="G877" s="5" t="n"/>
    </row>
    <row r="878" ht="15.75" customHeight="1" s="115">
      <c r="A878" s="5" t="n"/>
      <c r="B878" s="5" t="n"/>
      <c r="C878" s="5" t="n"/>
      <c r="D878" s="5" t="n"/>
      <c r="E878" s="5" t="n"/>
      <c r="F878" s="5" t="n"/>
      <c r="G878" s="5" t="n"/>
    </row>
    <row r="879" ht="15.75" customHeight="1" s="115">
      <c r="A879" s="5" t="n"/>
      <c r="B879" s="5" t="n"/>
      <c r="C879" s="5" t="n"/>
      <c r="D879" s="5" t="n"/>
      <c r="E879" s="5" t="n"/>
      <c r="F879" s="5" t="n"/>
      <c r="G879" s="5" t="n"/>
    </row>
    <row r="880" ht="15.75" customHeight="1" s="115">
      <c r="A880" s="5" t="n"/>
      <c r="B880" s="5" t="n"/>
      <c r="C880" s="5" t="n"/>
      <c r="D880" s="5" t="n"/>
      <c r="E880" s="5" t="n"/>
      <c r="F880" s="5" t="n"/>
      <c r="G880" s="5" t="n"/>
    </row>
    <row r="881" ht="15.75" customHeight="1" s="115">
      <c r="A881" s="5" t="n"/>
      <c r="B881" s="5" t="n"/>
      <c r="C881" s="5" t="n"/>
      <c r="D881" s="5" t="n"/>
      <c r="E881" s="5" t="n"/>
      <c r="F881" s="5" t="n"/>
      <c r="G881" s="5" t="n"/>
    </row>
    <row r="882" ht="15.75" customHeight="1" s="115">
      <c r="A882" s="5" t="n"/>
      <c r="B882" s="5" t="n"/>
      <c r="C882" s="5" t="n"/>
      <c r="D882" s="5" t="n"/>
      <c r="E882" s="5" t="n"/>
      <c r="F882" s="5" t="n"/>
      <c r="G882" s="5" t="n"/>
    </row>
    <row r="883" ht="15.75" customHeight="1" s="115">
      <c r="A883" s="5" t="n"/>
      <c r="B883" s="5" t="n"/>
      <c r="C883" s="5" t="n"/>
      <c r="D883" s="5" t="n"/>
      <c r="E883" s="5" t="n"/>
      <c r="F883" s="5" t="n"/>
      <c r="G883" s="5" t="n"/>
    </row>
    <row r="884" ht="15.75" customHeight="1" s="115">
      <c r="A884" s="5" t="n"/>
      <c r="B884" s="5" t="n"/>
      <c r="C884" s="5" t="n"/>
      <c r="D884" s="5" t="n"/>
      <c r="E884" s="5" t="n"/>
      <c r="F884" s="5" t="n"/>
      <c r="G884" s="5" t="n"/>
    </row>
    <row r="885" ht="15.75" customHeight="1" s="115">
      <c r="A885" s="5" t="n"/>
      <c r="B885" s="5" t="n"/>
      <c r="C885" s="5" t="n"/>
      <c r="D885" s="5" t="n"/>
      <c r="E885" s="5" t="n"/>
      <c r="F885" s="5" t="n"/>
      <c r="G885" s="5" t="n"/>
    </row>
    <row r="886" ht="15.75" customHeight="1" s="115">
      <c r="A886" s="5" t="n"/>
      <c r="B886" s="5" t="n"/>
      <c r="C886" s="5" t="n"/>
      <c r="D886" s="5" t="n"/>
      <c r="E886" s="5" t="n"/>
      <c r="F886" s="5" t="n"/>
      <c r="G886" s="5" t="n"/>
    </row>
    <row r="887" ht="15.75" customHeight="1" s="115">
      <c r="A887" s="5" t="n"/>
      <c r="B887" s="5" t="n"/>
      <c r="C887" s="5" t="n"/>
      <c r="D887" s="5" t="n"/>
      <c r="E887" s="5" t="n"/>
      <c r="F887" s="5" t="n"/>
      <c r="G887" s="5" t="n"/>
    </row>
    <row r="888" ht="15.75" customHeight="1" s="115">
      <c r="A888" s="5" t="n"/>
      <c r="B888" s="5" t="n"/>
      <c r="C888" s="5" t="n"/>
      <c r="D888" s="5" t="n"/>
      <c r="E888" s="5" t="n"/>
      <c r="F888" s="5" t="n"/>
      <c r="G888" s="5" t="n"/>
    </row>
    <row r="889" ht="15.75" customHeight="1" s="115">
      <c r="A889" s="5" t="n"/>
      <c r="B889" s="5" t="n"/>
      <c r="C889" s="5" t="n"/>
      <c r="D889" s="5" t="n"/>
      <c r="E889" s="5" t="n"/>
      <c r="F889" s="5" t="n"/>
      <c r="G889" s="5" t="n"/>
    </row>
    <row r="890" ht="15.75" customHeight="1" s="115">
      <c r="A890" s="5" t="n"/>
      <c r="B890" s="5" t="n"/>
      <c r="C890" s="5" t="n"/>
      <c r="D890" s="5" t="n"/>
      <c r="E890" s="5" t="n"/>
      <c r="F890" s="5" t="n"/>
      <c r="G890" s="5" t="n"/>
    </row>
    <row r="891" ht="15.75" customHeight="1" s="115">
      <c r="A891" s="5" t="n"/>
      <c r="B891" s="5" t="n"/>
      <c r="C891" s="5" t="n"/>
      <c r="D891" s="5" t="n"/>
      <c r="E891" s="5" t="n"/>
      <c r="F891" s="5" t="n"/>
      <c r="G891" s="5" t="n"/>
    </row>
    <row r="892" ht="15.75" customHeight="1" s="115">
      <c r="A892" s="5" t="n"/>
      <c r="B892" s="5" t="n"/>
      <c r="C892" s="5" t="n"/>
      <c r="D892" s="5" t="n"/>
      <c r="E892" s="5" t="n"/>
      <c r="F892" s="5" t="n"/>
      <c r="G892" s="5" t="n"/>
    </row>
    <row r="893" ht="15.75" customHeight="1" s="115">
      <c r="A893" s="5" t="n"/>
      <c r="B893" s="5" t="n"/>
      <c r="C893" s="5" t="n"/>
      <c r="D893" s="5" t="n"/>
      <c r="E893" s="5" t="n"/>
      <c r="F893" s="5" t="n"/>
      <c r="G893" s="5" t="n"/>
    </row>
    <row r="894" ht="15.75" customHeight="1" s="115">
      <c r="A894" s="5" t="n"/>
      <c r="B894" s="5" t="n"/>
      <c r="C894" s="5" t="n"/>
      <c r="D894" s="5" t="n"/>
      <c r="E894" s="5" t="n"/>
      <c r="F894" s="5" t="n"/>
      <c r="G894" s="5" t="n"/>
    </row>
    <row r="895" ht="15.75" customHeight="1" s="115">
      <c r="A895" s="5" t="n"/>
      <c r="B895" s="5" t="n"/>
      <c r="C895" s="5" t="n"/>
      <c r="D895" s="5" t="n"/>
      <c r="E895" s="5" t="n"/>
      <c r="F895" s="5" t="n"/>
      <c r="G895" s="5" t="n"/>
    </row>
    <row r="896" ht="15.75" customHeight="1" s="115">
      <c r="A896" s="5" t="n"/>
      <c r="B896" s="5" t="n"/>
      <c r="C896" s="5" t="n"/>
      <c r="D896" s="5" t="n"/>
      <c r="E896" s="5" t="n"/>
      <c r="F896" s="5" t="n"/>
      <c r="G896" s="5" t="n"/>
    </row>
    <row r="897" ht="15.75" customHeight="1" s="115">
      <c r="A897" s="5" t="n"/>
      <c r="B897" s="5" t="n"/>
      <c r="C897" s="5" t="n"/>
      <c r="D897" s="5" t="n"/>
      <c r="E897" s="5" t="n"/>
      <c r="F897" s="5" t="n"/>
      <c r="G897" s="5" t="n"/>
    </row>
    <row r="898" ht="15.75" customHeight="1" s="115">
      <c r="A898" s="5" t="n"/>
      <c r="B898" s="5" t="n"/>
      <c r="C898" s="5" t="n"/>
      <c r="D898" s="5" t="n"/>
      <c r="E898" s="5" t="n"/>
      <c r="F898" s="5" t="n"/>
      <c r="G898" s="5" t="n"/>
    </row>
    <row r="899" ht="15.75" customHeight="1" s="115">
      <c r="A899" s="5" t="n"/>
      <c r="B899" s="5" t="n"/>
      <c r="C899" s="5" t="n"/>
      <c r="D899" s="5" t="n"/>
      <c r="E899" s="5" t="n"/>
      <c r="F899" s="5" t="n"/>
      <c r="G899" s="5" t="n"/>
    </row>
    <row r="900" ht="15.75" customHeight="1" s="115">
      <c r="A900" s="5" t="n"/>
      <c r="B900" s="5" t="n"/>
      <c r="C900" s="5" t="n"/>
      <c r="D900" s="5" t="n"/>
      <c r="E900" s="5" t="n"/>
      <c r="F900" s="5" t="n"/>
      <c r="G900" s="5" t="n"/>
    </row>
    <row r="901" ht="15.75" customHeight="1" s="115">
      <c r="A901" s="5" t="n"/>
      <c r="B901" s="5" t="n"/>
      <c r="C901" s="5" t="n"/>
      <c r="D901" s="5" t="n"/>
      <c r="E901" s="5" t="n"/>
      <c r="F901" s="5" t="n"/>
      <c r="G901" s="5" t="n"/>
    </row>
    <row r="902" ht="15.75" customHeight="1" s="115">
      <c r="A902" s="5" t="n"/>
      <c r="B902" s="5" t="n"/>
      <c r="C902" s="5" t="n"/>
      <c r="D902" s="5" t="n"/>
      <c r="E902" s="5" t="n"/>
      <c r="F902" s="5" t="n"/>
      <c r="G902" s="5" t="n"/>
    </row>
    <row r="903" ht="15.75" customHeight="1" s="115">
      <c r="A903" s="5" t="n"/>
      <c r="B903" s="5" t="n"/>
      <c r="C903" s="5" t="n"/>
      <c r="D903" s="5" t="n"/>
      <c r="E903" s="5" t="n"/>
      <c r="F903" s="5" t="n"/>
      <c r="G903" s="5" t="n"/>
    </row>
    <row r="904" ht="15.75" customHeight="1" s="115">
      <c r="A904" s="5" t="n"/>
      <c r="B904" s="5" t="n"/>
      <c r="C904" s="5" t="n"/>
      <c r="D904" s="5" t="n"/>
      <c r="E904" s="5" t="n"/>
      <c r="F904" s="5" t="n"/>
      <c r="G904" s="5" t="n"/>
    </row>
    <row r="905" ht="15.75" customHeight="1" s="115">
      <c r="A905" s="5" t="n"/>
      <c r="B905" s="5" t="n"/>
      <c r="C905" s="5" t="n"/>
      <c r="D905" s="5" t="n"/>
      <c r="E905" s="5" t="n"/>
      <c r="F905" s="5" t="n"/>
      <c r="G905" s="5" t="n"/>
    </row>
    <row r="906" ht="15.75" customHeight="1" s="115">
      <c r="A906" s="5" t="n"/>
      <c r="B906" s="5" t="n"/>
      <c r="C906" s="5" t="n"/>
      <c r="D906" s="5" t="n"/>
      <c r="E906" s="5" t="n"/>
      <c r="F906" s="5" t="n"/>
      <c r="G906" s="5" t="n"/>
    </row>
    <row r="907" ht="15.75" customHeight="1" s="115">
      <c r="A907" s="5" t="n"/>
      <c r="B907" s="5" t="n"/>
      <c r="C907" s="5" t="n"/>
      <c r="D907" s="5" t="n"/>
      <c r="E907" s="5" t="n"/>
      <c r="F907" s="5" t="n"/>
      <c r="G907" s="5" t="n"/>
    </row>
    <row r="908" ht="15.75" customHeight="1" s="115">
      <c r="A908" s="5" t="n"/>
      <c r="B908" s="5" t="n"/>
      <c r="C908" s="5" t="n"/>
      <c r="D908" s="5" t="n"/>
      <c r="E908" s="5" t="n"/>
      <c r="F908" s="5" t="n"/>
      <c r="G908" s="5" t="n"/>
    </row>
    <row r="909" ht="15.75" customHeight="1" s="115">
      <c r="A909" s="5" t="n"/>
      <c r="B909" s="5" t="n"/>
      <c r="C909" s="5" t="n"/>
      <c r="D909" s="5" t="n"/>
      <c r="E909" s="5" t="n"/>
      <c r="F909" s="5" t="n"/>
      <c r="G909" s="5" t="n"/>
    </row>
    <row r="910" ht="15.75" customHeight="1" s="115">
      <c r="A910" s="5" t="n"/>
      <c r="B910" s="5" t="n"/>
      <c r="C910" s="5" t="n"/>
      <c r="D910" s="5" t="n"/>
      <c r="E910" s="5" t="n"/>
      <c r="F910" s="5" t="n"/>
      <c r="G910" s="5" t="n"/>
    </row>
    <row r="911" ht="15.75" customHeight="1" s="115">
      <c r="A911" s="5" t="n"/>
      <c r="B911" s="5" t="n"/>
      <c r="C911" s="5" t="n"/>
      <c r="D911" s="5" t="n"/>
      <c r="E911" s="5" t="n"/>
      <c r="F911" s="5" t="n"/>
      <c r="G911" s="5" t="n"/>
    </row>
    <row r="912" ht="15.75" customHeight="1" s="115">
      <c r="A912" s="5" t="n"/>
      <c r="B912" s="5" t="n"/>
      <c r="C912" s="5" t="n"/>
      <c r="D912" s="5" t="n"/>
      <c r="E912" s="5" t="n"/>
      <c r="F912" s="5" t="n"/>
      <c r="G912" s="5" t="n"/>
    </row>
    <row r="913" ht="15.75" customHeight="1" s="115">
      <c r="A913" s="5" t="n"/>
      <c r="B913" s="5" t="n"/>
      <c r="C913" s="5" t="n"/>
      <c r="D913" s="5" t="n"/>
      <c r="E913" s="5" t="n"/>
      <c r="F913" s="5" t="n"/>
      <c r="G913" s="5" t="n"/>
    </row>
    <row r="914" ht="15.75" customHeight="1" s="115">
      <c r="A914" s="5" t="n"/>
      <c r="B914" s="5" t="n"/>
      <c r="C914" s="5" t="n"/>
      <c r="D914" s="5" t="n"/>
      <c r="E914" s="5" t="n"/>
      <c r="F914" s="5" t="n"/>
      <c r="G914" s="5" t="n"/>
    </row>
    <row r="915" ht="15.75" customHeight="1" s="115">
      <c r="A915" s="5" t="n"/>
      <c r="B915" s="5" t="n"/>
      <c r="C915" s="5" t="n"/>
      <c r="D915" s="5" t="n"/>
      <c r="E915" s="5" t="n"/>
      <c r="F915" s="5" t="n"/>
      <c r="G915" s="5" t="n"/>
    </row>
    <row r="916" ht="15.75" customHeight="1" s="115">
      <c r="A916" s="5" t="n"/>
      <c r="B916" s="5" t="n"/>
      <c r="C916" s="5" t="n"/>
      <c r="D916" s="5" t="n"/>
      <c r="E916" s="5" t="n"/>
      <c r="F916" s="5" t="n"/>
      <c r="G916" s="5" t="n"/>
    </row>
    <row r="917" ht="15.75" customHeight="1" s="115">
      <c r="A917" s="5" t="n"/>
      <c r="B917" s="5" t="n"/>
      <c r="C917" s="5" t="n"/>
      <c r="D917" s="5" t="n"/>
      <c r="E917" s="5" t="n"/>
      <c r="F917" s="5" t="n"/>
      <c r="G917" s="5" t="n"/>
    </row>
    <row r="918" ht="15.75" customHeight="1" s="115">
      <c r="A918" s="5" t="n"/>
      <c r="B918" s="5" t="n"/>
      <c r="C918" s="5" t="n"/>
      <c r="D918" s="5" t="n"/>
      <c r="E918" s="5" t="n"/>
      <c r="F918" s="5" t="n"/>
      <c r="G918" s="5" t="n"/>
    </row>
    <row r="919" ht="15.75" customHeight="1" s="115">
      <c r="A919" s="5" t="n"/>
      <c r="B919" s="5" t="n"/>
      <c r="C919" s="5" t="n"/>
      <c r="D919" s="5" t="n"/>
      <c r="E919" s="5" t="n"/>
      <c r="F919" s="5" t="n"/>
      <c r="G919" s="5" t="n"/>
    </row>
    <row r="920" ht="15.75" customHeight="1" s="115">
      <c r="A920" s="5" t="n"/>
      <c r="B920" s="5" t="n"/>
      <c r="C920" s="5" t="n"/>
      <c r="D920" s="5" t="n"/>
      <c r="E920" s="5" t="n"/>
      <c r="F920" s="5" t="n"/>
      <c r="G920" s="5" t="n"/>
    </row>
    <row r="921" ht="15.75" customHeight="1" s="115">
      <c r="A921" s="5" t="n"/>
      <c r="B921" s="5" t="n"/>
      <c r="C921" s="5" t="n"/>
      <c r="D921" s="5" t="n"/>
      <c r="E921" s="5" t="n"/>
      <c r="F921" s="5" t="n"/>
      <c r="G921" s="5" t="n"/>
    </row>
    <row r="922" ht="15.75" customHeight="1" s="115">
      <c r="A922" s="5" t="n"/>
      <c r="B922" s="5" t="n"/>
      <c r="C922" s="5" t="n"/>
      <c r="D922" s="5" t="n"/>
      <c r="E922" s="5" t="n"/>
      <c r="F922" s="5" t="n"/>
      <c r="G922" s="5" t="n"/>
    </row>
    <row r="923" ht="15.75" customHeight="1" s="115">
      <c r="A923" s="5" t="n"/>
      <c r="B923" s="5" t="n"/>
      <c r="C923" s="5" t="n"/>
      <c r="D923" s="5" t="n"/>
      <c r="E923" s="5" t="n"/>
      <c r="F923" s="5" t="n"/>
      <c r="G923" s="5" t="n"/>
    </row>
    <row r="924" ht="15.75" customHeight="1" s="115">
      <c r="A924" s="5" t="n"/>
      <c r="B924" s="5" t="n"/>
      <c r="C924" s="5" t="n"/>
      <c r="D924" s="5" t="n"/>
      <c r="E924" s="5" t="n"/>
      <c r="F924" s="5" t="n"/>
      <c r="G924" s="5" t="n"/>
    </row>
    <row r="925" ht="15.75" customHeight="1" s="115">
      <c r="A925" s="5" t="n"/>
      <c r="B925" s="5" t="n"/>
      <c r="C925" s="5" t="n"/>
      <c r="D925" s="5" t="n"/>
      <c r="E925" s="5" t="n"/>
      <c r="F925" s="5" t="n"/>
      <c r="G925" s="5" t="n"/>
    </row>
    <row r="926" ht="15.75" customHeight="1" s="115">
      <c r="A926" s="5" t="n"/>
      <c r="B926" s="5" t="n"/>
      <c r="C926" s="5" t="n"/>
      <c r="D926" s="5" t="n"/>
      <c r="E926" s="5" t="n"/>
      <c r="F926" s="5" t="n"/>
      <c r="G926" s="5" t="n"/>
    </row>
    <row r="927" ht="15.75" customHeight="1" s="115">
      <c r="A927" s="5" t="n"/>
      <c r="B927" s="5" t="n"/>
      <c r="C927" s="5" t="n"/>
      <c r="D927" s="5" t="n"/>
      <c r="E927" s="5" t="n"/>
      <c r="F927" s="5" t="n"/>
      <c r="G927" s="5" t="n"/>
    </row>
    <row r="928" ht="15.75" customHeight="1" s="115">
      <c r="A928" s="5" t="n"/>
      <c r="B928" s="5" t="n"/>
      <c r="C928" s="5" t="n"/>
      <c r="D928" s="5" t="n"/>
      <c r="E928" s="5" t="n"/>
      <c r="F928" s="5" t="n"/>
      <c r="G928" s="5" t="n"/>
    </row>
    <row r="929" ht="15.75" customHeight="1" s="115">
      <c r="A929" s="5" t="n"/>
      <c r="B929" s="5" t="n"/>
      <c r="C929" s="5" t="n"/>
      <c r="D929" s="5" t="n"/>
      <c r="E929" s="5" t="n"/>
      <c r="F929" s="5" t="n"/>
      <c r="G929" s="5" t="n"/>
    </row>
    <row r="930" ht="15.75" customHeight="1" s="115">
      <c r="A930" s="5" t="n"/>
      <c r="B930" s="5" t="n"/>
      <c r="C930" s="5" t="n"/>
      <c r="D930" s="5" t="n"/>
      <c r="E930" s="5" t="n"/>
      <c r="F930" s="5" t="n"/>
      <c r="G930" s="5" t="n"/>
    </row>
    <row r="931" ht="15.75" customHeight="1" s="115">
      <c r="A931" s="5" t="n"/>
      <c r="B931" s="5" t="n"/>
      <c r="C931" s="5" t="n"/>
      <c r="D931" s="5" t="n"/>
      <c r="E931" s="5" t="n"/>
      <c r="F931" s="5" t="n"/>
      <c r="G931" s="5" t="n"/>
    </row>
    <row r="932" ht="15.75" customHeight="1" s="115">
      <c r="A932" s="5" t="n"/>
      <c r="B932" s="5" t="n"/>
      <c r="C932" s="5" t="n"/>
      <c r="D932" s="5" t="n"/>
      <c r="E932" s="5" t="n"/>
      <c r="F932" s="5" t="n"/>
      <c r="G932" s="5" t="n"/>
    </row>
    <row r="933" ht="15.75" customHeight="1" s="115">
      <c r="A933" s="5" t="n"/>
      <c r="B933" s="5" t="n"/>
      <c r="C933" s="5" t="n"/>
      <c r="D933" s="5" t="n"/>
      <c r="E933" s="5" t="n"/>
      <c r="F933" s="5" t="n"/>
      <c r="G933" s="5" t="n"/>
    </row>
    <row r="934" ht="15.75" customHeight="1" s="115">
      <c r="A934" s="5" t="n"/>
      <c r="B934" s="5" t="n"/>
      <c r="C934" s="5" t="n"/>
      <c r="D934" s="5" t="n"/>
      <c r="E934" s="5" t="n"/>
      <c r="F934" s="5" t="n"/>
      <c r="G934" s="5" t="n"/>
    </row>
    <row r="935" ht="15.75" customHeight="1" s="115">
      <c r="A935" s="5" t="n"/>
      <c r="B935" s="5" t="n"/>
      <c r="C935" s="5" t="n"/>
      <c r="D935" s="5" t="n"/>
      <c r="E935" s="5" t="n"/>
      <c r="F935" s="5" t="n"/>
      <c r="G935" s="5" t="n"/>
    </row>
    <row r="936" ht="15.75" customHeight="1" s="115">
      <c r="A936" s="5" t="n"/>
      <c r="B936" s="5" t="n"/>
      <c r="C936" s="5" t="n"/>
      <c r="D936" s="5" t="n"/>
      <c r="E936" s="5" t="n"/>
      <c r="F936" s="5" t="n"/>
      <c r="G936" s="5" t="n"/>
    </row>
    <row r="937" ht="15.75" customHeight="1" s="115">
      <c r="A937" s="5" t="n"/>
      <c r="B937" s="5" t="n"/>
      <c r="C937" s="5" t="n"/>
      <c r="D937" s="5" t="n"/>
      <c r="E937" s="5" t="n"/>
      <c r="F937" s="5" t="n"/>
      <c r="G937" s="5" t="n"/>
    </row>
    <row r="938" ht="15.75" customHeight="1" s="115">
      <c r="A938" s="5" t="n"/>
      <c r="B938" s="5" t="n"/>
      <c r="C938" s="5" t="n"/>
      <c r="D938" s="5" t="n"/>
      <c r="E938" s="5" t="n"/>
      <c r="F938" s="5" t="n"/>
      <c r="G938" s="5" t="n"/>
    </row>
    <row r="939" ht="15.75" customHeight="1" s="115">
      <c r="A939" s="5" t="n"/>
      <c r="B939" s="5" t="n"/>
      <c r="C939" s="5" t="n"/>
      <c r="D939" s="5" t="n"/>
      <c r="E939" s="5" t="n"/>
      <c r="F939" s="5" t="n"/>
      <c r="G939" s="5" t="n"/>
    </row>
    <row r="940" ht="15.75" customHeight="1" s="115">
      <c r="A940" s="5" t="n"/>
      <c r="B940" s="5" t="n"/>
      <c r="C940" s="5" t="n"/>
      <c r="D940" s="5" t="n"/>
      <c r="E940" s="5" t="n"/>
      <c r="F940" s="5" t="n"/>
      <c r="G940" s="5" t="n"/>
    </row>
    <row r="941" ht="15.75" customHeight="1" s="115">
      <c r="A941" s="5" t="n"/>
      <c r="B941" s="5" t="n"/>
      <c r="C941" s="5" t="n"/>
      <c r="D941" s="5" t="n"/>
      <c r="E941" s="5" t="n"/>
      <c r="F941" s="5" t="n"/>
      <c r="G941" s="5" t="n"/>
    </row>
    <row r="942" ht="15.75" customHeight="1" s="115">
      <c r="A942" s="5" t="n"/>
      <c r="B942" s="5" t="n"/>
      <c r="C942" s="5" t="n"/>
      <c r="D942" s="5" t="n"/>
      <c r="E942" s="5" t="n"/>
      <c r="F942" s="5" t="n"/>
      <c r="G942" s="5" t="n"/>
    </row>
    <row r="943" ht="15.75" customHeight="1" s="115">
      <c r="A943" s="5" t="n"/>
      <c r="B943" s="5" t="n"/>
      <c r="C943" s="5" t="n"/>
      <c r="D943" s="5" t="n"/>
      <c r="E943" s="5" t="n"/>
      <c r="F943" s="5" t="n"/>
      <c r="G943" s="5" t="n"/>
    </row>
    <row r="944" ht="15.75" customHeight="1" s="115">
      <c r="A944" s="5" t="n"/>
      <c r="B944" s="5" t="n"/>
      <c r="C944" s="5" t="n"/>
      <c r="D944" s="5" t="n"/>
      <c r="E944" s="5" t="n"/>
      <c r="F944" s="5" t="n"/>
      <c r="G944" s="5" t="n"/>
    </row>
    <row r="945" ht="15.75" customHeight="1" s="115">
      <c r="A945" s="5" t="n"/>
      <c r="B945" s="5" t="n"/>
      <c r="C945" s="5" t="n"/>
      <c r="D945" s="5" t="n"/>
      <c r="E945" s="5" t="n"/>
      <c r="F945" s="5" t="n"/>
      <c r="G945" s="5" t="n"/>
    </row>
    <row r="946" ht="15.75" customHeight="1" s="115">
      <c r="A946" s="5" t="n"/>
      <c r="B946" s="5" t="n"/>
      <c r="C946" s="5" t="n"/>
      <c r="D946" s="5" t="n"/>
      <c r="E946" s="5" t="n"/>
      <c r="F946" s="5" t="n"/>
      <c r="G946" s="5" t="n"/>
    </row>
    <row r="947" ht="15.75" customHeight="1" s="115">
      <c r="A947" s="5" t="n"/>
      <c r="B947" s="5" t="n"/>
      <c r="C947" s="5" t="n"/>
      <c r="D947" s="5" t="n"/>
      <c r="E947" s="5" t="n"/>
      <c r="F947" s="5" t="n"/>
      <c r="G947" s="5" t="n"/>
    </row>
    <row r="948" ht="15.75" customHeight="1" s="115">
      <c r="A948" s="5" t="n"/>
      <c r="B948" s="5" t="n"/>
      <c r="C948" s="5" t="n"/>
      <c r="D948" s="5" t="n"/>
      <c r="E948" s="5" t="n"/>
      <c r="F948" s="5" t="n"/>
      <c r="G948" s="5" t="n"/>
    </row>
    <row r="949" ht="15.75" customHeight="1" s="115">
      <c r="A949" s="5" t="n"/>
      <c r="B949" s="5" t="n"/>
      <c r="C949" s="5" t="n"/>
      <c r="D949" s="5" t="n"/>
      <c r="E949" s="5" t="n"/>
      <c r="F949" s="5" t="n"/>
      <c r="G949" s="5" t="n"/>
    </row>
    <row r="950" ht="15.75" customHeight="1" s="115">
      <c r="A950" s="5" t="n"/>
      <c r="B950" s="5" t="n"/>
      <c r="C950" s="5" t="n"/>
      <c r="D950" s="5" t="n"/>
      <c r="E950" s="5" t="n"/>
      <c r="F950" s="5" t="n"/>
      <c r="G950" s="5" t="n"/>
    </row>
    <row r="951" ht="15.75" customHeight="1" s="115">
      <c r="A951" s="5" t="n"/>
      <c r="B951" s="5" t="n"/>
      <c r="C951" s="5" t="n"/>
      <c r="D951" s="5" t="n"/>
      <c r="E951" s="5" t="n"/>
      <c r="F951" s="5" t="n"/>
      <c r="G951" s="5" t="n"/>
    </row>
    <row r="952" ht="15.75" customHeight="1" s="115">
      <c r="A952" s="5" t="n"/>
      <c r="B952" s="5" t="n"/>
      <c r="C952" s="5" t="n"/>
      <c r="D952" s="5" t="n"/>
      <c r="E952" s="5" t="n"/>
      <c r="F952" s="5" t="n"/>
      <c r="G952" s="5" t="n"/>
    </row>
    <row r="953" ht="15.75" customHeight="1" s="115">
      <c r="A953" s="5" t="n"/>
      <c r="B953" s="5" t="n"/>
      <c r="C953" s="5" t="n"/>
      <c r="D953" s="5" t="n"/>
      <c r="E953" s="5" t="n"/>
      <c r="F953" s="5" t="n"/>
      <c r="G953" s="5" t="n"/>
    </row>
    <row r="954" ht="15.75" customHeight="1" s="115">
      <c r="A954" s="5" t="n"/>
      <c r="B954" s="5" t="n"/>
      <c r="C954" s="5" t="n"/>
      <c r="D954" s="5" t="n"/>
      <c r="E954" s="5" t="n"/>
      <c r="F954" s="5" t="n"/>
      <c r="G954" s="5" t="n"/>
    </row>
    <row r="955" ht="15.75" customHeight="1" s="115">
      <c r="A955" s="5" t="n"/>
      <c r="B955" s="5" t="n"/>
      <c r="C955" s="5" t="n"/>
      <c r="D955" s="5" t="n"/>
      <c r="E955" s="5" t="n"/>
      <c r="F955" s="5" t="n"/>
      <c r="G955" s="5" t="n"/>
    </row>
    <row r="956" ht="15.75" customHeight="1" s="115">
      <c r="A956" s="5" t="n"/>
      <c r="B956" s="5" t="n"/>
      <c r="C956" s="5" t="n"/>
      <c r="D956" s="5" t="n"/>
      <c r="E956" s="5" t="n"/>
      <c r="F956" s="5" t="n"/>
      <c r="G956" s="5" t="n"/>
    </row>
    <row r="957" ht="15.75" customHeight="1" s="115">
      <c r="A957" s="5" t="n"/>
      <c r="B957" s="5" t="n"/>
      <c r="C957" s="5" t="n"/>
      <c r="D957" s="5" t="n"/>
      <c r="E957" s="5" t="n"/>
      <c r="F957" s="5" t="n"/>
      <c r="G957" s="5" t="n"/>
    </row>
    <row r="958" ht="15.75" customHeight="1" s="115">
      <c r="A958" s="5" t="n"/>
      <c r="B958" s="5" t="n"/>
      <c r="C958" s="5" t="n"/>
      <c r="D958" s="5" t="n"/>
      <c r="E958" s="5" t="n"/>
      <c r="F958" s="5" t="n"/>
      <c r="G958" s="5" t="n"/>
    </row>
    <row r="959" ht="15.75" customHeight="1" s="115">
      <c r="A959" s="5" t="n"/>
      <c r="B959" s="5" t="n"/>
      <c r="C959" s="5" t="n"/>
      <c r="D959" s="5" t="n"/>
      <c r="E959" s="5" t="n"/>
      <c r="F959" s="5" t="n"/>
      <c r="G959" s="5" t="n"/>
    </row>
    <row r="960" ht="15.75" customHeight="1" s="115">
      <c r="A960" s="5" t="n"/>
      <c r="B960" s="5" t="n"/>
      <c r="C960" s="5" t="n"/>
      <c r="D960" s="5" t="n"/>
      <c r="E960" s="5" t="n"/>
      <c r="F960" s="5" t="n"/>
      <c r="G960" s="5" t="n"/>
    </row>
    <row r="961" ht="15.75" customHeight="1" s="115">
      <c r="A961" s="5" t="n"/>
      <c r="B961" s="5" t="n"/>
      <c r="C961" s="5" t="n"/>
      <c r="D961" s="5" t="n"/>
      <c r="E961" s="5" t="n"/>
      <c r="F961" s="5" t="n"/>
      <c r="G961" s="5" t="n"/>
    </row>
    <row r="962" ht="15.75" customHeight="1" s="115">
      <c r="A962" s="5" t="n"/>
      <c r="B962" s="5" t="n"/>
      <c r="C962" s="5" t="n"/>
      <c r="D962" s="5" t="n"/>
      <c r="E962" s="5" t="n"/>
      <c r="F962" s="5" t="n"/>
      <c r="G962" s="5" t="n"/>
    </row>
    <row r="963" ht="15.75" customHeight="1" s="115">
      <c r="A963" s="5" t="n"/>
      <c r="B963" s="5" t="n"/>
      <c r="C963" s="5" t="n"/>
      <c r="D963" s="5" t="n"/>
      <c r="E963" s="5" t="n"/>
      <c r="F963" s="5" t="n"/>
      <c r="G963" s="5" t="n"/>
    </row>
    <row r="964" ht="15.75" customHeight="1" s="115">
      <c r="A964" s="5" t="n"/>
      <c r="B964" s="5" t="n"/>
      <c r="C964" s="5" t="n"/>
      <c r="D964" s="5" t="n"/>
      <c r="E964" s="5" t="n"/>
      <c r="F964" s="5" t="n"/>
      <c r="G964" s="5" t="n"/>
    </row>
    <row r="965" ht="15.75" customHeight="1" s="115">
      <c r="A965" s="5" t="n"/>
      <c r="B965" s="5" t="n"/>
      <c r="C965" s="5" t="n"/>
      <c r="D965" s="5" t="n"/>
      <c r="E965" s="5" t="n"/>
      <c r="F965" s="5" t="n"/>
      <c r="G965" s="5" t="n"/>
    </row>
    <row r="966" ht="15.75" customHeight="1" s="115">
      <c r="A966" s="5" t="n"/>
      <c r="B966" s="5" t="n"/>
      <c r="C966" s="5" t="n"/>
      <c r="D966" s="5" t="n"/>
      <c r="E966" s="5" t="n"/>
      <c r="F966" s="5" t="n"/>
      <c r="G966" s="5" t="n"/>
    </row>
    <row r="967" ht="15.75" customHeight="1" s="115">
      <c r="A967" s="5" t="n"/>
      <c r="B967" s="5" t="n"/>
      <c r="C967" s="5" t="n"/>
      <c r="D967" s="5" t="n"/>
      <c r="E967" s="5" t="n"/>
      <c r="F967" s="5" t="n"/>
      <c r="G967" s="5" t="n"/>
    </row>
    <row r="968" ht="15.75" customHeight="1" s="115">
      <c r="A968" s="5" t="n"/>
      <c r="B968" s="5" t="n"/>
      <c r="C968" s="5" t="n"/>
      <c r="D968" s="5" t="n"/>
      <c r="E968" s="5" t="n"/>
      <c r="F968" s="5" t="n"/>
      <c r="G968" s="5" t="n"/>
    </row>
    <row r="969" ht="15.75" customHeight="1" s="115">
      <c r="A969" s="5" t="n"/>
      <c r="B969" s="5" t="n"/>
      <c r="C969" s="5" t="n"/>
      <c r="D969" s="5" t="n"/>
      <c r="E969" s="5" t="n"/>
      <c r="F969" s="5" t="n"/>
      <c r="G969" s="5" t="n"/>
    </row>
    <row r="970" ht="15.75" customHeight="1" s="115">
      <c r="A970" s="5" t="n"/>
      <c r="B970" s="5" t="n"/>
      <c r="C970" s="5" t="n"/>
      <c r="D970" s="5" t="n"/>
      <c r="E970" s="5" t="n"/>
      <c r="F970" s="5" t="n"/>
      <c r="G970" s="5" t="n"/>
    </row>
    <row r="971" ht="15.75" customHeight="1" s="115">
      <c r="A971" s="5" t="n"/>
      <c r="B971" s="5" t="n"/>
      <c r="C971" s="5" t="n"/>
      <c r="D971" s="5" t="n"/>
      <c r="E971" s="5" t="n"/>
      <c r="F971" s="5" t="n"/>
      <c r="G971" s="5" t="n"/>
    </row>
    <row r="972" ht="15.75" customHeight="1" s="115">
      <c r="A972" s="5" t="n"/>
      <c r="B972" s="5" t="n"/>
      <c r="C972" s="5" t="n"/>
      <c r="D972" s="5" t="n"/>
      <c r="E972" s="5" t="n"/>
      <c r="F972" s="5" t="n"/>
      <c r="G972" s="5" t="n"/>
    </row>
    <row r="973" ht="15.75" customHeight="1" s="115">
      <c r="A973" s="5" t="n"/>
      <c r="B973" s="5" t="n"/>
      <c r="C973" s="5" t="n"/>
      <c r="D973" s="5" t="n"/>
      <c r="E973" s="5" t="n"/>
      <c r="F973" s="5" t="n"/>
      <c r="G973" s="5" t="n"/>
    </row>
    <row r="974" ht="15.75" customHeight="1" s="115">
      <c r="A974" s="5" t="n"/>
      <c r="B974" s="5" t="n"/>
      <c r="C974" s="5" t="n"/>
      <c r="D974" s="5" t="n"/>
      <c r="E974" s="5" t="n"/>
      <c r="F974" s="5" t="n"/>
      <c r="G974" s="5" t="n"/>
    </row>
    <row r="975" ht="15.75" customHeight="1" s="115">
      <c r="A975" s="5" t="n"/>
      <c r="B975" s="5" t="n"/>
      <c r="C975" s="5" t="n"/>
      <c r="D975" s="5" t="n"/>
      <c r="E975" s="5" t="n"/>
      <c r="F975" s="5" t="n"/>
      <c r="G975" s="5" t="n"/>
    </row>
    <row r="976" ht="15.75" customHeight="1" s="115">
      <c r="A976" s="5" t="n"/>
      <c r="B976" s="5" t="n"/>
      <c r="C976" s="5" t="n"/>
      <c r="D976" s="5" t="n"/>
      <c r="E976" s="5" t="n"/>
      <c r="F976" s="5" t="n"/>
      <c r="G976" s="5" t="n"/>
    </row>
    <row r="977" ht="15.75" customHeight="1" s="115">
      <c r="A977" s="5" t="n"/>
      <c r="B977" s="5" t="n"/>
      <c r="C977" s="5" t="n"/>
      <c r="D977" s="5" t="n"/>
      <c r="E977" s="5" t="n"/>
      <c r="F977" s="5" t="n"/>
      <c r="G977" s="5" t="n"/>
    </row>
    <row r="978" ht="15.75" customHeight="1" s="115">
      <c r="A978" s="5" t="n"/>
      <c r="B978" s="5" t="n"/>
      <c r="C978" s="5" t="n"/>
      <c r="D978" s="5" t="n"/>
      <c r="E978" s="5" t="n"/>
      <c r="F978" s="5" t="n"/>
      <c r="G978" s="5" t="n"/>
    </row>
    <row r="979" ht="15.75" customHeight="1" s="115">
      <c r="A979" s="5" t="n"/>
      <c r="B979" s="5" t="n"/>
      <c r="C979" s="5" t="n"/>
      <c r="D979" s="5" t="n"/>
      <c r="E979" s="5" t="n"/>
      <c r="F979" s="5" t="n"/>
      <c r="G979" s="5" t="n"/>
    </row>
    <row r="980" ht="15.75" customHeight="1" s="115">
      <c r="A980" s="5" t="n"/>
      <c r="B980" s="5" t="n"/>
      <c r="C980" s="5" t="n"/>
      <c r="D980" s="5" t="n"/>
      <c r="E980" s="5" t="n"/>
      <c r="F980" s="5" t="n"/>
      <c r="G980" s="5" t="n"/>
    </row>
    <row r="981" ht="15.75" customHeight="1" s="115">
      <c r="A981" s="5" t="n"/>
      <c r="B981" s="5" t="n"/>
      <c r="C981" s="5" t="n"/>
      <c r="D981" s="5" t="n"/>
      <c r="E981" s="5" t="n"/>
      <c r="F981" s="5" t="n"/>
      <c r="G981" s="5" t="n"/>
    </row>
    <row r="982" ht="15.75" customHeight="1" s="115">
      <c r="A982" s="5" t="n"/>
      <c r="B982" s="5" t="n"/>
      <c r="C982" s="5" t="n"/>
      <c r="D982" s="5" t="n"/>
      <c r="E982" s="5" t="n"/>
      <c r="F982" s="5" t="n"/>
      <c r="G982" s="5" t="n"/>
    </row>
    <row r="983" ht="15.75" customHeight="1" s="115">
      <c r="A983" s="5" t="n"/>
      <c r="B983" s="5" t="n"/>
      <c r="C983" s="5" t="n"/>
      <c r="D983" s="5" t="n"/>
      <c r="E983" s="5" t="n"/>
      <c r="F983" s="5" t="n"/>
      <c r="G983" s="5" t="n"/>
    </row>
    <row r="984" ht="15.75" customHeight="1" s="115">
      <c r="A984" s="5" t="n"/>
      <c r="B984" s="5" t="n"/>
      <c r="C984" s="5" t="n"/>
      <c r="D984" s="5" t="n"/>
      <c r="E984" s="5" t="n"/>
      <c r="F984" s="5" t="n"/>
      <c r="G984" s="5" t="n"/>
    </row>
    <row r="985" ht="15.75" customHeight="1" s="115">
      <c r="A985" s="5" t="n"/>
      <c r="B985" s="5" t="n"/>
      <c r="C985" s="5" t="n"/>
      <c r="D985" s="5" t="n"/>
      <c r="E985" s="5" t="n"/>
      <c r="F985" s="5" t="n"/>
      <c r="G985" s="5" t="n"/>
    </row>
    <row r="986" ht="15.75" customHeight="1" s="115">
      <c r="A986" s="5" t="n"/>
      <c r="B986" s="5" t="n"/>
      <c r="C986" s="5" t="n"/>
      <c r="D986" s="5" t="n"/>
      <c r="E986" s="5" t="n"/>
      <c r="F986" s="5" t="n"/>
      <c r="G986" s="5" t="n"/>
    </row>
    <row r="987" ht="15.75" customHeight="1" s="115">
      <c r="A987" s="5" t="n"/>
      <c r="B987" s="5" t="n"/>
      <c r="C987" s="5" t="n"/>
      <c r="D987" s="5" t="n"/>
      <c r="E987" s="5" t="n"/>
      <c r="F987" s="5" t="n"/>
      <c r="G987" s="5" t="n"/>
    </row>
    <row r="988" ht="15.75" customHeight="1" s="115">
      <c r="A988" s="5" t="n"/>
      <c r="B988" s="5" t="n"/>
      <c r="C988" s="5" t="n"/>
      <c r="D988" s="5" t="n"/>
      <c r="E988" s="5" t="n"/>
      <c r="F988" s="5" t="n"/>
      <c r="G988" s="5" t="n"/>
    </row>
    <row r="989" ht="15.75" customHeight="1" s="115">
      <c r="A989" s="5" t="n"/>
      <c r="B989" s="5" t="n"/>
      <c r="C989" s="5" t="n"/>
      <c r="D989" s="5" t="n"/>
      <c r="E989" s="5" t="n"/>
      <c r="F989" s="5" t="n"/>
      <c r="G989" s="5" t="n"/>
    </row>
    <row r="990" ht="15.75" customHeight="1" s="115">
      <c r="A990" s="5" t="n"/>
      <c r="B990" s="5" t="n"/>
      <c r="C990" s="5" t="n"/>
      <c r="D990" s="5" t="n"/>
      <c r="E990" s="5" t="n"/>
      <c r="F990" s="5" t="n"/>
      <c r="G990" s="5" t="n"/>
    </row>
    <row r="991" ht="15.75" customHeight="1" s="115">
      <c r="A991" s="5" t="n"/>
      <c r="B991" s="5" t="n"/>
      <c r="C991" s="5" t="n"/>
      <c r="D991" s="5" t="n"/>
      <c r="E991" s="5" t="n"/>
      <c r="F991" s="5" t="n"/>
      <c r="G991" s="5" t="n"/>
    </row>
    <row r="992" ht="15.75" customHeight="1" s="115">
      <c r="A992" s="5" t="n"/>
      <c r="B992" s="5" t="n"/>
      <c r="C992" s="5" t="n"/>
      <c r="D992" s="5" t="n"/>
      <c r="E992" s="5" t="n"/>
      <c r="F992" s="5" t="n"/>
      <c r="G992" s="5" t="n"/>
    </row>
    <row r="993" ht="15.75" customHeight="1" s="115">
      <c r="A993" s="5" t="n"/>
      <c r="B993" s="5" t="n"/>
      <c r="C993" s="5" t="n"/>
      <c r="D993" s="5" t="n"/>
      <c r="E993" s="5" t="n"/>
      <c r="F993" s="5" t="n"/>
      <c r="G993" s="5" t="n"/>
    </row>
    <row r="994" ht="15.75" customHeight="1" s="115">
      <c r="A994" s="5" t="n"/>
      <c r="B994" s="5" t="n"/>
      <c r="C994" s="5" t="n"/>
      <c r="D994" s="5" t="n"/>
      <c r="E994" s="5" t="n"/>
      <c r="F994" s="5" t="n"/>
      <c r="G994" s="5" t="n"/>
    </row>
    <row r="995" ht="15.75" customHeight="1" s="115">
      <c r="A995" s="5" t="n"/>
      <c r="B995" s="5" t="n"/>
      <c r="C995" s="5" t="n"/>
      <c r="D995" s="5" t="n"/>
      <c r="E995" s="5" t="n"/>
      <c r="F995" s="5" t="n"/>
      <c r="G995" s="5" t="n"/>
    </row>
    <row r="996" ht="15.75" customHeight="1" s="115">
      <c r="A996" s="5" t="n"/>
      <c r="B996" s="5" t="n"/>
      <c r="C996" s="5" t="n"/>
      <c r="D996" s="5" t="n"/>
      <c r="E996" s="5" t="n"/>
      <c r="F996" s="5" t="n"/>
      <c r="G996" s="5" t="n"/>
    </row>
    <row r="997" ht="15.75" customHeight="1" s="115">
      <c r="A997" s="5" t="n"/>
      <c r="B997" s="5" t="n"/>
      <c r="C997" s="5" t="n"/>
      <c r="D997" s="5" t="n"/>
      <c r="E997" s="5" t="n"/>
      <c r="F997" s="5" t="n"/>
      <c r="G997" s="5" t="n"/>
    </row>
    <row r="998" ht="15.75" customHeight="1" s="115">
      <c r="A998" s="5" t="n"/>
      <c r="B998" s="5" t="n"/>
      <c r="C998" s="5" t="n"/>
      <c r="D998" s="5" t="n"/>
      <c r="E998" s="5" t="n"/>
      <c r="F998" s="5" t="n"/>
      <c r="G998" s="5" t="n"/>
    </row>
    <row r="999" ht="15.75" customHeight="1" s="115">
      <c r="A999" s="5" t="n"/>
      <c r="B999" s="5" t="n"/>
      <c r="C999" s="5" t="n"/>
      <c r="D999" s="5" t="n"/>
      <c r="E999" s="5" t="n"/>
      <c r="F999" s="5" t="n"/>
      <c r="G999" s="5" t="n"/>
    </row>
    <row r="1000" ht="15.75" customHeight="1" s="115">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2026-10-14T03:17:58Z</dcterms:created>
  <dcterms:modified xmlns:dcterms="http://purl.org/dc/terms/" xmlns:xsi="http://www.w3.org/2001/XMLSchema-instance" xsi:type="dcterms:W3CDTF">2026-10-14T19:36:53Z</dcterms:modified>
</cp:coreProperties>
</file>