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uller" sheetId="7" state="visible" r:id="rId7"/>
    <sheet name="NUR235 LSC exam prep"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Fuller</t>
        </is>
      </c>
      <c r="B13" s="39" t="n"/>
      <c r="C13" s="39" t="n"/>
      <c r="D13" s="39" t="n"/>
      <c r="E13" s="39" t="n"/>
      <c r="F13" s="5" t="n"/>
      <c r="G13" s="5" t="n"/>
    </row>
    <row r="14">
      <c r="A14" s="37" t="inlineStr">
        <is>
          <t>→  LSC exam prep</t>
        </is>
      </c>
      <c r="B14" s="39" t="n"/>
      <c r="C14" s="39" t="n"/>
      <c r="D14" s="39" t="n"/>
      <c r="E14" s="39" t="n"/>
      <c r="F14" s="5" t="n"/>
      <c r="G14" s="5" t="n"/>
    </row>
    <row r="15">
      <c r="A15" s="37" t="inlineStr">
        <is>
          <t>→  Exam Reviews</t>
        </is>
      </c>
      <c r="B15" s="39" t="n"/>
      <c r="C15" s="39" t="n"/>
      <c r="D15" s="39" t="n"/>
      <c r="E15" s="39" t="n"/>
      <c r="F15" s="5" t="n"/>
      <c r="G15" s="5" t="n"/>
    </row>
    <row r="16">
      <c r="A16" s="37" t="n"/>
      <c r="B16" s="39" t="n"/>
      <c r="C16" s="39" t="n"/>
      <c r="D16" s="39" t="n"/>
      <c r="E16" s="39" t="n"/>
      <c r="F16" s="5" t="n"/>
      <c r="G16" s="5" t="n"/>
    </row>
    <row r="17">
      <c r="A17" s="28"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Halecka and Wagner rows, and the Spring 2026 Fuller rows, are last cohort's recordings.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uller'!A1" display="→  Fuller"/>
    <hyperlink ref="A14" location="'NUR235 LSC exam prep'!A1" display="→  LSC exam prep"/>
    <hyperlink ref="A15"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One recording is waiting on a transcript before it can be filed, and one older row names a recording that is no longer in Drive. Everything else has been moved to its course tab.</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inlineStr">
        <is>
          <t>Sat 3 Oct, 3:13 AM</t>
        </is>
      </c>
      <c r="B7" s="46" t="inlineStr">
        <is>
          <t>Chrome</t>
        </is>
      </c>
      <c r="C7" s="47" t="inlineStr">
        <is>
          <t>NUR235</t>
        </is>
      </c>
      <c r="D7" s="47" t="inlineStr">
        <is>
          <t>Fuller?</t>
        </is>
      </c>
      <c r="E7" s="64">
        <f>HYPERLINK("https://drive.google.com/file/d/1GVRFPvUsOT1fP4_J3Ddv7oQl40HNjATW/view","▶  Watch")</f>
        <v/>
      </c>
      <c r="F7" s="47" t="inlineStr">
        <is>
          <t>Screen_Recording_20261003_031324_Chrome.mp4</t>
        </is>
      </c>
      <c r="G7" s="62" t="inlineStr">
        <is>
          <t>105 MB, in the Nursing School Videos folder. Google has not indexed the audio yet, so the topic is unconfirmed. It started 14 minutes before the Toddler Play &amp; Rest screenshots, so it is probably the same module 3 lecture. Queued in TRANSCRIBE_LIST.txt - Claude will name it once there is a transcript.</t>
        </is>
      </c>
    </row>
    <row r="8">
      <c r="A8" s="32" t="n"/>
      <c r="B8" s="32" t="n"/>
      <c r="C8" s="34" t="n"/>
      <c r="D8" s="34" t="n"/>
      <c r="E8" s="41" t="n"/>
      <c r="F8" s="34" t="n"/>
      <c r="G8" s="58" t="n"/>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49" t="inlineStr">
        <is>
          <t>Module 3</t>
        </is>
      </c>
      <c r="B12" s="49" t="inlineStr">
        <is>
          <t>Day 1</t>
        </is>
      </c>
      <c r="C12" s="40" t="inlineStr">
        <is>
          <t>Spring 2026</t>
        </is>
      </c>
      <c r="D12" s="51" t="inlineStr">
        <is>
          <t>Kaiser</t>
        </is>
      </c>
      <c r="E12" s="55">
        <f>HYPERLINK("https://drive.google.com/file/d/1FBsNUnshlh4l-W3rNWVdSjbMPK53UmFM/view","▶  Watch")</f>
        <v/>
      </c>
      <c r="F12" s="51" t="inlineStr">
        <is>
          <t>NUR234 M3D1.mp4</t>
        </is>
      </c>
      <c r="G12" s="51" t="n"/>
    </row>
    <row r="13">
      <c r="A13" s="36" t="inlineStr">
        <is>
          <t>Module 3</t>
        </is>
      </c>
      <c r="B13" s="36" t="inlineStr">
        <is>
          <t>Day 2</t>
        </is>
      </c>
      <c r="C13" s="40" t="inlineStr">
        <is>
          <t>Spring 2026</t>
        </is>
      </c>
      <c r="D13" s="40" t="inlineStr">
        <is>
          <t>Kaiser</t>
        </is>
      </c>
      <c r="E13" s="48">
        <f>HYPERLINK("https://drive.google.com/file/d/1NN-2j7a6nheCGcHCHqUyBlAbHbGw_m4s/view","▶  Watch")</f>
        <v/>
      </c>
      <c r="F13" s="40" t="inlineStr">
        <is>
          <t>NUR234 M3D2.mp4</t>
        </is>
      </c>
      <c r="G13" s="40" t="n"/>
    </row>
    <row r="14">
      <c r="A14" s="49" t="inlineStr">
        <is>
          <t>Module 4</t>
        </is>
      </c>
      <c r="B14" s="49" t="inlineStr">
        <is>
          <t>Day 1</t>
        </is>
      </c>
      <c r="C14" s="40" t="inlineStr">
        <is>
          <t>Spring 2026</t>
        </is>
      </c>
      <c r="D14" s="51" t="inlineStr">
        <is>
          <t>Kaiser</t>
        </is>
      </c>
      <c r="E14" s="55">
        <f>HYPERLINK("https://drive.google.com/file/d/1vy0wZ5ijKEG57K1ibHH4ThIhHDTw_rt5/view","▶  Watch")</f>
        <v/>
      </c>
      <c r="F14" s="51" t="inlineStr">
        <is>
          <t>NUR234 M4D1.mp4</t>
        </is>
      </c>
      <c r="G14" s="51" t="n"/>
    </row>
    <row r="15">
      <c r="A15" s="36" t="inlineStr">
        <is>
          <t>Module 4</t>
        </is>
      </c>
      <c r="B15" s="36" t="inlineStr">
        <is>
          <t>Day 2</t>
        </is>
      </c>
      <c r="C15" s="40" t="inlineStr">
        <is>
          <t>Spring 2026</t>
        </is>
      </c>
      <c r="D15" s="40" t="inlineStr">
        <is>
          <t>Kaiser</t>
        </is>
      </c>
      <c r="E15" s="48">
        <f>HYPERLINK("https://drive.google.com/file/d/1rizN6FZCmazr35zFpzmy-m0cywYQ8w_6/view","▶  Watch")</f>
        <v/>
      </c>
      <c r="F15" s="40" t="inlineStr">
        <is>
          <t>NUR234 M4D2.mp4</t>
        </is>
      </c>
      <c r="G15" s="40" t="n"/>
    </row>
    <row r="16">
      <c r="A16" s="49" t="inlineStr">
        <is>
          <t>Module 5</t>
        </is>
      </c>
      <c r="B16" s="49" t="inlineStr">
        <is>
          <t>Day 1</t>
        </is>
      </c>
      <c r="C16" s="40" t="inlineStr">
        <is>
          <t>Spring 2026</t>
        </is>
      </c>
      <c r="D16" s="51" t="inlineStr">
        <is>
          <t>Kaiser</t>
        </is>
      </c>
      <c r="E16" s="55">
        <f>HYPERLINK("https://drive.google.com/file/d/1ypHWfABT1zSPWs_I_QvKnRKTbF7a5Y7I/view","▶  Watch")</f>
        <v/>
      </c>
      <c r="F16" s="51" t="inlineStr">
        <is>
          <t>NUR234 M5d1.mp4</t>
        </is>
      </c>
      <c r="G16" s="51" t="n"/>
    </row>
    <row r="17">
      <c r="A17" s="36" t="inlineStr">
        <is>
          <t>Module 5</t>
        </is>
      </c>
      <c r="B17" s="36" t="inlineStr">
        <is>
          <t>Day 2</t>
        </is>
      </c>
      <c r="C17" s="40" t="inlineStr">
        <is>
          <t>Spring 2026</t>
        </is>
      </c>
      <c r="D17" s="40" t="inlineStr">
        <is>
          <t>Kaiser</t>
        </is>
      </c>
      <c r="E17" s="48">
        <f>HYPERLINK("https://drive.google.com/file/d/1qDF2FexZhZu5L5cqrEi6WVHwZ2-S1cBp/view","▶  Watch")</f>
        <v/>
      </c>
      <c r="F17" s="40" t="inlineStr">
        <is>
          <t>NUR234 M5d2.mp4</t>
        </is>
      </c>
      <c r="G17" s="40" t="n"/>
    </row>
    <row r="18">
      <c r="A18" s="49" t="inlineStr">
        <is>
          <t>Module 6</t>
        </is>
      </c>
      <c r="B18" s="49" t="inlineStr">
        <is>
          <t>Day 1</t>
        </is>
      </c>
      <c r="C18" s="40" t="inlineStr">
        <is>
          <t>Spring 2026</t>
        </is>
      </c>
      <c r="D18" s="51" t="inlineStr">
        <is>
          <t>Kaiser</t>
        </is>
      </c>
      <c r="E18" s="55">
        <f>HYPERLINK("https://drive.google.com/file/d/1eG4tIMbxzIUTYlgc_SHD8twJNPRZh8CF/view","▶  Watch")</f>
        <v/>
      </c>
      <c r="F18" s="51" t="inlineStr">
        <is>
          <t>NUR234 M6d1.mp4</t>
        </is>
      </c>
      <c r="G18" s="51" t="n"/>
    </row>
    <row r="19">
      <c r="A19" s="36" t="inlineStr">
        <is>
          <t>Module 6</t>
        </is>
      </c>
      <c r="B19" s="36" t="inlineStr">
        <is>
          <t>Day 2</t>
        </is>
      </c>
      <c r="C19" s="40" t="inlineStr">
        <is>
          <t>Spring 2026</t>
        </is>
      </c>
      <c r="D19" s="40" t="inlineStr">
        <is>
          <t>Kaiser</t>
        </is>
      </c>
      <c r="E19" s="48">
        <f>HYPERLINK("https://drive.google.com/file/d/1fYIx3Eng0YHVpJs7xrgFvRD5j4Kf225D/view","▶  Watch")</f>
        <v/>
      </c>
      <c r="F19" s="40" t="inlineStr">
        <is>
          <t>NUR234 M6d2.mp4</t>
        </is>
      </c>
      <c r="G19" s="40" t="n"/>
    </row>
    <row r="20">
      <c r="A20" s="49" t="inlineStr">
        <is>
          <t>Module 7</t>
        </is>
      </c>
      <c r="B20" s="49" t="inlineStr">
        <is>
          <t>Day 1</t>
        </is>
      </c>
      <c r="C20" s="40" t="inlineStr">
        <is>
          <t>Spring 2026</t>
        </is>
      </c>
      <c r="D20" s="51" t="inlineStr">
        <is>
          <t>Kaiser</t>
        </is>
      </c>
      <c r="E20" s="55">
        <f>HYPERLINK("https://drive.google.com/file/d/114LZzONCBRZUWeE3_g8tfpMOmWZTn_B3/view","▶  Watch")</f>
        <v/>
      </c>
      <c r="F20" s="51" t="inlineStr">
        <is>
          <t>NUR234 M7d1.mp4</t>
        </is>
      </c>
      <c r="G20" s="51" t="n"/>
    </row>
    <row r="21" ht="15.75" customHeight="1" s="114">
      <c r="A21" s="36" t="inlineStr">
        <is>
          <t>Module 7</t>
        </is>
      </c>
      <c r="B21" s="36" t="inlineStr">
        <is>
          <t>Day 2</t>
        </is>
      </c>
      <c r="C21" s="40" t="inlineStr">
        <is>
          <t>Spring 2026</t>
        </is>
      </c>
      <c r="D21" s="40" t="inlineStr">
        <is>
          <t>Kaiser</t>
        </is>
      </c>
      <c r="E21" s="48">
        <f>HYPERLINK("https://drive.google.com/file/d/1gq2xvEUDy8TmFcK6gQepoJCr9GG3G0Ne/view","▶  Watch")</f>
        <v/>
      </c>
      <c r="F21" s="40" t="inlineStr">
        <is>
          <t>NUR234 M7d2.mp4</t>
        </is>
      </c>
      <c r="G21" s="40" t="n"/>
    </row>
    <row r="22" ht="15.75" customHeight="1" s="114">
      <c r="A22" s="49" t="inlineStr">
        <is>
          <t>Module 8</t>
        </is>
      </c>
      <c r="B22" s="49" t="inlineStr">
        <is>
          <t>Day 1</t>
        </is>
      </c>
      <c r="C22" s="40" t="inlineStr">
        <is>
          <t>Spring 2026</t>
        </is>
      </c>
      <c r="D22" s="51" t="inlineStr">
        <is>
          <t>Kaiser</t>
        </is>
      </c>
      <c r="E22" s="55">
        <f>HYPERLINK("https://drive.google.com/file/d/1CyyT2iUwn9hK8FH8kx-7n1ZZsrlj5Jxx/view?usp=drive_link","▶  Watch")</f>
        <v/>
      </c>
      <c r="F22" s="51" t="n"/>
      <c r="G22" s="51" t="n"/>
    </row>
    <row r="23" ht="15.75" customHeight="1" s="114">
      <c r="A23" s="49" t="inlineStr">
        <is>
          <t>Module 8</t>
        </is>
      </c>
      <c r="B23" s="49" t="inlineStr">
        <is>
          <t>Day 2</t>
        </is>
      </c>
      <c r="C23" s="40" t="inlineStr">
        <is>
          <t>Spring 2026</t>
        </is>
      </c>
      <c r="D23" s="51" t="inlineStr">
        <is>
          <t>Kaiser</t>
        </is>
      </c>
      <c r="E23" s="55">
        <f>HYPERLINK("https://drive.google.com/file/d/1IooFZSZA_lB5jNCR6Xic7enhbams239R/view?usp=drive_link","▶  Watch")</f>
        <v/>
      </c>
      <c r="F23" s="51" t="n"/>
      <c r="G23" s="51" t="n"/>
    </row>
    <row r="24" ht="15.75" customHeight="1" s="114">
      <c r="A24" s="49" t="inlineStr">
        <is>
          <t>Module 9</t>
        </is>
      </c>
      <c r="B24" s="49" t="inlineStr">
        <is>
          <t>Day 1</t>
        </is>
      </c>
      <c r="C24" s="40" t="inlineStr">
        <is>
          <t>Spring 2026</t>
        </is>
      </c>
      <c r="D24" s="51" t="inlineStr">
        <is>
          <t>Kaiser</t>
        </is>
      </c>
      <c r="E24" s="55">
        <f>HYPERLINK("https://drive.google.com/file/d/1PHu1Y0-LeptoeNuwhGqxFA10nvLuYDRn/view","▶  Watch")</f>
        <v/>
      </c>
      <c r="F24" s="51" t="inlineStr">
        <is>
          <t>NUR234 M9d1.mp4</t>
        </is>
      </c>
      <c r="G24" s="51" t="n"/>
    </row>
    <row r="25" ht="15.75" customHeight="1" s="114">
      <c r="A25" s="36" t="inlineStr">
        <is>
          <t>Module 9</t>
        </is>
      </c>
      <c r="B25" s="36" t="inlineStr">
        <is>
          <t>Day 2</t>
        </is>
      </c>
      <c r="C25" s="40" t="inlineStr">
        <is>
          <t>Spring 2026</t>
        </is>
      </c>
      <c r="D25" s="40" t="inlineStr">
        <is>
          <t>Kaiser</t>
        </is>
      </c>
      <c r="E25" s="48">
        <f>HYPERLINK("https://drive.google.com/file/d/1ztT_Xq_DZviGrXv_kqODzN0mdrAsvLGz/view","▶  Watch")</f>
        <v/>
      </c>
      <c r="F25" s="40" t="inlineStr">
        <is>
          <t>NUR234 M9d2.mp4</t>
        </is>
      </c>
      <c r="G25" s="40" t="n"/>
    </row>
    <row r="26" ht="15.75" customHeight="1" s="114">
      <c r="A26" s="49" t="inlineStr">
        <is>
          <t>Module 10</t>
        </is>
      </c>
      <c r="B26" s="49" t="inlineStr">
        <is>
          <t>Day 1</t>
        </is>
      </c>
      <c r="C26" s="40" t="inlineStr">
        <is>
          <t>Spring 2026</t>
        </is>
      </c>
      <c r="D26" s="51" t="inlineStr">
        <is>
          <t>Kaiser</t>
        </is>
      </c>
      <c r="E26" s="55">
        <f>HYPERLINK("https://drive.google.com/file/d/1aO52FeQSOyKWi1eae-uwq9kUR72kaCIh/view","▶  Watch")</f>
        <v/>
      </c>
      <c r="F26" s="51" t="inlineStr">
        <is>
          <t>NUR234 M10d1.mp4</t>
        </is>
      </c>
      <c r="G26" s="51" t="n"/>
    </row>
    <row r="27" ht="15.75" customHeight="1" s="114">
      <c r="A27" s="36" t="inlineStr">
        <is>
          <t>Module 10</t>
        </is>
      </c>
      <c r="B27" s="36" t="inlineStr">
        <is>
          <t>Day 2</t>
        </is>
      </c>
      <c r="C27" s="40" t="inlineStr">
        <is>
          <t>Spring 2026</t>
        </is>
      </c>
      <c r="D27" s="40" t="inlineStr">
        <is>
          <t>Kaiser</t>
        </is>
      </c>
      <c r="E27" s="48">
        <f>HYPERLINK("https://drive.google.com/file/d/1ZiJMzo4QipYed89-Vivr-c8vq60a2H6x/view","▶  Watch")</f>
        <v/>
      </c>
      <c r="F27" s="40" t="inlineStr">
        <is>
          <t>NUR234 M10d2.mp4</t>
        </is>
      </c>
      <c r="G27" s="40" t="n"/>
    </row>
    <row r="28" ht="15.75" customHeight="1" s="114">
      <c r="A28" s="49" t="inlineStr">
        <is>
          <t>Module 11</t>
        </is>
      </c>
      <c r="B28" s="49" t="inlineStr">
        <is>
          <t>Day 1</t>
        </is>
      </c>
      <c r="C28" s="40" t="inlineStr">
        <is>
          <t>Spring 2026</t>
        </is>
      </c>
      <c r="D28" s="51" t="inlineStr">
        <is>
          <t>Kaiser</t>
        </is>
      </c>
      <c r="E28" s="55">
        <f>HYPERLINK("https://drive.google.com/file/d/1uI7Bnu09YgneDcYKGm2t5FXwliTSsLAt/view","▶  Watch")</f>
        <v/>
      </c>
      <c r="F28" s="51" t="inlineStr">
        <is>
          <t>NUR234 M11d1.mp4</t>
        </is>
      </c>
      <c r="G28" s="51" t="n"/>
    </row>
    <row r="29" ht="15.75" customHeight="1" s="114">
      <c r="A29" s="36" t="inlineStr">
        <is>
          <t>Module 11</t>
        </is>
      </c>
      <c r="B29" s="36" t="inlineStr">
        <is>
          <t>Day 2</t>
        </is>
      </c>
      <c r="C29" s="40" t="inlineStr">
        <is>
          <t>Spring 2026</t>
        </is>
      </c>
      <c r="D29" s="40" t="inlineStr">
        <is>
          <t>Kaiser</t>
        </is>
      </c>
      <c r="E29" s="48">
        <f>HYPERLINK("https://drive.google.com/file/d/1J9BeWya6ezWD15zmUgnZUF3R2Qlm-hhm/view","▶  Watch")</f>
        <v/>
      </c>
      <c r="F29" s="40" t="inlineStr">
        <is>
          <t>NUR234 M11d2.mp4</t>
        </is>
      </c>
      <c r="G29" s="40" t="n"/>
    </row>
    <row r="30" ht="15.75" customHeight="1" s="114">
      <c r="A30" s="49" t="inlineStr">
        <is>
          <t>Module 12</t>
        </is>
      </c>
      <c r="B30" s="49" t="inlineStr">
        <is>
          <t>Day 1</t>
        </is>
      </c>
      <c r="C30" s="40" t="inlineStr">
        <is>
          <t>Spring 2026</t>
        </is>
      </c>
      <c r="D30" s="51" t="inlineStr">
        <is>
          <t>Kaiser</t>
        </is>
      </c>
      <c r="E30" s="55">
        <f>HYPERLINK("https://drive.google.com/file/d/1qcNw_OIsuyrFzVlLbAIgaGH_lb9RVNe0/view","▶  Watch")</f>
        <v/>
      </c>
      <c r="F30" s="51" t="inlineStr">
        <is>
          <t>NUR234 M12d1.mp4</t>
        </is>
      </c>
      <c r="G30" s="51" t="n"/>
    </row>
    <row r="31" ht="15.75" customHeight="1" s="114">
      <c r="A31" s="36" t="inlineStr">
        <is>
          <t>Module 12</t>
        </is>
      </c>
      <c r="B31" s="36" t="inlineStr">
        <is>
          <t>Day 2</t>
        </is>
      </c>
      <c r="C31" s="40" t="inlineStr">
        <is>
          <t>Spring 2026</t>
        </is>
      </c>
      <c r="D31" s="40" t="inlineStr">
        <is>
          <t>Kaiser</t>
        </is>
      </c>
      <c r="E31" s="48">
        <f>HYPERLINK("https://drive.google.com/file/d/1cu1ZuTYOyk2XjUeDljRL8sh--WKvu7J-/view","▶  Watch")</f>
        <v/>
      </c>
      <c r="F31" s="40" t="inlineStr">
        <is>
          <t>NUR234 M12d2.mp4</t>
        </is>
      </c>
      <c r="G31" s="40" t="n"/>
    </row>
    <row r="32" ht="15.75" customHeight="1" s="114">
      <c r="A32" s="49" t="inlineStr">
        <is>
          <t>Module 13</t>
        </is>
      </c>
      <c r="B32" s="49" t="inlineStr">
        <is>
          <t>Day 1</t>
        </is>
      </c>
      <c r="C32" s="40" t="inlineStr">
        <is>
          <t>Spring 2026</t>
        </is>
      </c>
      <c r="D32" s="51" t="inlineStr">
        <is>
          <t>Kaiser</t>
        </is>
      </c>
      <c r="E32" s="55">
        <f>HYPERLINK("https://drive.google.com/file/d/1HtFwGZg8qK_fQ8Tu9T7sHkXBWlLRVKaI/view","▶  Watch")</f>
        <v/>
      </c>
      <c r="F32" s="51" t="inlineStr">
        <is>
          <t>NUR234 M13D1.mp4</t>
        </is>
      </c>
      <c r="G32" s="51" t="n"/>
    </row>
    <row r="33" ht="15.75" customHeight="1" s="114">
      <c r="A33" s="36" t="inlineStr">
        <is>
          <t>Module 13</t>
        </is>
      </c>
      <c r="B33" s="36" t="inlineStr">
        <is>
          <t>Day 2</t>
        </is>
      </c>
      <c r="C33" s="40" t="inlineStr">
        <is>
          <t>Spring 2026</t>
        </is>
      </c>
      <c r="D33" s="40" t="inlineStr">
        <is>
          <t>Kaiser</t>
        </is>
      </c>
      <c r="E33" s="48">
        <f>HYPERLINK("https://drive.google.com/file/d/1SIAOBsm4zGlMHs4Z5BAy__E3gjkbf5yI/view","▶  Watch")</f>
        <v/>
      </c>
      <c r="F33" s="40" t="inlineStr">
        <is>
          <t>NUR234 M13D2.mp4</t>
        </is>
      </c>
      <c r="G33" s="40" t="n"/>
    </row>
    <row r="34" ht="15.75" customHeight="1" s="114">
      <c r="A34" s="36" t="inlineStr">
        <is>
          <t>Module 14</t>
        </is>
      </c>
      <c r="B34" s="36" t="inlineStr">
        <is>
          <t>Day 1</t>
        </is>
      </c>
      <c r="C34" s="40" t="inlineStr">
        <is>
          <t>Spring 2026</t>
        </is>
      </c>
      <c r="D34" s="40" t="inlineStr">
        <is>
          <t>Kaiser</t>
        </is>
      </c>
      <c r="E34" s="48">
        <f>HYPERLINK("https://drive.google.com/file/d/1IVUURpnc9Fvq64m_3K7sPNWRKkcmnfjK/view?usp=drive_link","▶  Watch")</f>
        <v/>
      </c>
      <c r="F34" s="40" t="n"/>
      <c r="G34" s="40" t="n"/>
    </row>
    <row r="35" ht="15.75" customHeight="1" s="114">
      <c r="A35" s="36" t="inlineStr">
        <is>
          <t>Module 14</t>
        </is>
      </c>
      <c r="B35" s="36" t="inlineStr">
        <is>
          <t>Day 2</t>
        </is>
      </c>
      <c r="C35" s="40" t="inlineStr">
        <is>
          <t>Spring 2026</t>
        </is>
      </c>
      <c r="D35" s="40" t="inlineStr">
        <is>
          <t>Kaiser</t>
        </is>
      </c>
      <c r="E35" s="48">
        <f>HYPERLINK("https://drive.google.com/file/d/12LFXOcOPwZ40P442l0KmmsbYb3MRnrff/view?usp=drive_link","▶  Watch")</f>
        <v/>
      </c>
      <c r="F35" s="40" t="n"/>
      <c r="G35" s="40"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 (1).mp4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51" t="inlineStr">
        <is>
          <t>Buhler</t>
        </is>
      </c>
      <c r="E16" s="59" t="n"/>
      <c r="F16" s="51" t="n"/>
      <c r="G16" s="51" t="n"/>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Fuller</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77" t="inlineStr">
        <is>
          <t>LSC exam prep</t>
        </is>
      </c>
      <c r="C3" s="22" t="inlineStr">
        <is>
          <t>Exams</t>
        </is>
      </c>
      <c r="D3" s="16" t="n"/>
      <c r="E3" s="25" t="n"/>
      <c r="F3" s="16" t="n"/>
      <c r="G3" s="16" t="inlineStr">
        <is>
          <t>Fuller runs one lecture a week in Fall 2026. The Spring 2026 Day 1 / Day 2 rows were filed under the wrong lecturer name and are merged in here.</t>
        </is>
      </c>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Spring 2026</t>
        </is>
      </c>
      <c r="D6" s="81" t="inlineStr">
        <is>
          <t>Fuller</t>
        </is>
      </c>
      <c r="E6" s="82">
        <f>HYPERLINK("https://drive.google.com/file/d/1pdrIxvRlTvmP6KratKznradt22HLDzo1/view","▶  Watch")</f>
        <v/>
      </c>
      <c r="F6" s="81" t="inlineStr">
        <is>
          <t>NUR235 M1d1.mp4</t>
        </is>
      </c>
      <c r="G6" s="81" t="n"/>
    </row>
    <row r="7">
      <c r="A7" s="83" t="inlineStr">
        <is>
          <t>Module 1</t>
        </is>
      </c>
      <c r="B7" s="83" t="inlineStr">
        <is>
          <t>Day 2</t>
        </is>
      </c>
      <c r="C7" s="81" t="inlineStr">
        <is>
          <t>Spring 2026</t>
        </is>
      </c>
      <c r="D7" s="84" t="inlineStr">
        <is>
          <t>Fuller</t>
        </is>
      </c>
      <c r="E7" s="85">
        <f>HYPERLINK("https://drive.google.com/file/d/16CuSniyXHzQ9ZFqCLcKE3p5Q4Q5oeyxS/view","▶  Watch")</f>
        <v/>
      </c>
      <c r="F7" s="84" t="inlineStr">
        <is>
          <t>NUR235 M1d2.mp4</t>
        </is>
      </c>
      <c r="G7" s="84" t="n"/>
    </row>
    <row r="8">
      <c r="A8" s="80" t="inlineStr">
        <is>
          <t>Module 1</t>
        </is>
      </c>
      <c r="B8" s="80" t="inlineStr">
        <is>
          <t>Weekly lecture</t>
        </is>
      </c>
      <c r="C8" s="81" t="inlineStr">
        <is>
          <t>Fall 2026</t>
        </is>
      </c>
      <c r="D8" s="81" t="inlineStr">
        <is>
          <t>Fuller</t>
        </is>
      </c>
      <c r="E8" s="82">
        <f>HYPERLINK("https://drive.google.com/file/d/1GlaHvD23YFvTD18u35eRDP7UPtDT4rzC/view","▶  Watch")</f>
        <v/>
      </c>
      <c r="F8" s="81" t="inlineStr">
        <is>
          <t>Fuller M1.mp4</t>
        </is>
      </c>
      <c r="G8" s="81" t="inlineStr">
        <is>
          <t>Intro to pediatric nursing. Also filed as NUR235_Fall2026_Fuller_Wk01 in the NUR 235 videos folder</t>
        </is>
      </c>
    </row>
    <row r="9">
      <c r="A9" s="80" t="inlineStr">
        <is>
          <t>Module 2</t>
        </is>
      </c>
      <c r="B9" s="80" t="inlineStr">
        <is>
          <t>Day 1</t>
        </is>
      </c>
      <c r="C9" s="81" t="inlineStr">
        <is>
          <t>Spring 2026</t>
        </is>
      </c>
      <c r="D9" s="81" t="inlineStr">
        <is>
          <t>Fuller</t>
        </is>
      </c>
      <c r="E9" s="82">
        <f>HYPERLINK("https://drive.google.com/file/d/1Q5517-Mrq2k7R3wP0PxYutd5G6FPN9cx/view","▶  Watch")</f>
        <v/>
      </c>
      <c r="F9" s="81" t="inlineStr">
        <is>
          <t>NUR235 M2d1.mp4</t>
        </is>
      </c>
      <c r="G9" s="86" t="n"/>
    </row>
    <row r="10">
      <c r="A10" s="83" t="inlineStr">
        <is>
          <t>Module 2</t>
        </is>
      </c>
      <c r="B10" s="83" t="inlineStr">
        <is>
          <t>Day 2</t>
        </is>
      </c>
      <c r="C10" s="81" t="inlineStr">
        <is>
          <t>Spring 2026</t>
        </is>
      </c>
      <c r="D10" s="84" t="inlineStr">
        <is>
          <t>Fuller</t>
        </is>
      </c>
      <c r="E10" s="85">
        <f>HYPERLINK("https://drive.google.com/file/d/1QGoHeK_bKBeYzZq4vorX8dX8ZWt03EUh/view","▶  Watch")</f>
        <v/>
      </c>
      <c r="F10" s="84" t="inlineStr">
        <is>
          <t>NUR235 M2d2.mp4</t>
        </is>
      </c>
      <c r="G10" s="84" t="n"/>
    </row>
    <row r="11">
      <c r="A11" s="83" t="inlineStr">
        <is>
          <t>Module 2</t>
        </is>
      </c>
      <c r="B11" s="83" t="inlineStr">
        <is>
          <t>Weekly lecture</t>
        </is>
      </c>
      <c r="C11" s="81" t="inlineStr">
        <is>
          <t>Fall 2026</t>
        </is>
      </c>
      <c r="D11" s="84" t="inlineStr">
        <is>
          <t>Fuller</t>
        </is>
      </c>
      <c r="E11" s="85">
        <f>HYPERLINK("https://drive.google.com/file/d/1LlXr19xnRaDRvh2CaY0NTa5m33OeLVNw/view","▶  Watch")</f>
        <v/>
      </c>
      <c r="F11" s="84" t="inlineStr">
        <is>
          <t>NUR235_Fall2026_Fuller_Wk02_DayNA_Week 2 Check-In.mp4</t>
        </is>
      </c>
      <c r="G11" s="84" t="inlineStr">
        <is>
          <t>Week 2 check-in. Replaces NUR235_Fall2026_Fuller_Wk02_DayNA_Week 2 Check-In.mp4, which was one of two Week 2 recordings swapped out. The Module 2 async recording "Nursing care of the infant" is on the Lectures page of the study hub.</t>
        </is>
      </c>
    </row>
    <row r="12">
      <c r="A12" s="80" t="inlineStr">
        <is>
          <t>Module 3</t>
        </is>
      </c>
      <c r="B12" s="80" t="inlineStr">
        <is>
          <t>Day 1</t>
        </is>
      </c>
      <c r="C12" s="81" t="inlineStr">
        <is>
          <t>Spring 2026</t>
        </is>
      </c>
      <c r="D12" s="81" t="inlineStr">
        <is>
          <t>Fuller</t>
        </is>
      </c>
      <c r="E12" s="82">
        <f>HYPERLINK("https://drive.google.com/file/d/14JFpgO_aAbyd7-U8h2MQg0daKpNZ76Zo/view","▶  Watch")</f>
        <v/>
      </c>
      <c r="F12" s="81" t="inlineStr">
        <is>
          <t>NUR235 M3d1.mp4</t>
        </is>
      </c>
      <c r="G12" s="81" t="n"/>
    </row>
    <row r="13">
      <c r="A13" s="83" t="inlineStr">
        <is>
          <t>Module 3</t>
        </is>
      </c>
      <c r="B13" s="83" t="inlineStr">
        <is>
          <t>Day 2</t>
        </is>
      </c>
      <c r="C13" s="81" t="inlineStr">
        <is>
          <t>Spring 2026</t>
        </is>
      </c>
      <c r="D13" s="84" t="inlineStr">
        <is>
          <t>Fuller</t>
        </is>
      </c>
      <c r="E13" s="85">
        <f>HYPERLINK("https://drive.google.com/file/d/1k1EZ2L6NQIZhAcEQWpdLBFOIhAzVUMuV/view","▶  Watch")</f>
        <v/>
      </c>
      <c r="F13" s="84" t="inlineStr">
        <is>
          <t>NUR235 M3d2.mp4</t>
        </is>
      </c>
      <c r="G13" s="84" t="n"/>
    </row>
    <row r="14">
      <c r="A14" s="80" t="inlineStr">
        <is>
          <t>Module 3</t>
        </is>
      </c>
      <c r="B14" s="83" t="inlineStr">
        <is>
          <t>Day 2</t>
        </is>
      </c>
      <c r="C14" s="81" t="inlineStr">
        <is>
          <t>Fall 2026</t>
        </is>
      </c>
      <c r="D14" s="81" t="inlineStr">
        <is>
          <t>Fuller</t>
        </is>
      </c>
      <c r="E14" s="85">
        <f>HYPERLINK("https://drive.google.com/file/d/1RjXD0xUWwGcmDpw7ZUi0zt7dieR3uJpd/view","▶  Watch")</f>
        <v/>
      </c>
      <c r="F14" s="84" t="inlineStr">
        <is>
          <t>NUR235_Fall2026_Fuller_Wk03_Day2_Nursing care of the toddler and preschooler.mp4</t>
        </is>
      </c>
      <c r="G14" s="84"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5">
      <c r="A15" s="80" t="inlineStr">
        <is>
          <t>Module 4</t>
        </is>
      </c>
      <c r="B15" s="80" t="inlineStr">
        <is>
          <t>Day 1</t>
        </is>
      </c>
      <c r="C15" s="81" t="inlineStr">
        <is>
          <t>Spring 2026</t>
        </is>
      </c>
      <c r="D15" s="81" t="inlineStr">
        <is>
          <t>Fuller</t>
        </is>
      </c>
      <c r="E15" s="82">
        <f>HYPERLINK("https://drive.google.com/file/d/1b5bege6Dfibd8Ep1josxjnccr0sqen9l/view","▶  Watch")</f>
        <v/>
      </c>
      <c r="F15" s="81" t="inlineStr">
        <is>
          <t>NUR235 M4d1.mp4</t>
        </is>
      </c>
      <c r="G15" s="81" t="n"/>
    </row>
    <row r="16">
      <c r="A16" s="83" t="inlineStr">
        <is>
          <t>Module 4</t>
        </is>
      </c>
      <c r="B16" s="83" t="inlineStr">
        <is>
          <t>Day 2</t>
        </is>
      </c>
      <c r="C16" s="81" t="inlineStr">
        <is>
          <t>Spring 2026</t>
        </is>
      </c>
      <c r="D16" s="84" t="inlineStr">
        <is>
          <t>Fuller</t>
        </is>
      </c>
      <c r="E16" s="85">
        <f>HYPERLINK("https://drive.google.com/file/d/1pbfj4UN1PY9frn9xIKc394A_wJkYLkgq/view","▶  Watch")</f>
        <v/>
      </c>
      <c r="F16" s="84" t="inlineStr">
        <is>
          <t>NUR235 M4d2.mp4</t>
        </is>
      </c>
      <c r="G16" s="84" t="n"/>
    </row>
    <row r="17">
      <c r="A17" s="80" t="inlineStr">
        <is>
          <t>Module 4</t>
        </is>
      </c>
      <c r="B17" s="80" t="inlineStr">
        <is>
          <t>Weekly lecture</t>
        </is>
      </c>
      <c r="C17" s="81" t="inlineStr">
        <is>
          <t>Fall 2026</t>
        </is>
      </c>
      <c r="D17" s="81" t="inlineStr">
        <is>
          <t>Fuller</t>
        </is>
      </c>
      <c r="E17" s="82" t="n"/>
      <c r="F17" s="81" t="n"/>
      <c r="G17" s="86" t="n"/>
    </row>
    <row r="18">
      <c r="A18" s="80" t="inlineStr">
        <is>
          <t>Module 5</t>
        </is>
      </c>
      <c r="B18" s="80" t="inlineStr">
        <is>
          <t>Day 1</t>
        </is>
      </c>
      <c r="C18" s="81" t="inlineStr">
        <is>
          <t>Spring 2026</t>
        </is>
      </c>
      <c r="D18" s="81" t="inlineStr">
        <is>
          <t>Fuller</t>
        </is>
      </c>
      <c r="E18" s="82">
        <f>HYPERLINK("https://drive.google.com/file/d/1kwB7srewINjZ8iX9yoFK8dBuH3_n41Qz/view","▶  Watch")</f>
        <v/>
      </c>
      <c r="F18" s="81" t="inlineStr">
        <is>
          <t>NUR235 M5d1.mp4</t>
        </is>
      </c>
      <c r="G18" s="81" t="n"/>
    </row>
    <row r="19">
      <c r="A19" s="83" t="inlineStr">
        <is>
          <t>Module 5</t>
        </is>
      </c>
      <c r="B19" s="83" t="inlineStr">
        <is>
          <t>Day 2</t>
        </is>
      </c>
      <c r="C19" s="81" t="inlineStr">
        <is>
          <t>Spring 2026</t>
        </is>
      </c>
      <c r="D19" s="84" t="inlineStr">
        <is>
          <t>Fuller</t>
        </is>
      </c>
      <c r="E19" s="85">
        <f>HYPERLINK("https://drive.google.com/file/d/1Gm7nRAm5aRuW3FfYXVDtq8acaYaeaadN/view","▶  Watch")</f>
        <v/>
      </c>
      <c r="F19" s="84" t="inlineStr">
        <is>
          <t>NUR235 M5d2.mp4</t>
        </is>
      </c>
      <c r="G19" s="84" t="n"/>
    </row>
    <row r="20">
      <c r="A20" s="83" t="inlineStr">
        <is>
          <t>Module 5</t>
        </is>
      </c>
      <c r="B20" s="83" t="inlineStr">
        <is>
          <t>Weekly lecture</t>
        </is>
      </c>
      <c r="C20" s="81" t="inlineStr">
        <is>
          <t>Fall 2026</t>
        </is>
      </c>
      <c r="D20" s="84" t="inlineStr">
        <is>
          <t>Fuller</t>
        </is>
      </c>
      <c r="E20" s="85" t="n"/>
      <c r="F20" s="84" t="n"/>
      <c r="G20" s="84" t="n"/>
    </row>
    <row r="21" ht="15.75" customHeight="1" s="114">
      <c r="A21" s="80" t="inlineStr">
        <is>
          <t>Module 6</t>
        </is>
      </c>
      <c r="B21" s="80" t="inlineStr">
        <is>
          <t>Day 1</t>
        </is>
      </c>
      <c r="C21" s="81" t="inlineStr">
        <is>
          <t>Spring 2026</t>
        </is>
      </c>
      <c r="D21" s="81" t="inlineStr">
        <is>
          <t>Fuller</t>
        </is>
      </c>
      <c r="E21" s="82">
        <f>HYPERLINK("https://drive.google.com/file/d/1oBOb2A9oL_AyWlu27fJovaWgvJ2uh8BP/view","▶  Watch")</f>
        <v/>
      </c>
      <c r="F21" s="81" t="inlineStr">
        <is>
          <t>NUR235 M6d1.mp4</t>
        </is>
      </c>
      <c r="G21" s="81" t="n"/>
    </row>
    <row r="22" ht="15.75" customHeight="1" s="114">
      <c r="A22" s="83" t="inlineStr">
        <is>
          <t>Module 6</t>
        </is>
      </c>
      <c r="B22" s="83" t="inlineStr">
        <is>
          <t>Day 2</t>
        </is>
      </c>
      <c r="C22" s="81" t="inlineStr">
        <is>
          <t>Spring 2026</t>
        </is>
      </c>
      <c r="D22" s="84" t="inlineStr">
        <is>
          <t>Fuller</t>
        </is>
      </c>
      <c r="E22" s="85">
        <f>HYPERLINK("https://drive.google.com/file/d/1-cj742kGJJpy4aS0qcDwSAPrgN9b-EBi/view","▶  Watch")</f>
        <v/>
      </c>
      <c r="F22" s="84" t="inlineStr">
        <is>
          <t>NUR235 M6d2.mp4</t>
        </is>
      </c>
      <c r="G22" s="84" t="n"/>
    </row>
    <row r="23" ht="15.75" customHeight="1" s="114">
      <c r="A23" s="83" t="inlineStr">
        <is>
          <t>Module 6</t>
        </is>
      </c>
      <c r="B23" s="83" t="inlineStr">
        <is>
          <t>Weekly lecture</t>
        </is>
      </c>
      <c r="C23" s="81" t="inlineStr">
        <is>
          <t>Fall 2026</t>
        </is>
      </c>
      <c r="D23" s="84" t="inlineStr">
        <is>
          <t>Fuller</t>
        </is>
      </c>
      <c r="E23" s="85" t="n"/>
      <c r="F23" s="84" t="n"/>
      <c r="G23" s="84" t="n"/>
    </row>
    <row r="24" ht="15.75" customHeight="1" s="114">
      <c r="A24" s="80" t="inlineStr">
        <is>
          <t>Module 7</t>
        </is>
      </c>
      <c r="B24" s="80" t="inlineStr">
        <is>
          <t>Day 1</t>
        </is>
      </c>
      <c r="C24" s="81" t="inlineStr">
        <is>
          <t>Spring 2026</t>
        </is>
      </c>
      <c r="D24" s="81" t="inlineStr">
        <is>
          <t>Fuller</t>
        </is>
      </c>
      <c r="E24" s="82">
        <f>HYPERLINK("https://drive.google.com/file/d/1qQMvemEiqmBOftgCnu0DbmTReiY9jQ6Z/view","▶  Watch")</f>
        <v/>
      </c>
      <c r="F24" s="81" t="inlineStr">
        <is>
          <t>NUR235 M7d1.mp4</t>
        </is>
      </c>
      <c r="G24" s="81" t="n"/>
    </row>
    <row r="25" ht="15.75" customHeight="1" s="114">
      <c r="A25" s="83" t="inlineStr">
        <is>
          <t>Module 7</t>
        </is>
      </c>
      <c r="B25" s="83" t="inlineStr">
        <is>
          <t>Day 2</t>
        </is>
      </c>
      <c r="C25" s="81" t="inlineStr">
        <is>
          <t>Spring 2026</t>
        </is>
      </c>
      <c r="D25" s="84" t="inlineStr">
        <is>
          <t>Fuller</t>
        </is>
      </c>
      <c r="E25" s="85">
        <f>HYPERLINK("https://drive.google.com/file/d/1MyPdbWpWRub7BfbX4l2laIuFgfTbkU1A/view","▶  Watch")</f>
        <v/>
      </c>
      <c r="F25" s="84" t="inlineStr">
        <is>
          <t>NUR235 M7d2.mp4</t>
        </is>
      </c>
      <c r="G25" s="84" t="n"/>
    </row>
    <row r="26" ht="15.75" customHeight="1" s="114">
      <c r="A26" s="80" t="inlineStr">
        <is>
          <t>Module 7</t>
        </is>
      </c>
      <c r="B26" s="80" t="inlineStr">
        <is>
          <t>Weekly lecture</t>
        </is>
      </c>
      <c r="C26" s="81" t="inlineStr">
        <is>
          <t>Fall 2026</t>
        </is>
      </c>
      <c r="D26" s="81" t="inlineStr">
        <is>
          <t>Fuller</t>
        </is>
      </c>
      <c r="E26" s="82" t="n"/>
      <c r="F26" s="81" t="n"/>
      <c r="G26" s="81" t="n"/>
    </row>
    <row r="27" ht="15.75" customHeight="1" s="114">
      <c r="A27" s="80" t="inlineStr">
        <is>
          <t>Module 8</t>
        </is>
      </c>
      <c r="B27" s="80" t="inlineStr">
        <is>
          <t>Day 1</t>
        </is>
      </c>
      <c r="C27" s="81" t="inlineStr">
        <is>
          <t>Spring 2026</t>
        </is>
      </c>
      <c r="D27" s="81" t="inlineStr">
        <is>
          <t>Fuller</t>
        </is>
      </c>
      <c r="E27" s="82">
        <f>HYPERLINK("https://drive.google.com/file/d/1r6A_uGiCKxkRitxZHuHmA6zLzKanD4ir/view","▶  Watch")</f>
        <v/>
      </c>
      <c r="F27" s="81" t="inlineStr">
        <is>
          <t>NUR235 M8d1.mp4</t>
        </is>
      </c>
      <c r="G27" s="81" t="n"/>
    </row>
    <row r="28" ht="15.75" customHeight="1" s="114">
      <c r="A28" s="83" t="inlineStr">
        <is>
          <t>Module 8</t>
        </is>
      </c>
      <c r="B28" s="83" t="inlineStr">
        <is>
          <t>Day 2</t>
        </is>
      </c>
      <c r="C28" s="81" t="inlineStr">
        <is>
          <t>Spring 2026</t>
        </is>
      </c>
      <c r="D28" s="84" t="inlineStr">
        <is>
          <t>Fuller</t>
        </is>
      </c>
      <c r="E28" s="85">
        <f>HYPERLINK("https://drive.google.com/file/d/1wg2iUowJw1j_3I6HhBUtsWiOp0nEpRfl/view","▶  Watch")</f>
        <v/>
      </c>
      <c r="F28" s="84" t="inlineStr">
        <is>
          <t>NUR235 M8d2.mp4</t>
        </is>
      </c>
      <c r="G28" s="84" t="n"/>
    </row>
    <row r="29" ht="15.75" customHeight="1" s="114">
      <c r="A29" s="83" t="inlineStr">
        <is>
          <t>Module 8</t>
        </is>
      </c>
      <c r="B29" s="83" t="inlineStr">
        <is>
          <t>Weekly lecture</t>
        </is>
      </c>
      <c r="C29" s="81" t="inlineStr">
        <is>
          <t>Fall 2026</t>
        </is>
      </c>
      <c r="D29" s="84" t="inlineStr">
        <is>
          <t>Fuller</t>
        </is>
      </c>
      <c r="E29" s="85" t="n"/>
      <c r="F29" s="84" t="n"/>
      <c r="G29" s="84" t="n"/>
    </row>
    <row r="30" ht="15.75" customHeight="1" s="114">
      <c r="A30" s="80" t="inlineStr">
        <is>
          <t>Module 9</t>
        </is>
      </c>
      <c r="B30" s="80" t="inlineStr">
        <is>
          <t>Day 1</t>
        </is>
      </c>
      <c r="C30" s="81" t="inlineStr">
        <is>
          <t>Spring 2026</t>
        </is>
      </c>
      <c r="D30" s="81" t="inlineStr">
        <is>
          <t>Fuller</t>
        </is>
      </c>
      <c r="E30" s="82">
        <f>HYPERLINK("https://drive.google.com/file/d/1tf4BrUHxHQhTZhu8Vf8l4IvIt1PjQvJw/view","▶  Watch")</f>
        <v/>
      </c>
      <c r="F30" s="81" t="inlineStr">
        <is>
          <t>NUR235 M9d1.mp4</t>
        </is>
      </c>
      <c r="G30" s="81" t="n"/>
    </row>
    <row r="31" ht="15.75" customHeight="1" s="114">
      <c r="A31" s="83" t="inlineStr">
        <is>
          <t>Module 9</t>
        </is>
      </c>
      <c r="B31" s="83" t="inlineStr">
        <is>
          <t>Day 2</t>
        </is>
      </c>
      <c r="C31" s="81" t="inlineStr">
        <is>
          <t>Spring 2026</t>
        </is>
      </c>
      <c r="D31" s="84" t="inlineStr">
        <is>
          <t>Fuller</t>
        </is>
      </c>
      <c r="E31" s="85">
        <f>HYPERLINK("https://drive.google.com/file/d/1_mWuyKEdd8H2uFXBB6wKuMxXVY_XWxKL/view","▶  Watch")</f>
        <v/>
      </c>
      <c r="F31" s="84" t="inlineStr">
        <is>
          <t>NUR235 M9d2.mp4</t>
        </is>
      </c>
      <c r="G31" s="84" t="n"/>
    </row>
    <row r="32" ht="15.75" customHeight="1" s="114">
      <c r="A32" s="80" t="inlineStr">
        <is>
          <t>Module 9</t>
        </is>
      </c>
      <c r="B32" s="80" t="inlineStr">
        <is>
          <t>Weekly lecture</t>
        </is>
      </c>
      <c r="C32" s="81" t="inlineStr">
        <is>
          <t>Fall 2026</t>
        </is>
      </c>
      <c r="D32" s="81" t="inlineStr">
        <is>
          <t>Fuller</t>
        </is>
      </c>
      <c r="E32" s="82" t="n"/>
      <c r="F32" s="81" t="n"/>
      <c r="G32" s="81" t="n"/>
    </row>
    <row r="33" ht="15.75" customHeight="1" s="114">
      <c r="A33" s="80" t="inlineStr">
        <is>
          <t>Module 10</t>
        </is>
      </c>
      <c r="B33" s="80" t="inlineStr">
        <is>
          <t>Day 1</t>
        </is>
      </c>
      <c r="C33" s="81" t="inlineStr">
        <is>
          <t>Spring 2026</t>
        </is>
      </c>
      <c r="D33" s="81" t="inlineStr">
        <is>
          <t>Fuller</t>
        </is>
      </c>
      <c r="E33" s="82">
        <f>HYPERLINK("https://drive.google.com/file/d/1qNKdQOx07nNIYi8b7Xa5Jq-WQHM1m9Dv/view","▶  Watch")</f>
        <v/>
      </c>
      <c r="F33" s="81" t="inlineStr">
        <is>
          <t>NUR235 M10d1.mp4</t>
        </is>
      </c>
      <c r="G33" s="81" t="n"/>
    </row>
    <row r="34" ht="15.75" customHeight="1" s="114">
      <c r="A34" s="83" t="inlineStr">
        <is>
          <t>Module 10</t>
        </is>
      </c>
      <c r="B34" s="83" t="inlineStr">
        <is>
          <t>Day 2</t>
        </is>
      </c>
      <c r="C34" s="81" t="inlineStr">
        <is>
          <t>Spring 2026</t>
        </is>
      </c>
      <c r="D34" s="84" t="inlineStr">
        <is>
          <t>Fuller</t>
        </is>
      </c>
      <c r="E34" s="85">
        <f>HYPERLINK("https://drive.google.com/file/d/1rp_QqODgVYxyyc0oRtgYWHDEw_WbZVXp/view","▶  Watch")</f>
        <v/>
      </c>
      <c r="F34" s="84" t="inlineStr">
        <is>
          <t>NUR235 M10d2.mp4</t>
        </is>
      </c>
      <c r="G34" s="84" t="n"/>
    </row>
    <row r="35" ht="15.75" customHeight="1" s="114">
      <c r="A35" s="80" t="inlineStr">
        <is>
          <t>Module 10</t>
        </is>
      </c>
      <c r="B35" s="80" t="inlineStr">
        <is>
          <t>Weekly lecture</t>
        </is>
      </c>
      <c r="C35" s="81" t="inlineStr">
        <is>
          <t>Fall 2026</t>
        </is>
      </c>
      <c r="D35" s="81" t="inlineStr">
        <is>
          <t>Fuller</t>
        </is>
      </c>
      <c r="E35" s="82" t="n"/>
      <c r="F35" s="81" t="n"/>
      <c r="G35" s="81" t="n"/>
    </row>
    <row r="36" ht="15.75" customHeight="1" s="114">
      <c r="A36" s="80" t="inlineStr">
        <is>
          <t>Module 11</t>
        </is>
      </c>
      <c r="B36" s="80" t="inlineStr">
        <is>
          <t>Day 1</t>
        </is>
      </c>
      <c r="C36" s="81" t="inlineStr">
        <is>
          <t>Spring 2026</t>
        </is>
      </c>
      <c r="D36" s="81" t="inlineStr">
        <is>
          <t>Fuller</t>
        </is>
      </c>
      <c r="E36" s="82">
        <f>HYPERLINK("https://drive.google.com/file/d/1nNvAV6DNOEi-TYkpk6W6YMbNMdhEThQG/view","▶  Watch")</f>
        <v/>
      </c>
      <c r="F36" s="81" t="inlineStr">
        <is>
          <t>NUR235 M11d1.mp4</t>
        </is>
      </c>
      <c r="G36" s="81" t="n"/>
    </row>
    <row r="37" ht="15.75" customHeight="1" s="114">
      <c r="A37" s="83" t="inlineStr">
        <is>
          <t>Module 11</t>
        </is>
      </c>
      <c r="B37" s="83" t="inlineStr">
        <is>
          <t>Day 2</t>
        </is>
      </c>
      <c r="C37" s="81" t="inlineStr">
        <is>
          <t>Spring 2026</t>
        </is>
      </c>
      <c r="D37" s="84" t="inlineStr">
        <is>
          <t>Fuller</t>
        </is>
      </c>
      <c r="E37" s="85">
        <f>HYPERLINK("https://drive.google.com/file/d/1EHnsY3ZF-i5_2B2iQwCfhMnBr9e57G4X/view","▶  Watch")</f>
        <v/>
      </c>
      <c r="F37" s="84" t="inlineStr">
        <is>
          <t>NUR235 M11d2.mp4</t>
        </is>
      </c>
      <c r="G37" s="84" t="n"/>
    </row>
    <row r="38" ht="15.75" customHeight="1" s="114">
      <c r="A38" s="83" t="inlineStr">
        <is>
          <t>Module 11</t>
        </is>
      </c>
      <c r="B38" s="83" t="inlineStr">
        <is>
          <t>Weekly lecture</t>
        </is>
      </c>
      <c r="C38" s="81" t="inlineStr">
        <is>
          <t>Fall 2026</t>
        </is>
      </c>
      <c r="D38" s="84" t="inlineStr">
        <is>
          <t>Fuller</t>
        </is>
      </c>
      <c r="E38" s="85" t="n"/>
      <c r="F38" s="84" t="n"/>
      <c r="G38" s="84" t="n"/>
    </row>
    <row r="39" ht="15.75" customHeight="1" s="114">
      <c r="A39" s="80" t="inlineStr">
        <is>
          <t>Module 12</t>
        </is>
      </c>
      <c r="B39" s="80" t="inlineStr">
        <is>
          <t>Day 1</t>
        </is>
      </c>
      <c r="C39" s="81" t="inlineStr">
        <is>
          <t>Spring 2026</t>
        </is>
      </c>
      <c r="D39" s="81" t="inlineStr">
        <is>
          <t>Fuller</t>
        </is>
      </c>
      <c r="E39" s="82">
        <f>HYPERLINK("https://drive.google.com/file/d/1AEBfWcK7bCeZpj11ndmTYUdt9P_0AiuP/view","▶  Watch")</f>
        <v/>
      </c>
      <c r="F39" s="81" t="inlineStr">
        <is>
          <t>NUR235 M12d1.mp4</t>
        </is>
      </c>
      <c r="G39" s="81" t="n"/>
    </row>
    <row r="40" ht="15.75" customHeight="1" s="114">
      <c r="A40" s="83" t="inlineStr">
        <is>
          <t>Module 12</t>
        </is>
      </c>
      <c r="B40" s="83" t="inlineStr">
        <is>
          <t>Day 2</t>
        </is>
      </c>
      <c r="C40" s="81" t="inlineStr">
        <is>
          <t>Spring 2026</t>
        </is>
      </c>
      <c r="D40" s="84" t="inlineStr">
        <is>
          <t>Fuller</t>
        </is>
      </c>
      <c r="E40" s="85">
        <f>HYPERLINK("https://drive.google.com/file/d/1gotI7xgoH5xvWNyZfCTLevKg4FZ29tDH/view","▶  Watch")</f>
        <v/>
      </c>
      <c r="F40" s="84" t="inlineStr">
        <is>
          <t>NUR235 M12d2.mp4</t>
        </is>
      </c>
      <c r="G40" s="84" t="n"/>
    </row>
    <row r="41" ht="15.75" customHeight="1" s="114">
      <c r="A41" s="80" t="inlineStr">
        <is>
          <t>Module 12</t>
        </is>
      </c>
      <c r="B41" s="80" t="inlineStr">
        <is>
          <t>Weekly lecture</t>
        </is>
      </c>
      <c r="C41" s="81" t="inlineStr">
        <is>
          <t>Fall 2026</t>
        </is>
      </c>
      <c r="D41" s="81" t="inlineStr">
        <is>
          <t>Fuller</t>
        </is>
      </c>
      <c r="E41" s="82" t="n"/>
      <c r="F41" s="81" t="n"/>
      <c r="G41" s="86" t="n"/>
    </row>
    <row r="42" ht="15.75" customHeight="1" s="114">
      <c r="A42" s="80" t="inlineStr">
        <is>
          <t>Module 13</t>
        </is>
      </c>
      <c r="B42" s="80" t="inlineStr">
        <is>
          <t>Day 1</t>
        </is>
      </c>
      <c r="C42" s="81" t="inlineStr">
        <is>
          <t>Spring 2026</t>
        </is>
      </c>
      <c r="D42" s="81" t="inlineStr">
        <is>
          <t>Fuller</t>
        </is>
      </c>
      <c r="E42" s="82">
        <f>HYPERLINK("https://drive.google.com/file/d/1rhpS77OIMEqr6sA63U0xa-HomMkKMa-V/view","▶  Watch")</f>
        <v/>
      </c>
      <c r="F42" s="81" t="inlineStr">
        <is>
          <t>NUR235 M13d1.mp4</t>
        </is>
      </c>
      <c r="G42" s="81" t="n"/>
    </row>
    <row r="43" ht="15.75" customHeight="1" s="114">
      <c r="A43" s="83" t="inlineStr">
        <is>
          <t>Module 13</t>
        </is>
      </c>
      <c r="B43" s="83" t="inlineStr">
        <is>
          <t>Day 2</t>
        </is>
      </c>
      <c r="C43" s="81" t="inlineStr">
        <is>
          <t>Spring 2026</t>
        </is>
      </c>
      <c r="D43" s="84" t="inlineStr">
        <is>
          <t>Fuller</t>
        </is>
      </c>
      <c r="E43" s="85">
        <f>HYPERLINK("https://drive.google.com/file/d/11NU0OBr1x-oT03jwejIFgD4mUQ7KhmtM/view","▶  Watch")</f>
        <v/>
      </c>
      <c r="F43" s="84" t="inlineStr">
        <is>
          <t>NUR235 M13d2.mp4</t>
        </is>
      </c>
      <c r="G43" s="84" t="n"/>
    </row>
    <row r="44" ht="15.75" customHeight="1" s="114">
      <c r="A44" s="80" t="inlineStr">
        <is>
          <t>Module 13</t>
        </is>
      </c>
      <c r="B44" s="80" t="inlineStr">
        <is>
          <t>Weekly lecture</t>
        </is>
      </c>
      <c r="C44" s="81" t="inlineStr">
        <is>
          <t>Fall 2026</t>
        </is>
      </c>
      <c r="D44" s="81" t="inlineStr">
        <is>
          <t>Fuller</t>
        </is>
      </c>
      <c r="E44" s="82" t="n"/>
      <c r="F44" s="81" t="n"/>
      <c r="G44" s="81" t="n"/>
    </row>
    <row r="45" ht="15.75" customHeight="1" s="114">
      <c r="A45" s="83" t="inlineStr">
        <is>
          <t>Module 14</t>
        </is>
      </c>
      <c r="B45" s="83" t="inlineStr">
        <is>
          <t>Day 1</t>
        </is>
      </c>
      <c r="C45" s="81" t="inlineStr">
        <is>
          <t>Spring 2026</t>
        </is>
      </c>
      <c r="D45" s="84" t="inlineStr">
        <is>
          <t>Fuller</t>
        </is>
      </c>
      <c r="E45" s="85">
        <f>HYPERLINK("https://drive.google.com/file/d/1Xd7riWCGJ-FYd7Jt2c7Q50Hz92ww5hpw/view","▶  Watch")</f>
        <v/>
      </c>
      <c r="F45" s="84" t="n"/>
      <c r="G45" s="84" t="n"/>
    </row>
    <row r="46" ht="15.75" customHeight="1" s="114">
      <c r="A46" s="83" t="inlineStr">
        <is>
          <t>Module 14</t>
        </is>
      </c>
      <c r="B46" s="83" t="inlineStr">
        <is>
          <t>Day 2</t>
        </is>
      </c>
      <c r="C46" s="81" t="inlineStr">
        <is>
          <t>Spring 2026</t>
        </is>
      </c>
      <c r="D46" s="84" t="inlineStr">
        <is>
          <t>Fuller</t>
        </is>
      </c>
      <c r="E46" s="84" t="n"/>
      <c r="F46" s="84" t="n"/>
      <c r="G46" s="84" t="n"/>
    </row>
    <row r="47" ht="15.75" customHeight="1" s="114">
      <c r="A47" s="83" t="inlineStr">
        <is>
          <t>Module 14</t>
        </is>
      </c>
      <c r="B47" s="83" t="inlineStr">
        <is>
          <t>Weekly lecture</t>
        </is>
      </c>
      <c r="C47" s="81" t="inlineStr">
        <is>
          <t>Fall 2026</t>
        </is>
      </c>
      <c r="D47" s="84" t="inlineStr">
        <is>
          <t>Fuller</t>
        </is>
      </c>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22" t="inlineStr">
        <is>
          <t>LSC exam prep</t>
        </is>
      </c>
      <c r="C3" s="77" t="inlineStr">
        <is>
          <t>Exams</t>
        </is>
      </c>
      <c r="D3" s="16" t="n"/>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Fuller</t>
        </is>
      </c>
      <c r="B3" s="22" t="inlineStr">
        <is>
          <t>LSC exam prep</t>
        </is>
      </c>
      <c r="C3" s="22" t="inlineStr">
        <is>
          <t>Exams</t>
        </is>
      </c>
      <c r="D3" s="5" t="n"/>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5" t="inlineStr">
        <is>
          <t>Week 5</t>
        </is>
      </c>
      <c r="B16" s="95" t="inlineStr">
        <is>
          <t>Day 1</t>
        </is>
      </c>
      <c r="C16" s="96" t="n"/>
      <c r="D16" s="96" t="inlineStr">
        <is>
          <t>Halecka</t>
        </is>
      </c>
      <c r="E16" s="97">
        <f>HYPERLINK("https://drive.google.com/file/d/1_VyUz4E-0B8mzqKzTJbzjFYLDpgENPJt/view","▶  Watch")</f>
        <v/>
      </c>
      <c r="F16" s="96" t="inlineStr">
        <is>
          <t>Halecka W5d1.mp4</t>
        </is>
      </c>
      <c r="G16" s="96" t="n"/>
    </row>
    <row r="17">
      <c r="A17" s="98" t="inlineStr">
        <is>
          <t>Week 5</t>
        </is>
      </c>
      <c r="B17" s="98" t="inlineStr">
        <is>
          <t>Day 2</t>
        </is>
      </c>
      <c r="C17" s="99" t="n"/>
      <c r="D17" s="99" t="inlineStr">
        <is>
          <t>Halecka</t>
        </is>
      </c>
      <c r="E17" s="100">
        <f>HYPERLINK("https://drive.google.com/file/d/1biuSi5a914MbS38zloMU6m57WXSiTQcS/view","▶  Watch")</f>
        <v/>
      </c>
      <c r="F17" s="99" t="inlineStr">
        <is>
          <t>Halecka W5d2.mp4</t>
        </is>
      </c>
      <c r="G17" s="99" t="n"/>
    </row>
    <row r="18">
      <c r="A18" s="95" t="inlineStr">
        <is>
          <t>Week 6</t>
        </is>
      </c>
      <c r="B18" s="95" t="inlineStr">
        <is>
          <t>Day 1</t>
        </is>
      </c>
      <c r="C18" s="96" t="n"/>
      <c r="D18" s="96" t="inlineStr">
        <is>
          <t>Halecka</t>
        </is>
      </c>
      <c r="E18" s="97">
        <f>HYPERLINK("https://drive.google.com/file/d/1N4A_VJbw2pfSuXHUDKJADPUa_i_Coj99/view","▶  Watch")</f>
        <v/>
      </c>
      <c r="F18" s="96" t="inlineStr">
        <is>
          <t>Halecka W6d1.mp4</t>
        </is>
      </c>
      <c r="G18" s="96" t="n"/>
    </row>
    <row r="19">
      <c r="A19" s="98" t="inlineStr">
        <is>
          <t>Week 6</t>
        </is>
      </c>
      <c r="B19" s="98" t="inlineStr">
        <is>
          <t>Day 2</t>
        </is>
      </c>
      <c r="C19" s="99" t="n"/>
      <c r="D19" s="99" t="inlineStr">
        <is>
          <t>Halecka</t>
        </is>
      </c>
      <c r="E19" s="100">
        <f>HYPERLINK("https://drive.google.com/file/d/1Co9ZVEXkP7XvnDHDk591bY_2TBco5nkb/view","▶  Watch")</f>
        <v/>
      </c>
      <c r="F19" s="99" t="inlineStr">
        <is>
          <t>Halecka W6d2.mp4</t>
        </is>
      </c>
      <c r="G19" s="99" t="n"/>
    </row>
    <row r="20">
      <c r="A20" s="95" t="inlineStr">
        <is>
          <t>Week 7</t>
        </is>
      </c>
      <c r="B20" s="95" t="inlineStr">
        <is>
          <t>Day 1</t>
        </is>
      </c>
      <c r="C20" s="96" t="n"/>
      <c r="D20" s="96" t="inlineStr">
        <is>
          <t>Halecka</t>
        </is>
      </c>
      <c r="E20" s="97">
        <f>HYPERLINK("https://drive.google.com/file/d/1L7ijGH3mp0GJ1IoHuV4JAdU99cq8Za8B/view","▶  Watch")</f>
        <v/>
      </c>
      <c r="F20" s="96" t="inlineStr">
        <is>
          <t>Halecka W7D1.mp4</t>
        </is>
      </c>
      <c r="G20" s="96" t="n"/>
    </row>
    <row r="21" ht="15.75" customHeight="1" s="114">
      <c r="A21" s="98" t="inlineStr">
        <is>
          <t>Week 7</t>
        </is>
      </c>
      <c r="B21" s="98" t="inlineStr">
        <is>
          <t>Day 2</t>
        </is>
      </c>
      <c r="C21" s="99" t="n"/>
      <c r="D21" s="99" t="inlineStr">
        <is>
          <t>Halecka</t>
        </is>
      </c>
      <c r="E21" s="100">
        <f>HYPERLINK("https://drive.google.com/file/d/1jwtY9AuiAQY8Odir88Y7iHajay988jZo/view","▶  Watch")</f>
        <v/>
      </c>
      <c r="F21" s="99" t="inlineStr">
        <is>
          <t>Halecka W7D2.mp4</t>
        </is>
      </c>
      <c r="G21" s="99" t="n"/>
    </row>
    <row r="22" ht="15.75" customHeight="1" s="114">
      <c r="A22" s="95" t="inlineStr">
        <is>
          <t>Week 8</t>
        </is>
      </c>
      <c r="B22" s="95" t="inlineStr">
        <is>
          <t>Day 1</t>
        </is>
      </c>
      <c r="C22" s="96" t="n"/>
      <c r="D22" s="96" t="inlineStr">
        <is>
          <t>Halecka</t>
        </is>
      </c>
      <c r="E22" s="97">
        <f>HYPERLINK("https://drive.google.com/file/d/1nJhuxvxXj5ORPnI8_aMnNFkD3BzQ368P/view","▶  Watch")</f>
        <v/>
      </c>
      <c r="F22" s="96" t="inlineStr">
        <is>
          <t>Halecka W8D1.mp4</t>
        </is>
      </c>
      <c r="G22" s="96" t="n"/>
    </row>
    <row r="23" ht="15.75" customHeight="1" s="114">
      <c r="A23" s="98" t="inlineStr">
        <is>
          <t>Week 8</t>
        </is>
      </c>
      <c r="B23" s="98" t="inlineStr">
        <is>
          <t>Day 2</t>
        </is>
      </c>
      <c r="C23" s="99" t="n"/>
      <c r="D23" s="99" t="inlineStr">
        <is>
          <t>Halecka</t>
        </is>
      </c>
      <c r="E23" s="100">
        <f>HYPERLINK("https://drive.google.com/file/d/1Z_ioeEJjFmq0TXZaGrsYRga7hfqLwfW8/view","▶  Watch")</f>
        <v/>
      </c>
      <c r="F23" s="99" t="inlineStr">
        <is>
          <t>Halecka W8D2.mp4</t>
        </is>
      </c>
      <c r="G23" s="99" t="n"/>
    </row>
    <row r="24" ht="15.75" customHeight="1" s="114">
      <c r="A24" s="95" t="inlineStr">
        <is>
          <t>Week 9</t>
        </is>
      </c>
      <c r="B24" s="95" t="inlineStr">
        <is>
          <t>Day 1</t>
        </is>
      </c>
      <c r="C24" s="96" t="n"/>
      <c r="D24" s="96" t="inlineStr">
        <is>
          <t>Halecka</t>
        </is>
      </c>
      <c r="E24" s="97">
        <f>HYPERLINK("https://drive.google.com/file/d/14DoxMb-Jl4KhSoqhubzcSXzzFDM1KiJe/view","▶  Watch")</f>
        <v/>
      </c>
      <c r="F24" s="96" t="inlineStr">
        <is>
          <t>Halecka W9D1.mp4</t>
        </is>
      </c>
      <c r="G24" s="96" t="n"/>
    </row>
    <row r="25" ht="15.75" customHeight="1" s="114">
      <c r="A25" s="98" t="inlineStr">
        <is>
          <t>Week 9</t>
        </is>
      </c>
      <c r="B25" s="98" t="inlineStr">
        <is>
          <t>Day 2</t>
        </is>
      </c>
      <c r="C25" s="99" t="n"/>
      <c r="D25" s="99" t="inlineStr">
        <is>
          <t>Halecka</t>
        </is>
      </c>
      <c r="E25" s="100">
        <f>HYPERLINK("https://drive.google.com/file/d/1MYhzhQmtnV3UFHR6ccvhANTss8KH_WAg/view","▶  Watch")</f>
        <v/>
      </c>
      <c r="F25" s="99" t="inlineStr">
        <is>
          <t>Halecka W9D2.mp4</t>
        </is>
      </c>
      <c r="G25" s="99" t="n"/>
    </row>
    <row r="26" ht="15.75" customHeight="1" s="114">
      <c r="A26" s="95" t="inlineStr">
        <is>
          <t>Week 10</t>
        </is>
      </c>
      <c r="B26" s="95" t="inlineStr">
        <is>
          <t>Day 1</t>
        </is>
      </c>
      <c r="C26" s="96" t="n"/>
      <c r="D26" s="96" t="inlineStr">
        <is>
          <t>Halecka</t>
        </is>
      </c>
      <c r="E26" s="97">
        <f>HYPERLINK("https://drive.google.com/file/d/1xxojEKWOl4VO6__6wBIZiEtCQtkFd8qv/view","▶  Watch")</f>
        <v/>
      </c>
      <c r="F26" s="96" t="inlineStr">
        <is>
          <t>Halecka W10D1.mp4</t>
        </is>
      </c>
      <c r="G26" s="96" t="n"/>
    </row>
    <row r="27" ht="15.75" customHeight="1" s="114">
      <c r="A27" s="98" t="inlineStr">
        <is>
          <t>Week 10</t>
        </is>
      </c>
      <c r="B27" s="98" t="inlineStr">
        <is>
          <t>Day 2</t>
        </is>
      </c>
      <c r="C27" s="99" t="n"/>
      <c r="D27" s="99" t="inlineStr">
        <is>
          <t>Halecka</t>
        </is>
      </c>
      <c r="E27" s="100">
        <f>HYPERLINK("https://drive.google.com/file/d/1_Mt6lPo2rgA2UTAFUk1QAThHBe_Jux1U/view","▶  Watch")</f>
        <v/>
      </c>
      <c r="F27" s="99" t="inlineStr">
        <is>
          <t>Halecka W10D2.mp4</t>
        </is>
      </c>
      <c r="G27" s="99" t="n"/>
    </row>
    <row r="28" ht="15.75" customHeight="1" s="114">
      <c r="A28" s="95" t="inlineStr">
        <is>
          <t>Week 11</t>
        </is>
      </c>
      <c r="B28" s="95" t="inlineStr">
        <is>
          <t>Day 1</t>
        </is>
      </c>
      <c r="C28" s="96" t="n"/>
      <c r="D28" s="96" t="inlineStr">
        <is>
          <t>Halecka</t>
        </is>
      </c>
      <c r="E28" s="97">
        <f>HYPERLINK("https://drive.google.com/file/d/1WfPT27PAQr_pC3rts6sSw6HaZO2Nh1mj/view","▶  Watch")</f>
        <v/>
      </c>
      <c r="F28" s="96" t="inlineStr">
        <is>
          <t>Halecka W11D1.mp4</t>
        </is>
      </c>
      <c r="G28" s="96" t="n"/>
    </row>
    <row r="29" ht="15.75" customHeight="1" s="114">
      <c r="A29" s="98" t="inlineStr">
        <is>
          <t>Week 11</t>
        </is>
      </c>
      <c r="B29" s="98" t="inlineStr">
        <is>
          <t>Day 2</t>
        </is>
      </c>
      <c r="C29" s="99" t="n"/>
      <c r="D29" s="99" t="inlineStr">
        <is>
          <t>Halecka</t>
        </is>
      </c>
      <c r="E29" s="100">
        <f>HYPERLINK("https://drive.google.com/file/d/1oldJm9iNLhtPjuLYKgRp3JRSL3VLEThG/view","▶  Watch")</f>
        <v/>
      </c>
      <c r="F29" s="99" t="inlineStr">
        <is>
          <t>Halecka W11D2.mp4</t>
        </is>
      </c>
      <c r="G29" s="99" t="n"/>
    </row>
    <row r="30" ht="15.75" customHeight="1" s="114">
      <c r="A30" s="95" t="inlineStr">
        <is>
          <t>Week 12</t>
        </is>
      </c>
      <c r="B30" s="95" t="inlineStr">
        <is>
          <t>Day 1</t>
        </is>
      </c>
      <c r="C30" s="96" t="n"/>
      <c r="D30" s="96" t="inlineStr">
        <is>
          <t>Halecka</t>
        </is>
      </c>
      <c r="E30" s="97">
        <f>HYPERLINK("https://drive.google.com/file/d/19ZrcWgDP34L_aYDnmQTwVsqD3T8NxVNk/view","▶  Watch")</f>
        <v/>
      </c>
      <c r="F30" s="96" t="inlineStr">
        <is>
          <t>Halecka W12D1.mp4</t>
        </is>
      </c>
      <c r="G30" s="96" t="n"/>
    </row>
    <row r="31" ht="15.75" customHeight="1" s="114">
      <c r="A31" s="98" t="inlineStr">
        <is>
          <t>Week 12</t>
        </is>
      </c>
      <c r="B31" s="98" t="inlineStr">
        <is>
          <t>Day 2</t>
        </is>
      </c>
      <c r="C31" s="99" t="n"/>
      <c r="D31" s="99" t="inlineStr">
        <is>
          <t>Halecka</t>
        </is>
      </c>
      <c r="E31" s="100">
        <f>HYPERLINK("https://drive.google.com/file/d/1xP-bxF04ILbD1qvSbe8WFVsH5nB0yWXr/view","▶  Watch")</f>
        <v/>
      </c>
      <c r="F31" s="99" t="inlineStr">
        <is>
          <t>Halecka W12D2.mp4</t>
        </is>
      </c>
      <c r="G31" s="99" t="n"/>
    </row>
    <row r="32" ht="15.75" customHeight="1" s="114">
      <c r="A32" s="95" t="inlineStr">
        <is>
          <t>Week 13</t>
        </is>
      </c>
      <c r="B32" s="95" t="inlineStr">
        <is>
          <t>Day 1</t>
        </is>
      </c>
      <c r="C32" s="96" t="n"/>
      <c r="D32" s="96" t="inlineStr">
        <is>
          <t>Halecka</t>
        </is>
      </c>
      <c r="E32" s="97">
        <f>HYPERLINK("https://drive.google.com/file/d/1dmJCDM5IPNYi_xRR4fIWAth_Vd0Nj4Mv/view","▶  Watch")</f>
        <v/>
      </c>
      <c r="F32" s="96" t="inlineStr">
        <is>
          <t>Halecka W13D1.mp4</t>
        </is>
      </c>
      <c r="G32" s="96" t="n"/>
    </row>
    <row r="33" ht="15.75" customHeight="1" s="114">
      <c r="A33" s="98" t="inlineStr">
        <is>
          <t>Week 13</t>
        </is>
      </c>
      <c r="B33" s="98" t="inlineStr">
        <is>
          <t>Day 2</t>
        </is>
      </c>
      <c r="C33" s="99" t="n"/>
      <c r="D33" s="99" t="inlineStr">
        <is>
          <t>Halecka</t>
        </is>
      </c>
      <c r="E33" s="100">
        <f>HYPERLINK("https://drive.google.com/file/d/1Qokym4aSlBm2IqqVUcu-uQ5towdH6Ftb/view","▶  Watch")</f>
        <v/>
      </c>
      <c r="F33" s="99" t="inlineStr">
        <is>
          <t>Halecka W13D2.mp4</t>
        </is>
      </c>
      <c r="G33" s="99" t="n"/>
    </row>
    <row r="34" ht="15.75" customHeight="1" s="114">
      <c r="A34" s="95" t="inlineStr">
        <is>
          <t>Week 14</t>
        </is>
      </c>
      <c r="B34" s="95" t="inlineStr">
        <is>
          <t>Day 1</t>
        </is>
      </c>
      <c r="C34" s="96" t="n"/>
      <c r="D34" s="96" t="inlineStr">
        <is>
          <t>Halecka</t>
        </is>
      </c>
      <c r="E34" s="97">
        <f>HYPERLINK("https://drive.google.com/file/d/1a1q2htiGkSbDtVr7xa10OLL1pV6dvzBx/view","▶  Watch")</f>
        <v/>
      </c>
      <c r="F34" s="96" t="inlineStr">
        <is>
          <t>Halecka W14D1.mp4</t>
        </is>
      </c>
      <c r="G34" s="96" t="n"/>
    </row>
    <row r="35" ht="15.75" customHeight="1" s="114">
      <c r="A35" s="98" t="inlineStr">
        <is>
          <t>Week 14</t>
        </is>
      </c>
      <c r="B35" s="98" t="inlineStr">
        <is>
          <t>Day 2</t>
        </is>
      </c>
      <c r="C35" s="99" t="n"/>
      <c r="D35" s="99" t="inlineStr">
        <is>
          <t>Halecka</t>
        </is>
      </c>
      <c r="E35" s="100">
        <f>HYPERLINK("https://drive.google.com/file/d/1CSwQrZ9FscsqFYe5J0oishTCN8pV6W6I/view","▶  Watch")</f>
        <v/>
      </c>
      <c r="F35" s="99" t="inlineStr">
        <is>
          <t>Halecka W14D2.mp4</t>
        </is>
      </c>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2026-10-03T11:45:24Z</dcterms:modified>
</cp:coreProperties>
</file>