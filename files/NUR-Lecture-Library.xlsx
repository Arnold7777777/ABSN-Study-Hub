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1EED4AF1_422B_4D25_A5AA_A6C0E6C2F010_.wvu.FilterData" localSheetId="16" hidden="1">'NUR198 Videos'!$A$5:$G$96</definedName>
    <definedName name="_xlnm._FilterDatabase" localSheetId="16" hidden="1">'NUR198 Videos'!$A$5:$G$96</definedName>
    <definedName name="Z_F38E54E0_9615_460C_A6A8_6C8A5590FCE1_.wvu.FilterData" localSheetId="17" hidden="1">'NUR175 Videos'!$A$5:$G$52</definedName>
    <definedName name="_xlnm._FilterDatabase" localSheetId="17" hidden="1">'NUR175 Videos'!$A$5:$G$52</definedName>
    <definedName name="Z_709897F2_1E97_451A_9785_36A72D0F17B8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70">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2"/>
      <u val="single"/>
    </font>
    <font>
      <name val="Arial"/>
      <b val="1"/>
      <color rgb="FF1155CC"/>
      <sz val="11"/>
      <u val="single"/>
    </font>
    <font>
      <name val="Arial"/>
      <color theme="1"/>
      <sz val="11"/>
    </font>
    <font>
      <name val="Arial"/>
      <b val="1"/>
      <color rgb="FF1155CC"/>
      <sz val="11"/>
      <u val="single"/>
    </font>
    <font>
      <name val="Arial"/>
      <b val="1"/>
      <color rgb="FF404040"/>
      <sz val="11"/>
    </font>
    <font>
      <name val="Arial"/>
      <color rgb="FF1155CC"/>
      <sz val="11"/>
      <u val="single"/>
    </font>
    <font>
      <name val="Arial"/>
      <b val="1"/>
      <color rgb="FFFFFFFF"/>
      <sz val="11"/>
      <u val="single"/>
    </font>
    <font>
      <name val="Arial"/>
      <b val="1"/>
      <color rgb="FFFFFFFF"/>
      <sz val="11"/>
      <u val="single"/>
    </font>
    <font>
      <name val="Arial"/>
      <b val="1"/>
      <color rgb="FFFFFFFF"/>
      <sz val="12"/>
      <u val="single"/>
    </font>
    <font>
      <name val="Arial"/>
      <i val="1"/>
      <color rgb="FF333333"/>
      <sz val="11"/>
    </font>
    <font>
      <name val="Arial"/>
      <b val="1"/>
      <color rgb="FFFFFFFF"/>
      <sz val="12"/>
      <u val="single"/>
    </font>
    <font>
      <name val="Arial"/>
      <color rgb="FF1155CC"/>
      <sz val="11"/>
      <u val="single"/>
    </font>
    <font>
      <name val="Arial"/>
      <b val="1"/>
      <color rgb="FFFFFFFF"/>
      <sz val="11"/>
    </font>
    <font>
      <name val="Arial"/>
      <b val="1"/>
      <color rgb="FFFFFFFF"/>
      <sz val="12"/>
      <u val="single"/>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rgb="FFFFFFFF"/>
      <sz val="11"/>
      <u val="single"/>
    </font>
    <font>
      <name val="Arial"/>
      <color theme="0"/>
      <sz val="11"/>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Arial"/>
      <b val="1"/>
      <color rgb="FFFFFFFF"/>
      <sz val="11"/>
      <u val="single"/>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2"/>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Calibri"/>
      <color rgb="FFFFFFFF"/>
      <sz val="11"/>
    </font>
  </fonts>
  <fills count="49">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EDEDED"/>
        <bgColor rgb="FFEDEDED"/>
      </patternFill>
    </fill>
    <fill>
      <patternFill patternType="solid">
        <fgColor rgb="FF8A6D1F"/>
        <bgColor rgb="FF8A6D1F"/>
      </patternFill>
    </fill>
    <fill>
      <patternFill patternType="solid">
        <fgColor rgb="FF24406B"/>
        <bgColor rgb="FF24406B"/>
      </patternFill>
    </fill>
    <fill>
      <patternFill patternType="solid">
        <fgColor rgb="FF0C5439"/>
        <bgColor rgb="FF0C5439"/>
      </patternFill>
    </fill>
    <fill>
      <patternFill patternType="solid">
        <fgColor rgb="FF3B2A6E"/>
        <bgColor rgb="FF3B2A6E"/>
      </patternFill>
    </fill>
    <fill>
      <patternFill patternType="solid">
        <fgColor rgb="FF31859B"/>
        <bgColor rgb="FF31859B"/>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2E4A1E"/>
        <bgColor rgb="FF2E4A1E"/>
      </patternFill>
    </fill>
    <fill>
      <patternFill patternType="solid">
        <fgColor rgb="FF06301F"/>
      </patternFill>
    </fill>
    <fill>
      <patternFill patternType="solid">
        <fgColor rgb="FF0C5439"/>
      </patternFill>
    </fill>
    <fill>
      <patternFill patternType="solid">
        <fgColor rgb="FF1E1538"/>
      </patternFill>
    </fill>
    <fill>
      <patternFill patternType="solid">
        <fgColor rgb="FF3B2A6E"/>
      </patternFill>
    </fill>
    <fill>
      <patternFill patternType="solid">
        <fgColor rgb="FF123C47"/>
      </patternFill>
    </fill>
    <fill>
      <patternFill patternType="solid">
        <fgColor rgb="FF276B7D"/>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0A4630"/>
      </patternFill>
    </fill>
    <fill>
      <patternFill patternType="solid">
        <fgColor rgb="FF4A3A85"/>
      </patternFill>
    </fill>
    <fill>
      <patternFill patternType="solid">
        <f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right style="thin">
        <color rgb="FFFFFFFF"/>
      </right>
      <bottom style="thin">
        <color rgb="FFFFFFFF"/>
      </bottom>
    </border>
    <border>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6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1" fillId="4" borderId="1" applyAlignment="1" pivotButton="0" quotePrefix="0" xfId="0">
      <alignment horizontal="left" vertical="center"/>
    </xf>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5" borderId="5" applyAlignment="1" pivotButton="0" quotePrefix="0" xfId="0">
      <alignment horizontal="center" vertical="center"/>
    </xf>
    <xf numFmtId="0" fontId="9" fillId="7" borderId="4" applyAlignment="1" pivotButton="0" quotePrefix="0" xfId="0">
      <alignment horizontal="center" vertical="center"/>
    </xf>
    <xf numFmtId="0" fontId="10" fillId="6" borderId="5" applyAlignment="1" pivotButton="0" quotePrefix="0" xfId="0">
      <alignment horizontal="center" vertical="center"/>
    </xf>
    <xf numFmtId="0" fontId="11" fillId="6" borderId="5" applyAlignment="1" pivotButton="0" quotePrefix="0" xfId="0">
      <alignment horizontal="center" vertical="center"/>
    </xf>
    <xf numFmtId="0" fontId="12" fillId="8" borderId="4" applyAlignment="1" pivotButton="0" quotePrefix="0" xfId="0">
      <alignment horizontal="center" vertical="center"/>
    </xf>
    <xf numFmtId="0" fontId="13" fillId="6" borderId="6" applyAlignment="1" pivotButton="0" quotePrefix="0" xfId="0">
      <alignment horizontal="center" vertical="center"/>
    </xf>
    <xf numFmtId="0" fontId="14" fillId="0" borderId="0" pivotButton="0" quotePrefix="0" xfId="0"/>
    <xf numFmtId="0" fontId="15" fillId="6" borderId="4" applyAlignment="1" pivotButton="0" quotePrefix="0" xfId="0">
      <alignment horizontal="center" vertical="center"/>
    </xf>
    <xf numFmtId="0" fontId="16" fillId="6" borderId="4" applyAlignment="1" pivotButton="0" quotePrefix="0" xfId="0">
      <alignment horizontal="center" vertical="center"/>
    </xf>
    <xf numFmtId="0" fontId="17" fillId="9" borderId="7" applyAlignment="1" pivotButton="0" quotePrefix="0" xfId="0">
      <alignment horizontal="center" vertical="center"/>
    </xf>
    <xf numFmtId="0" fontId="18" fillId="10" borderId="6" applyAlignment="1" pivotButton="0" quotePrefix="0" xfId="0">
      <alignment horizontal="center" vertical="center"/>
    </xf>
    <xf numFmtId="0" fontId="19" fillId="11" borderId="7" applyAlignment="1" pivotButton="0" quotePrefix="0" xfId="0">
      <alignment horizontal="center" vertical="center"/>
    </xf>
    <xf numFmtId="0" fontId="20" fillId="12" borderId="4" applyAlignment="1" pivotButton="0" quotePrefix="0" xfId="0">
      <alignment horizontal="center" vertical="center"/>
    </xf>
    <xf numFmtId="0" fontId="21" fillId="0" borderId="8" applyAlignment="1" pivotButton="0" quotePrefix="0" xfId="0">
      <alignment vertical="center" wrapText="1"/>
    </xf>
    <xf numFmtId="0" fontId="3" fillId="0" borderId="9" pivotButton="0" quotePrefix="0" xfId="0"/>
    <xf numFmtId="0" fontId="3" fillId="0" borderId="10" pivotButton="0" quotePrefix="0" xfId="0"/>
    <xf numFmtId="0" fontId="22" fillId="13" borderId="4" applyAlignment="1" pivotButton="0" quotePrefix="0" xfId="0">
      <alignment horizontal="center" vertical="center"/>
    </xf>
    <xf numFmtId="0" fontId="23" fillId="9" borderId="6" applyAlignment="1" pivotButton="0" quotePrefix="0" xfId="0">
      <alignment horizontal="center" vertical="center"/>
    </xf>
    <xf numFmtId="0" fontId="24" fillId="2" borderId="4" applyAlignment="1" pivotButton="0" quotePrefix="0" xfId="0">
      <alignment horizontal="center" vertical="center"/>
    </xf>
    <xf numFmtId="0" fontId="25" fillId="14" borderId="4" applyAlignment="1" pivotButton="0" quotePrefix="0" xfId="0">
      <alignment horizontal="center" vertical="center"/>
    </xf>
    <xf numFmtId="0" fontId="24" fillId="2" borderId="4" applyAlignment="1" pivotButton="0" quotePrefix="0" xfId="0">
      <alignment horizontal="left" vertical="center"/>
    </xf>
    <xf numFmtId="0" fontId="26" fillId="15" borderId="4" applyAlignment="1" pivotButton="0" quotePrefix="0" xfId="0">
      <alignment horizontal="center" vertical="center"/>
    </xf>
    <xf numFmtId="0" fontId="26" fillId="15" borderId="4" applyAlignment="1" pivotButton="0" quotePrefix="0" xfId="0">
      <alignment horizontal="left" vertical="center"/>
    </xf>
    <xf numFmtId="0" fontId="24" fillId="15" borderId="4" applyAlignment="1" pivotButton="0" quotePrefix="0" xfId="0">
      <alignment horizontal="left" vertical="center"/>
    </xf>
    <xf numFmtId="0" fontId="27" fillId="4" borderId="1" applyAlignment="1" pivotButton="0" quotePrefix="0" xfId="0">
      <alignment horizontal="left" vertical="center"/>
    </xf>
    <xf numFmtId="0" fontId="26" fillId="15" borderId="4" applyAlignment="1" pivotButton="0" quotePrefix="0" xfId="0">
      <alignment horizontal="left" vertical="center" wrapText="1"/>
    </xf>
    <xf numFmtId="0" fontId="28" fillId="15" borderId="4" applyAlignment="1" pivotButton="0" quotePrefix="0" xfId="0">
      <alignment horizontal="left" vertical="center"/>
    </xf>
    <xf numFmtId="0" fontId="29" fillId="11" borderId="6" applyAlignment="1" pivotButton="0" quotePrefix="0" xfId="0">
      <alignment horizontal="left" vertical="center"/>
    </xf>
    <xf numFmtId="0" fontId="26" fillId="15" borderId="4" applyAlignment="1" pivotButton="0" quotePrefix="0" xfId="0">
      <alignment vertical="center" wrapText="1"/>
    </xf>
    <xf numFmtId="0" fontId="14" fillId="11" borderId="6" pivotButton="0" quotePrefix="0" xfId="0"/>
    <xf numFmtId="0" fontId="26" fillId="16" borderId="4" applyAlignment="1" pivotButton="0" quotePrefix="0" xfId="0">
      <alignment horizontal="center" vertical="center"/>
    </xf>
    <xf numFmtId="0" fontId="26" fillId="16" borderId="4" applyAlignment="1" pivotButton="0" quotePrefix="0" xfId="0">
      <alignment horizontal="left" vertical="center"/>
    </xf>
    <xf numFmtId="0" fontId="30" fillId="16" borderId="4" applyAlignment="1" pivotButton="0" quotePrefix="0" xfId="0">
      <alignment horizontal="left" vertical="center"/>
    </xf>
    <xf numFmtId="49" fontId="24" fillId="4" borderId="4" applyAlignment="1" pivotButton="0" quotePrefix="0" xfId="0">
      <alignment horizontal="center" vertical="center" wrapText="1"/>
    </xf>
    <xf numFmtId="0" fontId="26" fillId="16" borderId="4" applyAlignment="1" pivotButton="0" quotePrefix="0" xfId="0">
      <alignment vertical="center" wrapText="1"/>
    </xf>
    <xf numFmtId="0" fontId="26" fillId="16" borderId="4" applyAlignment="1" pivotButton="0" quotePrefix="0" xfId="0">
      <alignment horizontal="left" vertical="center" wrapText="1"/>
    </xf>
    <xf numFmtId="0" fontId="31" fillId="11" borderId="4" applyAlignment="1" pivotButton="0" quotePrefix="0" xfId="0">
      <alignment horizontal="center" vertical="center"/>
    </xf>
    <xf numFmtId="0" fontId="31" fillId="11" borderId="4" applyAlignment="1" pivotButton="0" quotePrefix="0" xfId="0">
      <alignment horizontal="left" vertical="center"/>
    </xf>
    <xf numFmtId="0" fontId="26" fillId="17" borderId="4" applyAlignment="1" pivotButton="0" quotePrefix="0" xfId="0">
      <alignment horizontal="center" vertical="center"/>
    </xf>
    <xf numFmtId="0" fontId="26" fillId="17" borderId="4" applyAlignment="1" pivotButton="0" quotePrefix="0" xfId="0">
      <alignment horizontal="left" vertical="center"/>
    </xf>
    <xf numFmtId="0" fontId="32" fillId="18" borderId="4" applyAlignment="1" pivotButton="0" quotePrefix="0" xfId="0">
      <alignment horizontal="left" vertical="center"/>
    </xf>
    <xf numFmtId="0" fontId="31" fillId="18" borderId="4" applyAlignment="1" pivotButton="0" quotePrefix="0" xfId="0">
      <alignment horizontal="left" vertical="center"/>
    </xf>
    <xf numFmtId="0" fontId="26" fillId="11" borderId="4" applyAlignment="1" pivotButton="0" quotePrefix="0" xfId="0">
      <alignment horizontal="center" vertical="center"/>
    </xf>
    <xf numFmtId="0" fontId="26" fillId="11" borderId="4" applyAlignment="1" pivotButton="0" quotePrefix="0" xfId="0">
      <alignment horizontal="left" vertical="center"/>
    </xf>
    <xf numFmtId="0" fontId="33" fillId="11" borderId="4" applyAlignment="1" pivotButton="0" quotePrefix="0" xfId="0">
      <alignment horizontal="left" vertical="center"/>
    </xf>
    <xf numFmtId="0" fontId="34" fillId="11" borderId="4" applyAlignment="1" pivotButton="0" quotePrefix="0" xfId="0">
      <alignment horizontal="left" vertical="center"/>
    </xf>
    <xf numFmtId="0" fontId="26" fillId="18" borderId="4" applyAlignment="1" pivotButton="0" quotePrefix="0" xfId="0">
      <alignment horizontal="center" vertical="center"/>
    </xf>
    <xf numFmtId="0" fontId="26" fillId="18" borderId="4" applyAlignment="1" pivotButton="0" quotePrefix="0" xfId="0">
      <alignment horizontal="left" vertical="center"/>
    </xf>
    <xf numFmtId="0" fontId="35" fillId="18" borderId="4" applyAlignment="1" pivotButton="0" quotePrefix="0" xfId="0">
      <alignment horizontal="left" vertical="center"/>
    </xf>
    <xf numFmtId="0" fontId="36" fillId="19" borderId="1" applyAlignment="1" pivotButton="0" quotePrefix="0" xfId="0">
      <alignment horizontal="left" vertical="center"/>
    </xf>
    <xf numFmtId="0" fontId="24" fillId="11" borderId="4" applyAlignment="1" pivotButton="0" quotePrefix="0" xfId="0">
      <alignment horizontal="left" vertical="center"/>
    </xf>
    <xf numFmtId="0" fontId="37" fillId="20" borderId="6" applyAlignment="1" pivotButton="0" quotePrefix="0" xfId="0">
      <alignment horizontal="left" vertical="center"/>
    </xf>
    <xf numFmtId="0" fontId="14" fillId="20" borderId="6" pivotButton="0" quotePrefix="0" xfId="0"/>
    <xf numFmtId="0" fontId="38" fillId="21" borderId="1" applyAlignment="1" pivotButton="0" quotePrefix="0" xfId="0">
      <alignment horizontal="left" vertical="center"/>
    </xf>
    <xf numFmtId="0" fontId="39" fillId="22" borderId="6" applyAlignment="1" pivotButton="0" quotePrefix="0" xfId="0">
      <alignment horizontal="left" vertical="center"/>
    </xf>
    <xf numFmtId="0" fontId="14" fillId="22" borderId="6" pivotButton="0" quotePrefix="0" xfId="0"/>
    <xf numFmtId="0" fontId="24" fillId="18" borderId="4" applyAlignment="1" pivotButton="0" quotePrefix="0" xfId="0">
      <alignment horizontal="left" vertical="center"/>
    </xf>
    <xf numFmtId="0" fontId="40" fillId="23" borderId="1" applyAlignment="1" pivotButton="0" quotePrefix="0" xfId="0">
      <alignment horizontal="left" vertical="center"/>
    </xf>
    <xf numFmtId="0" fontId="41" fillId="0" borderId="0" applyAlignment="1" pivotButton="0" quotePrefix="0" xfId="0">
      <alignment horizontal="left" vertical="center"/>
    </xf>
    <xf numFmtId="0" fontId="42" fillId="0" borderId="0" applyAlignment="1" pivotButton="0" quotePrefix="0" xfId="0">
      <alignment horizontal="left" vertical="center" wrapText="1"/>
    </xf>
    <xf numFmtId="0" fontId="42" fillId="0" borderId="0" pivotButton="0" quotePrefix="0" xfId="0"/>
    <xf numFmtId="0" fontId="26" fillId="24" borderId="4" applyAlignment="1" pivotButton="0" quotePrefix="0" xfId="0">
      <alignment horizontal="left" vertical="center"/>
    </xf>
    <xf numFmtId="0" fontId="43" fillId="0" borderId="0" pivotButton="0" quotePrefix="0" xfId="0"/>
    <xf numFmtId="0" fontId="44" fillId="22" borderId="4" applyAlignment="1" pivotButton="0" quotePrefix="0" xfId="0">
      <alignment horizontal="left" vertical="center"/>
    </xf>
    <xf numFmtId="0" fontId="26" fillId="22" borderId="4" applyAlignment="1" pivotButton="0" quotePrefix="0" xfId="0">
      <alignment horizontal="left" vertical="center"/>
    </xf>
    <xf numFmtId="0" fontId="31" fillId="0" borderId="0" pivotButton="0" quotePrefix="0" xfId="0"/>
    <xf numFmtId="0" fontId="45" fillId="11" borderId="6" applyAlignment="1" pivotButton="0" quotePrefix="0" xfId="0">
      <alignment horizontal="center" vertical="center"/>
    </xf>
    <xf numFmtId="0" fontId="24" fillId="4" borderId="4" applyAlignment="1" pivotButton="0" quotePrefix="0" xfId="0">
      <alignment horizontal="center" vertical="center" wrapText="1"/>
    </xf>
    <xf numFmtId="0" fontId="46" fillId="4" borderId="4" applyAlignment="1" pivotButton="0" quotePrefix="0" xfId="0">
      <alignment horizontal="center" vertical="center" wrapText="1"/>
    </xf>
    <xf numFmtId="0" fontId="47" fillId="18" borderId="4" applyAlignment="1" pivotButton="0" quotePrefix="0" xfId="0">
      <alignment horizontal="left" vertical="center"/>
    </xf>
    <xf numFmtId="0" fontId="48" fillId="11" borderId="4" applyAlignment="1" pivotButton="0" quotePrefix="0" xfId="0">
      <alignment horizontal="left" vertical="center"/>
    </xf>
    <xf numFmtId="0" fontId="31" fillId="24" borderId="4" applyAlignment="1" pivotButton="0" quotePrefix="0" xfId="0">
      <alignment horizontal="left" vertical="center"/>
    </xf>
    <xf numFmtId="0" fontId="49" fillId="0" borderId="0" pivotButton="0" quotePrefix="0" xfId="0"/>
    <xf numFmtId="0" fontId="1" fillId="19" borderId="6" applyAlignment="1" pivotButton="0" quotePrefix="0" xfId="0">
      <alignment horizontal="left" vertical="center"/>
    </xf>
    <xf numFmtId="0" fontId="24" fillId="19" borderId="4" applyAlignment="1" pivotButton="0" quotePrefix="0" xfId="0">
      <alignment horizontal="center" vertical="center" wrapText="1"/>
    </xf>
    <xf numFmtId="0" fontId="26" fillId="20" borderId="4" applyAlignment="1" pivotButton="0" quotePrefix="0" xfId="0">
      <alignment horizontal="center" vertical="center"/>
    </xf>
    <xf numFmtId="0" fontId="26" fillId="20" borderId="4" applyAlignment="1" pivotButton="0" quotePrefix="0" xfId="0">
      <alignment horizontal="left" vertical="center"/>
    </xf>
    <xf numFmtId="0" fontId="50" fillId="20" borderId="4" applyAlignment="1" pivotButton="0" quotePrefix="0" xfId="0">
      <alignment horizontal="left" vertical="center"/>
    </xf>
    <xf numFmtId="0" fontId="26" fillId="25" borderId="4" applyAlignment="1" pivotButton="0" quotePrefix="0" xfId="0">
      <alignment horizontal="center" vertical="center"/>
    </xf>
    <xf numFmtId="0" fontId="26" fillId="25" borderId="4" applyAlignment="1" pivotButton="0" quotePrefix="0" xfId="0">
      <alignment horizontal="left" vertical="center"/>
    </xf>
    <xf numFmtId="0" fontId="51" fillId="25" borderId="4" applyAlignment="1" pivotButton="0" quotePrefix="0" xfId="0">
      <alignment horizontal="left" vertical="center"/>
    </xf>
    <xf numFmtId="0" fontId="26" fillId="20" borderId="4" applyAlignment="1" pivotButton="0" quotePrefix="0" xfId="0">
      <alignment vertical="center" wrapText="1"/>
    </xf>
    <xf numFmtId="0" fontId="1" fillId="19" borderId="1" applyAlignment="1" pivotButton="0" quotePrefix="0" xfId="0">
      <alignment horizontal="left" vertical="center"/>
    </xf>
    <xf numFmtId="0" fontId="52" fillId="9" borderId="7" applyAlignment="1" pivotButton="0" quotePrefix="0" xfId="0">
      <alignment horizontal="center" vertical="center"/>
    </xf>
    <xf numFmtId="0" fontId="53" fillId="20" borderId="4" applyAlignment="1" pivotButton="0" quotePrefix="0" xfId="0">
      <alignment horizontal="left" vertical="center"/>
    </xf>
    <xf numFmtId="0" fontId="54" fillId="25" borderId="4" applyAlignment="1" pivotButton="0" quotePrefix="0" xfId="0">
      <alignment horizontal="left" vertical="center"/>
    </xf>
    <xf numFmtId="0" fontId="26" fillId="26" borderId="4" applyAlignment="1" pivotButton="0" quotePrefix="0" xfId="0">
      <alignment horizontal="left" vertical="center"/>
    </xf>
    <xf numFmtId="0" fontId="1" fillId="21" borderId="1" applyAlignment="1" pivotButton="0" quotePrefix="0" xfId="0">
      <alignment horizontal="left" vertical="center"/>
    </xf>
    <xf numFmtId="0" fontId="55" fillId="27" borderId="7" applyAlignment="1" pivotButton="0" quotePrefix="0" xfId="0">
      <alignment horizontal="center" vertical="center"/>
    </xf>
    <xf numFmtId="0" fontId="24" fillId="21" borderId="4" applyAlignment="1" pivotButton="0" quotePrefix="0" xfId="0">
      <alignment horizontal="center" vertical="center" wrapText="1"/>
    </xf>
    <xf numFmtId="0" fontId="26" fillId="22" borderId="4" applyAlignment="1" pivotButton="0" quotePrefix="0" xfId="0">
      <alignment horizontal="center" vertical="center"/>
    </xf>
    <xf numFmtId="0" fontId="26" fillId="27" borderId="4" applyAlignment="1" pivotButton="0" quotePrefix="0" xfId="0">
      <alignment horizontal="center" vertical="center"/>
    </xf>
    <xf numFmtId="0" fontId="26" fillId="27" borderId="4" applyAlignment="1" pivotButton="0" quotePrefix="0" xfId="0">
      <alignment horizontal="left" vertical="center"/>
    </xf>
    <xf numFmtId="0" fontId="56" fillId="27" borderId="4" applyAlignment="1" pivotButton="0" quotePrefix="0" xfId="0">
      <alignment horizontal="left" vertical="center"/>
    </xf>
    <xf numFmtId="0" fontId="26" fillId="27" borderId="4" applyAlignment="1" pivotButton="0" quotePrefix="0" xfId="0">
      <alignment vertical="center" wrapText="1"/>
    </xf>
    <xf numFmtId="0" fontId="24" fillId="22" borderId="4" applyAlignment="1" pivotButton="0" quotePrefix="0" xfId="0">
      <alignment horizontal="left" vertical="center"/>
    </xf>
    <xf numFmtId="0" fontId="24" fillId="27" borderId="4" applyAlignment="1" pivotButton="0" quotePrefix="0" xfId="0">
      <alignment horizontal="left" vertical="center"/>
    </xf>
    <xf numFmtId="0" fontId="26" fillId="28" borderId="4" applyAlignment="1" pivotButton="0" quotePrefix="0" xfId="0">
      <alignment horizontal="left" vertical="center"/>
    </xf>
    <xf numFmtId="0" fontId="57" fillId="27" borderId="6" applyAlignment="1" pivotButton="0" quotePrefix="0" xfId="0">
      <alignment horizontal="center" vertical="center"/>
    </xf>
    <xf numFmtId="0" fontId="58" fillId="22" borderId="4" applyAlignment="1" pivotButton="0" quotePrefix="0" xfId="0">
      <alignment horizontal="left" vertical="center"/>
    </xf>
    <xf numFmtId="0" fontId="26" fillId="28" borderId="6" pivotButton="0" quotePrefix="0" xfId="0"/>
    <xf numFmtId="0" fontId="59" fillId="29" borderId="4" applyAlignment="1" pivotButton="0" quotePrefix="0" xfId="0">
      <alignment horizontal="center" vertical="center"/>
    </xf>
    <xf numFmtId="0" fontId="24" fillId="19" borderId="11" applyAlignment="1" pivotButton="0" quotePrefix="0" xfId="0">
      <alignment horizontal="center" vertical="center" wrapText="1"/>
    </xf>
    <xf numFmtId="0" fontId="24" fillId="19" borderId="5" applyAlignment="1" pivotButton="0" quotePrefix="0" xfId="0">
      <alignment horizontal="center" vertical="center" wrapText="1"/>
    </xf>
    <xf numFmtId="0" fontId="24" fillId="19" borderId="12" applyAlignment="1" pivotButton="0" quotePrefix="0" xfId="0">
      <alignment horizontal="center" vertical="center" wrapText="1"/>
    </xf>
    <xf numFmtId="0" fontId="24" fillId="0" borderId="13" applyAlignment="1" pivotButton="0" quotePrefix="0" xfId="0">
      <alignment horizontal="center" vertical="center" wrapText="1"/>
    </xf>
    <xf numFmtId="0" fontId="26" fillId="20" borderId="14" applyAlignment="1" pivotButton="0" quotePrefix="0" xfId="0">
      <alignment horizontal="center" vertical="center"/>
    </xf>
    <xf numFmtId="0" fontId="24" fillId="0" borderId="15" applyAlignment="1" pivotButton="0" quotePrefix="0" xfId="0">
      <alignment horizontal="center" vertical="center" wrapText="1"/>
    </xf>
    <xf numFmtId="0" fontId="26" fillId="20" borderId="4" applyAlignment="1" pivotButton="0" quotePrefix="0" xfId="0">
      <alignment horizontal="center" vertical="center"/>
    </xf>
    <xf numFmtId="0" fontId="26" fillId="20" borderId="4" applyAlignment="1" pivotButton="0" quotePrefix="0" xfId="0">
      <alignment horizontal="left" vertical="center"/>
    </xf>
    <xf numFmtId="0" fontId="24" fillId="0" borderId="16" applyAlignment="1" pivotButton="0" quotePrefix="0" xfId="0">
      <alignment horizontal="center" vertical="center" wrapText="1"/>
    </xf>
    <xf numFmtId="0" fontId="26" fillId="0" borderId="17" applyAlignment="1" pivotButton="0" quotePrefix="0" xfId="0">
      <alignment horizontal="center" vertical="center"/>
    </xf>
    <xf numFmtId="0" fontId="26" fillId="0" borderId="4" applyAlignment="1" pivotButton="0" quotePrefix="0" xfId="0">
      <alignment horizontal="center" vertical="center"/>
    </xf>
    <xf numFmtId="0" fontId="60" fillId="20" borderId="4" applyAlignment="1" pivotButton="0" quotePrefix="0" xfId="0">
      <alignment horizontal="left" vertical="center"/>
    </xf>
    <xf numFmtId="0" fontId="26" fillId="0" borderId="4" applyAlignment="1" pivotButton="0" quotePrefix="0" xfId="0">
      <alignment horizontal="left" vertical="center"/>
    </xf>
    <xf numFmtId="0" fontId="26" fillId="20" borderId="18" applyAlignment="1" pivotButton="0" quotePrefix="0" xfId="0">
      <alignment horizontal="left" vertical="center"/>
    </xf>
    <xf numFmtId="0" fontId="61" fillId="0" borderId="4" applyAlignment="1" pivotButton="0" quotePrefix="0" xfId="0">
      <alignment horizontal="left" vertical="center"/>
    </xf>
    <xf numFmtId="0" fontId="26" fillId="0" borderId="19" applyAlignment="1" pivotButton="0" quotePrefix="0" xfId="0">
      <alignment horizontal="left" vertical="center"/>
    </xf>
    <xf numFmtId="0" fontId="62" fillId="30" borderId="4" applyAlignment="1" pivotButton="0" quotePrefix="0" xfId="0">
      <alignment horizontal="center" vertical="center"/>
    </xf>
    <xf numFmtId="0" fontId="63" fillId="9" borderId="7" applyAlignment="1" pivotButton="0" quotePrefix="0" xfId="0">
      <alignment horizontal="center" vertical="center"/>
    </xf>
    <xf numFmtId="0" fontId="24" fillId="25" borderId="6" applyAlignment="1" pivotButton="0" quotePrefix="0" xfId="0">
      <alignment horizontal="center" vertical="center"/>
    </xf>
    <xf numFmtId="0" fontId="63" fillId="9" borderId="6" applyAlignment="1" pivotButton="0" quotePrefix="0" xfId="0">
      <alignment horizontal="center" vertical="center"/>
    </xf>
    <xf numFmtId="0" fontId="26" fillId="20" borderId="4" applyAlignment="1" pivotButton="0" quotePrefix="0" xfId="0">
      <alignment horizontal="left" vertical="center" wrapText="1"/>
    </xf>
    <xf numFmtId="0" fontId="64" fillId="20" borderId="4" applyAlignment="1" pivotButton="0" quotePrefix="0" xfId="0">
      <alignment horizontal="center" vertical="center"/>
    </xf>
    <xf numFmtId="0" fontId="26" fillId="25" borderId="4" applyAlignment="1" pivotButton="0" quotePrefix="0" xfId="0">
      <alignment horizontal="left" vertical="center" wrapText="1"/>
    </xf>
    <xf numFmtId="0" fontId="65" fillId="25" borderId="4" applyAlignment="1" pivotButton="0" quotePrefix="0" xfId="0">
      <alignment horizontal="center" vertical="center"/>
    </xf>
    <xf numFmtId="0" fontId="26" fillId="0" borderId="19" applyAlignment="1" pivotButton="0" quotePrefix="0" xfId="0">
      <alignment vertical="center" wrapText="1"/>
    </xf>
    <xf numFmtId="0" fontId="26" fillId="0" borderId="20" applyAlignment="1" pivotButton="0" quotePrefix="0" xfId="0">
      <alignment horizontal="center" vertical="center"/>
    </xf>
    <xf numFmtId="0" fontId="26" fillId="0" borderId="21" applyAlignment="1" pivotButton="0" quotePrefix="0" xfId="0">
      <alignment horizontal="center" vertical="center"/>
    </xf>
    <xf numFmtId="0" fontId="26" fillId="0" borderId="21" applyAlignment="1" pivotButton="0" quotePrefix="0" xfId="0">
      <alignment horizontal="left" vertical="center"/>
    </xf>
    <xf numFmtId="0" fontId="26" fillId="20" borderId="18" applyAlignment="1" pivotButton="0" quotePrefix="0" xfId="0">
      <alignment vertical="center" wrapText="1"/>
    </xf>
    <xf numFmtId="0" fontId="66" fillId="0" borderId="21" applyAlignment="1" pivotButton="0" quotePrefix="0" xfId="0">
      <alignment horizontal="left" vertical="center"/>
    </xf>
    <xf numFmtId="0" fontId="26" fillId="0" borderId="22" applyAlignment="1" pivotButton="0" quotePrefix="0" xfId="0">
      <alignment horizontal="left" vertical="center"/>
    </xf>
    <xf numFmtId="0" fontId="67" fillId="20" borderId="4" applyAlignment="1" pivotButton="0" quotePrefix="0" xfId="0">
      <alignment horizontal="left" vertical="center"/>
    </xf>
    <xf numFmtId="0" fontId="26" fillId="20" borderId="23" applyAlignment="1" pivotButton="0" quotePrefix="0" xfId="0">
      <alignment horizontal="center" vertical="center"/>
    </xf>
    <xf numFmtId="0" fontId="26" fillId="20" borderId="24" applyAlignment="1" pivotButton="0" quotePrefix="0" xfId="0">
      <alignment horizontal="center" vertical="center"/>
    </xf>
    <xf numFmtId="0" fontId="26" fillId="20" borderId="24" applyAlignment="1" pivotButton="0" quotePrefix="0" xfId="0">
      <alignment horizontal="left" vertical="center"/>
    </xf>
    <xf numFmtId="0" fontId="68" fillId="20" borderId="24" applyAlignment="1" pivotButton="0" quotePrefix="0" xfId="0">
      <alignment horizontal="left" vertical="center"/>
    </xf>
    <xf numFmtId="0" fontId="26" fillId="20" borderId="25" applyAlignment="1" pivotButton="0" quotePrefix="0" xfId="0">
      <alignment horizontal="left" vertical="center"/>
    </xf>
    <xf numFmtId="0" fontId="0" fillId="0" borderId="0" pivotButton="0" quotePrefix="0" xfId="0"/>
    <xf numFmtId="0" fontId="2" fillId="3" borderId="6" applyAlignment="1" pivotButton="0" quotePrefix="0" xfId="0">
      <alignment horizontal="left" vertical="center"/>
    </xf>
    <xf numFmtId="0" fontId="27" fillId="4" borderId="6" applyAlignment="1" pivotButton="0" quotePrefix="0" xfId="0">
      <alignment horizontal="left" vertical="center"/>
    </xf>
    <xf numFmtId="0" fontId="36" fillId="19" borderId="6" applyAlignment="1" pivotButton="0" quotePrefix="0" xfId="0">
      <alignment horizontal="left" vertical="center"/>
    </xf>
    <xf numFmtId="0" fontId="38" fillId="21" borderId="6" applyAlignment="1" pivotButton="0" quotePrefix="0" xfId="0">
      <alignment horizontal="left" vertical="center"/>
    </xf>
    <xf numFmtId="0" fontId="38" fillId="31" borderId="6" applyAlignment="1" pivotButton="0" quotePrefix="0" xfId="0">
      <alignment horizontal="left" vertical="center"/>
    </xf>
    <xf numFmtId="0" fontId="39" fillId="32" borderId="6" applyAlignment="1" pivotButton="0" quotePrefix="0" xfId="0">
      <alignment horizontal="left" vertical="center"/>
    </xf>
    <xf numFmtId="0" fontId="14" fillId="32" borderId="6" pivotButton="0" quotePrefix="0" xfId="0"/>
    <xf numFmtId="0" fontId="38" fillId="33" borderId="6" applyAlignment="1" pivotButton="0" quotePrefix="0" xfId="0">
      <alignment horizontal="left" vertical="center"/>
    </xf>
    <xf numFmtId="0" fontId="39" fillId="34" borderId="6" applyAlignment="1" pivotButton="0" quotePrefix="0" xfId="0">
      <alignment horizontal="left" vertical="center"/>
    </xf>
    <xf numFmtId="0" fontId="14" fillId="34" borderId="6" pivotButton="0" quotePrefix="0" xfId="0"/>
    <xf numFmtId="0" fontId="38" fillId="35" borderId="6" applyAlignment="1" pivotButton="0" quotePrefix="0" xfId="0">
      <alignment horizontal="left" vertical="center"/>
    </xf>
    <xf numFmtId="0" fontId="39" fillId="36" borderId="6" applyAlignment="1" pivotButton="0" quotePrefix="0" xfId="0">
      <alignment horizontal="left" vertical="center"/>
    </xf>
    <xf numFmtId="0" fontId="14" fillId="36" borderId="6" pivotButton="0" quotePrefix="0" xfId="0"/>
    <xf numFmtId="0" fontId="40" fillId="23" borderId="6" applyAlignment="1" pivotButton="0" quotePrefix="0" xfId="0">
      <alignment horizontal="left" vertical="center"/>
    </xf>
    <xf numFmtId="0" fontId="1" fillId="2" borderId="6" applyAlignment="1" pivotButton="0" quotePrefix="0" xfId="0">
      <alignment horizontal="left" vertical="center"/>
    </xf>
    <xf numFmtId="0" fontId="21" fillId="0" borderId="7" applyAlignment="1" pivotButton="0" quotePrefix="0" xfId="0">
      <alignment vertical="center" wrapText="1"/>
    </xf>
    <xf numFmtId="0" fontId="0" fillId="0" borderId="9" pivotButton="0" quotePrefix="0" xfId="0"/>
    <xf numFmtId="0" fontId="0" fillId="0" borderId="10" pivotButton="0" quotePrefix="0" xfId="0"/>
    <xf numFmtId="0" fontId="1" fillId="4" borderId="6" applyAlignment="1" pivotButton="0" quotePrefix="0" xfId="0">
      <alignment horizontal="left" vertical="center"/>
    </xf>
    <xf numFmtId="0" fontId="1" fillId="21" borderId="6" applyAlignment="1" pivotButton="0" quotePrefix="0" xfId="0">
      <alignment horizontal="left" vertical="center"/>
    </xf>
    <xf numFmtId="49" fontId="24" fillId="37" borderId="4" applyAlignment="1" pivotButton="0" quotePrefix="0" xfId="0">
      <alignment horizontal="center" vertical="center" wrapText="1"/>
    </xf>
    <xf numFmtId="0" fontId="26" fillId="38" borderId="4" applyAlignment="1" pivotButton="0" quotePrefix="0" xfId="0">
      <alignment horizontal="center" vertical="center"/>
    </xf>
    <xf numFmtId="0" fontId="26" fillId="38" borderId="4" applyAlignment="1" pivotButton="0" quotePrefix="0" xfId="0">
      <alignment horizontal="left" vertical="center"/>
    </xf>
    <xf numFmtId="0" fontId="68" fillId="38" borderId="4" applyAlignment="1" pivotButton="0" quotePrefix="0" xfId="0">
      <alignment horizontal="left" vertical="center"/>
    </xf>
    <xf numFmtId="0" fontId="26" fillId="39" borderId="4" applyAlignment="1" pivotButton="0" quotePrefix="0" xfId="0">
      <alignment horizontal="center" vertical="center"/>
    </xf>
    <xf numFmtId="0" fontId="26" fillId="39" borderId="4" applyAlignment="1" pivotButton="0" quotePrefix="0" xfId="0">
      <alignment horizontal="left" vertical="center"/>
    </xf>
    <xf numFmtId="0" fontId="68" fillId="39" borderId="4" applyAlignment="1" pivotButton="0" quotePrefix="0" xfId="0">
      <alignment horizontal="left" vertical="center"/>
    </xf>
    <xf numFmtId="0" fontId="69" fillId="39" borderId="0" pivotButton="0" quotePrefix="0" xfId="0"/>
    <xf numFmtId="0" fontId="69" fillId="38" borderId="0" pivotButton="0" quotePrefix="0" xfId="0"/>
    <xf numFmtId="0" fontId="24" fillId="39" borderId="4" applyAlignment="1" pivotButton="0" quotePrefix="0" xfId="0">
      <alignment horizontal="left" vertical="center"/>
    </xf>
    <xf numFmtId="0" fontId="24" fillId="38" borderId="4" applyAlignment="1" pivotButton="0" quotePrefix="0" xfId="0">
      <alignment horizontal="left" vertical="center"/>
    </xf>
    <xf numFmtId="0" fontId="24" fillId="37" borderId="4" applyAlignment="1" pivotButton="0" quotePrefix="0" xfId="0">
      <alignment horizontal="center" vertical="center" wrapText="1"/>
    </xf>
    <xf numFmtId="0" fontId="67" fillId="38" borderId="4" applyAlignment="1" pivotButton="0" quotePrefix="0" xfId="0">
      <alignment horizontal="left" vertical="center"/>
    </xf>
    <xf numFmtId="0" fontId="67" fillId="39" borderId="4" applyAlignment="1" pivotButton="0" quotePrefix="0" xfId="0">
      <alignment horizontal="left" vertical="center"/>
    </xf>
    <xf numFmtId="0" fontId="24" fillId="40" borderId="4" applyAlignment="1" pivotButton="0" quotePrefix="0" xfId="0">
      <alignment horizontal="center" vertical="center" wrapText="1"/>
    </xf>
    <xf numFmtId="0" fontId="26" fillId="41" borderId="4" applyAlignment="1" pivotButton="0" quotePrefix="0" xfId="0">
      <alignment horizontal="center" vertical="center"/>
    </xf>
    <xf numFmtId="0" fontId="26" fillId="41" borderId="4" applyAlignment="1" pivotButton="0" quotePrefix="0" xfId="0">
      <alignment horizontal="left" vertical="center"/>
    </xf>
    <xf numFmtId="0" fontId="68" fillId="41" borderId="4" applyAlignment="1" pivotButton="0" quotePrefix="0" xfId="0">
      <alignment horizontal="left" vertical="center"/>
    </xf>
    <xf numFmtId="0" fontId="26" fillId="42" borderId="4" applyAlignment="1" pivotButton="0" quotePrefix="0" xfId="0">
      <alignment horizontal="center" vertical="center"/>
    </xf>
    <xf numFmtId="0" fontId="26" fillId="42" borderId="4" applyAlignment="1" pivotButton="0" quotePrefix="0" xfId="0">
      <alignment horizontal="left" vertical="center"/>
    </xf>
    <xf numFmtId="0" fontId="68" fillId="42" borderId="4" applyAlignment="1" pivotButton="0" quotePrefix="0" xfId="0">
      <alignment horizontal="left" vertical="center"/>
    </xf>
    <xf numFmtId="0" fontId="26" fillId="41" borderId="4" applyAlignment="1" pivotButton="0" quotePrefix="0" xfId="0">
      <alignment vertical="center" wrapText="1"/>
    </xf>
    <xf numFmtId="0" fontId="69" fillId="41" borderId="0" pivotButton="0" quotePrefix="0" xfId="0"/>
    <xf numFmtId="0" fontId="69" fillId="42" borderId="0" pivotButton="0" quotePrefix="0" xfId="0"/>
    <xf numFmtId="0" fontId="26" fillId="42" borderId="4" applyAlignment="1" pivotButton="0" quotePrefix="0" xfId="0">
      <alignment vertical="center" wrapText="1"/>
    </xf>
    <xf numFmtId="0" fontId="67" fillId="41" borderId="4" applyAlignment="1" pivotButton="0" quotePrefix="0" xfId="0">
      <alignment horizontal="left" vertical="center"/>
    </xf>
    <xf numFmtId="0" fontId="67" fillId="42" borderId="4" applyAlignment="1" pivotButton="0" quotePrefix="0" xfId="0">
      <alignment horizontal="left" vertical="center"/>
    </xf>
    <xf numFmtId="0" fontId="24" fillId="43" borderId="4" applyAlignment="1" pivotButton="0" quotePrefix="0" xfId="0">
      <alignment horizontal="center" vertical="center" wrapText="1"/>
    </xf>
    <xf numFmtId="0" fontId="26" fillId="44" borderId="4" applyAlignment="1" pivotButton="0" quotePrefix="0" xfId="0">
      <alignment horizontal="center" vertical="center"/>
    </xf>
    <xf numFmtId="0" fontId="26" fillId="44" borderId="4" applyAlignment="1" pivotButton="0" quotePrefix="0" xfId="0">
      <alignment horizontal="left" vertical="center"/>
    </xf>
    <xf numFmtId="0" fontId="68" fillId="44" borderId="4" applyAlignment="1" pivotButton="0" quotePrefix="0" xfId="0">
      <alignment horizontal="left" vertical="center"/>
    </xf>
    <xf numFmtId="0" fontId="26" fillId="45" borderId="4" applyAlignment="1" pivotButton="0" quotePrefix="0" xfId="0">
      <alignment horizontal="center" vertical="center"/>
    </xf>
    <xf numFmtId="0" fontId="26" fillId="45" borderId="4" applyAlignment="1" pivotButton="0" quotePrefix="0" xfId="0">
      <alignment horizontal="left" vertical="center"/>
    </xf>
    <xf numFmtId="0" fontId="68" fillId="45" borderId="4" applyAlignment="1" pivotButton="0" quotePrefix="0" xfId="0">
      <alignment horizontal="left" vertical="center"/>
    </xf>
    <xf numFmtId="0" fontId="69" fillId="44" borderId="0" pivotButton="0" quotePrefix="0" xfId="0"/>
    <xf numFmtId="0" fontId="69" fillId="45" borderId="0" pivotButton="0" quotePrefix="0" xfId="0"/>
    <xf numFmtId="0" fontId="26" fillId="45" borderId="4" applyAlignment="1" pivotButton="0" quotePrefix="0" xfId="0">
      <alignment vertical="center" wrapText="1"/>
    </xf>
    <xf numFmtId="0" fontId="24" fillId="44" borderId="4" applyAlignment="1" pivotButton="0" quotePrefix="0" xfId="0">
      <alignment horizontal="left" vertical="center"/>
    </xf>
    <xf numFmtId="0" fontId="24" fillId="45" borderId="4" applyAlignment="1" pivotButton="0" quotePrefix="0" xfId="0">
      <alignment horizontal="left" vertical="center"/>
    </xf>
    <xf numFmtId="0" fontId="67" fillId="44" borderId="4" applyAlignment="1" pivotButton="0" quotePrefix="0" xfId="0">
      <alignment horizontal="left" vertical="center"/>
    </xf>
    <xf numFmtId="0" fontId="67" fillId="45" borderId="4" applyAlignment="1" pivotButton="0" quotePrefix="0" xfId="0">
      <alignment horizontal="left" vertical="center"/>
    </xf>
    <xf numFmtId="0" fontId="26" fillId="44" borderId="6" pivotButton="0" quotePrefix="0" xfId="0"/>
    <xf numFmtId="0" fontId="26" fillId="45" borderId="6" pivotButton="0" quotePrefix="0" xfId="0"/>
    <xf numFmtId="0" fontId="1" fillId="31" borderId="6" applyAlignment="1" pivotButton="0" quotePrefix="0" xfId="0">
      <alignment horizontal="left" vertical="center"/>
    </xf>
    <xf numFmtId="0" fontId="24" fillId="31" borderId="11" applyAlignment="1" pivotButton="0" quotePrefix="0" xfId="0">
      <alignment horizontal="center" vertical="center" wrapText="1"/>
    </xf>
    <xf numFmtId="0" fontId="24" fillId="31" borderId="5" applyAlignment="1" pivotButton="0" quotePrefix="0" xfId="0">
      <alignment horizontal="center" vertical="center" wrapText="1"/>
    </xf>
    <xf numFmtId="0" fontId="24" fillId="31" borderId="12" applyAlignment="1" pivotButton="0" quotePrefix="0" xfId="0">
      <alignment horizontal="center" vertical="center" wrapText="1"/>
    </xf>
    <xf numFmtId="0" fontId="26" fillId="32" borderId="14" applyAlignment="1" pivotButton="0" quotePrefix="0" xfId="0">
      <alignment horizontal="center" vertical="center"/>
    </xf>
    <xf numFmtId="0" fontId="26" fillId="32" borderId="4" applyAlignment="1" pivotButton="0" quotePrefix="0" xfId="0">
      <alignment horizontal="center" vertical="center"/>
    </xf>
    <xf numFmtId="0" fontId="26" fillId="32" borderId="4" applyAlignment="1" pivotButton="0" quotePrefix="0" xfId="0">
      <alignment horizontal="left" vertical="center"/>
    </xf>
    <xf numFmtId="0" fontId="68" fillId="32" borderId="4" applyAlignment="1" pivotButton="0" quotePrefix="0" xfId="0">
      <alignment horizontal="left" vertical="center"/>
    </xf>
    <xf numFmtId="0" fontId="26" fillId="32" borderId="18" applyAlignment="1" pivotButton="0" quotePrefix="0" xfId="0">
      <alignment horizontal="left" vertical="center"/>
    </xf>
    <xf numFmtId="0" fontId="26" fillId="46" borderId="14" applyAlignment="1" pivotButton="0" quotePrefix="0" xfId="0">
      <alignment horizontal="center" vertical="center"/>
    </xf>
    <xf numFmtId="0" fontId="26" fillId="46" borderId="4" applyAlignment="1" pivotButton="0" quotePrefix="0" xfId="0">
      <alignment horizontal="center" vertical="center"/>
    </xf>
    <xf numFmtId="0" fontId="26" fillId="46" borderId="4" applyAlignment="1" pivotButton="0" quotePrefix="0" xfId="0">
      <alignment horizontal="left" vertical="center"/>
    </xf>
    <xf numFmtId="0" fontId="68" fillId="46" borderId="4" applyAlignment="1" pivotButton="0" quotePrefix="0" xfId="0">
      <alignment horizontal="left" vertical="center"/>
    </xf>
    <xf numFmtId="0" fontId="26" fillId="46" borderId="18" applyAlignment="1" pivotButton="0" quotePrefix="0" xfId="0">
      <alignment horizontal="left" vertical="center"/>
    </xf>
    <xf numFmtId="0" fontId="26" fillId="32" borderId="18" applyAlignment="1" pivotButton="0" quotePrefix="0" xfId="0">
      <alignment vertical="center" wrapText="1"/>
    </xf>
    <xf numFmtId="0" fontId="67" fillId="46" borderId="4" applyAlignment="1" pivotButton="0" quotePrefix="0" xfId="0">
      <alignment horizontal="left" vertical="center"/>
    </xf>
    <xf numFmtId="0" fontId="26" fillId="32" borderId="23" applyAlignment="1" pivotButton="0" quotePrefix="0" xfId="0">
      <alignment horizontal="center" vertical="center"/>
    </xf>
    <xf numFmtId="0" fontId="26" fillId="32" borderId="24" applyAlignment="1" pivotButton="0" quotePrefix="0" xfId="0">
      <alignment horizontal="center" vertical="center"/>
    </xf>
    <xf numFmtId="0" fontId="26" fillId="32" borderId="24" applyAlignment="1" pivotButton="0" quotePrefix="0" xfId="0">
      <alignment horizontal="left" vertical="center"/>
    </xf>
    <xf numFmtId="0" fontId="68" fillId="32" borderId="24" applyAlignment="1" pivotButton="0" quotePrefix="0" xfId="0">
      <alignment horizontal="left" vertical="center"/>
    </xf>
    <xf numFmtId="0" fontId="26" fillId="32" borderId="25" applyAlignment="1" pivotButton="0" quotePrefix="0" xfId="0">
      <alignment horizontal="left" vertical="center"/>
    </xf>
    <xf numFmtId="0" fontId="69" fillId="46" borderId="0" pivotButton="0" quotePrefix="0" xfId="0"/>
    <xf numFmtId="0" fontId="69" fillId="32" borderId="0" pivotButton="0" quotePrefix="0" xfId="0"/>
    <xf numFmtId="0" fontId="1" fillId="33" borderId="6" applyAlignment="1" pivotButton="0" quotePrefix="0" xfId="0">
      <alignment horizontal="left" vertical="center"/>
    </xf>
    <xf numFmtId="0" fontId="24" fillId="33" borderId="13" applyAlignment="1" pivotButton="0" quotePrefix="0" xfId="0">
      <alignment horizontal="center" vertical="center" wrapText="1"/>
    </xf>
    <xf numFmtId="0" fontId="24" fillId="33" borderId="15" applyAlignment="1" pivotButton="0" quotePrefix="0" xfId="0">
      <alignment horizontal="center" vertical="center" wrapText="1"/>
    </xf>
    <xf numFmtId="0" fontId="24" fillId="33" borderId="16" applyAlignment="1" pivotButton="0" quotePrefix="0" xfId="0">
      <alignment horizontal="center" vertical="center" wrapText="1"/>
    </xf>
    <xf numFmtId="0" fontId="26" fillId="47" borderId="17" applyAlignment="1" pivotButton="0" quotePrefix="0" xfId="0">
      <alignment horizontal="center" vertical="center"/>
    </xf>
    <xf numFmtId="0" fontId="26" fillId="47" borderId="4" applyAlignment="1" pivotButton="0" quotePrefix="0" xfId="0">
      <alignment horizontal="center" vertical="center"/>
    </xf>
    <xf numFmtId="0" fontId="26" fillId="47" borderId="4" applyAlignment="1" pivotButton="0" quotePrefix="0" xfId="0">
      <alignment horizontal="left" vertical="center"/>
    </xf>
    <xf numFmtId="0" fontId="68" fillId="47" borderId="4" applyAlignment="1" pivotButton="0" quotePrefix="0" xfId="0">
      <alignment horizontal="left" vertical="center"/>
    </xf>
    <xf numFmtId="0" fontId="26" fillId="47" borderId="19" applyAlignment="1" pivotButton="0" quotePrefix="0" xfId="0">
      <alignment horizontal="left" vertical="center"/>
    </xf>
    <xf numFmtId="0" fontId="26" fillId="34" borderId="17" applyAlignment="1" pivotButton="0" quotePrefix="0" xfId="0">
      <alignment horizontal="center" vertical="center"/>
    </xf>
    <xf numFmtId="0" fontId="26" fillId="34" borderId="4" applyAlignment="1" pivotButton="0" quotePrefix="0" xfId="0">
      <alignment horizontal="center" vertical="center"/>
    </xf>
    <xf numFmtId="0" fontId="26" fillId="34" borderId="4" applyAlignment="1" pivotButton="0" quotePrefix="0" xfId="0">
      <alignment horizontal="left" vertical="center"/>
    </xf>
    <xf numFmtId="0" fontId="68" fillId="34" borderId="4" applyAlignment="1" pivotButton="0" quotePrefix="0" xfId="0">
      <alignment horizontal="left" vertical="center"/>
    </xf>
    <xf numFmtId="0" fontId="26" fillId="34" borderId="19" applyAlignment="1" pivotButton="0" quotePrefix="0" xfId="0">
      <alignment horizontal="left" vertical="center"/>
    </xf>
    <xf numFmtId="0" fontId="1" fillId="35" borderId="6" applyAlignment="1" pivotButton="0" quotePrefix="0" xfId="0">
      <alignment horizontal="left" vertical="center"/>
    </xf>
    <xf numFmtId="0" fontId="24" fillId="35" borderId="13" applyAlignment="1" pivotButton="0" quotePrefix="0" xfId="0">
      <alignment horizontal="center" vertical="center" wrapText="1"/>
    </xf>
    <xf numFmtId="0" fontId="24" fillId="35" borderId="15" applyAlignment="1" pivotButton="0" quotePrefix="0" xfId="0">
      <alignment horizontal="center" vertical="center" wrapText="1"/>
    </xf>
    <xf numFmtId="0" fontId="24" fillId="35" borderId="16" applyAlignment="1" pivotButton="0" quotePrefix="0" xfId="0">
      <alignment horizontal="center" vertical="center" wrapText="1"/>
    </xf>
    <xf numFmtId="0" fontId="26" fillId="36" borderId="17" applyAlignment="1" pivotButton="0" quotePrefix="0" xfId="0">
      <alignment horizontal="center" vertical="center"/>
    </xf>
    <xf numFmtId="0" fontId="26" fillId="36" borderId="4" applyAlignment="1" pivotButton="0" quotePrefix="0" xfId="0">
      <alignment horizontal="center" vertical="center"/>
    </xf>
    <xf numFmtId="0" fontId="26" fillId="36" borderId="4" applyAlignment="1" pivotButton="0" quotePrefix="0" xfId="0">
      <alignment horizontal="left" vertical="center"/>
    </xf>
    <xf numFmtId="0" fontId="68" fillId="36" borderId="4" applyAlignment="1" pivotButton="0" quotePrefix="0" xfId="0">
      <alignment horizontal="left" vertical="center"/>
    </xf>
    <xf numFmtId="0" fontId="26" fillId="36" borderId="19" applyAlignment="1" pivotButton="0" quotePrefix="0" xfId="0">
      <alignment horizontal="left" vertical="center"/>
    </xf>
    <xf numFmtId="0" fontId="26" fillId="48" borderId="17" applyAlignment="1" pivotButton="0" quotePrefix="0" xfId="0">
      <alignment horizontal="center" vertical="center"/>
    </xf>
    <xf numFmtId="0" fontId="26" fillId="48" borderId="4" applyAlignment="1" pivotButton="0" quotePrefix="0" xfId="0">
      <alignment horizontal="center" vertical="center"/>
    </xf>
    <xf numFmtId="0" fontId="26" fillId="48" borderId="4" applyAlignment="1" pivotButton="0" quotePrefix="0" xfId="0">
      <alignment horizontal="left" vertical="center"/>
    </xf>
    <xf numFmtId="0" fontId="68" fillId="48" borderId="4" applyAlignment="1" pivotButton="0" quotePrefix="0" xfId="0">
      <alignment horizontal="left" vertical="center"/>
    </xf>
    <xf numFmtId="0" fontId="26" fillId="48" borderId="19" applyAlignment="1" pivotButton="0" quotePrefix="0" xfId="0">
      <alignment horizontal="left" vertical="center"/>
    </xf>
    <xf numFmtId="0" fontId="26" fillId="41" borderId="4" applyAlignment="1" pivotButton="0" quotePrefix="0" xfId="0">
      <alignment horizontal="left" vertical="center" wrapText="1"/>
    </xf>
    <xf numFmtId="0" fontId="68" fillId="41" borderId="4" applyAlignment="1" pivotButton="0" quotePrefix="0" xfId="0">
      <alignment horizontal="center" vertical="center"/>
    </xf>
    <xf numFmtId="0" fontId="26" fillId="42" borderId="4" applyAlignment="1" pivotButton="0" quotePrefix="0" xfId="0">
      <alignment horizontal="left" vertical="center" wrapText="1"/>
    </xf>
    <xf numFmtId="0" fontId="68" fillId="42" borderId="4" applyAlignment="1" pivotButton="0" quotePrefix="0" xfId="0">
      <alignment horizontal="center"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NUR198_Videos" displayName="NUR198_Videos" ref="A5:G96" headerRowCount="1">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table" Target="/xl/tables/table2.xml" Id="rId1"/></Relationships>
</file>

<file path=xl/worksheets/_rels/sheet19.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000000"/>
    <outlinePr summaryBelow="1" summaryRight="1"/>
    <pageSetUpPr/>
  </sheetPr>
  <dimension ref="A1:H236"/>
  <sheetViews>
    <sheetView showGridLines="0" workbookViewId="0">
      <selection activeCell="A1" sqref="A1"/>
    </sheetView>
  </sheetViews>
  <sheetFormatPr baseColWidth="8" defaultColWidth="14.43" defaultRowHeight="15" customHeight="1"/>
  <cols>
    <col width="26" customWidth="1" style="149" min="1" max="1"/>
    <col width="22" customWidth="1" style="149" min="2" max="5"/>
    <col width="12" customWidth="1" style="149" min="6" max="8"/>
  </cols>
  <sheetData>
    <row r="1">
      <c r="A1" s="150" t="inlineStr">
        <is>
          <t>NUR LECTURE LIBRARY</t>
        </is>
      </c>
      <c r="F1" s="5" t="n"/>
      <c r="G1" s="5" t="n"/>
      <c r="H1" s="5" t="n"/>
    </row>
    <row r="2">
      <c r="A2" s="7" t="inlineStr">
        <is>
          <t>Click a class below → then use the sub-tabs at the top of each sheet.</t>
        </is>
      </c>
    </row>
    <row r="3">
      <c r="A3" s="8" t="inlineStr">
        <is>
          <t>NUR234</t>
        </is>
      </c>
      <c r="B3" s="11" t="inlineStr">
        <is>
          <t>NUR235</t>
        </is>
      </c>
      <c r="C3" s="14" t="inlineStr">
        <is>
          <t>NUR258</t>
        </is>
      </c>
      <c r="D3" s="18" t="inlineStr">
        <is>
          <t>🏠 START HERE</t>
        </is>
      </c>
      <c r="E3" s="15" t="inlineStr">
        <is>
          <t>📥 Sort me</t>
        </is>
      </c>
    </row>
    <row r="4">
      <c r="A4" s="22" t="inlineStr">
        <is>
          <t>NUR198</t>
        </is>
      </c>
      <c r="B4" s="26" t="inlineStr">
        <is>
          <t>NUR175</t>
        </is>
      </c>
      <c r="C4" s="29" t="inlineStr">
        <is>
          <t>NUR125</t>
        </is>
      </c>
      <c r="D4" s="16" t="n"/>
      <c r="E4" s="16" t="n"/>
      <c r="F4" s="5" t="n"/>
      <c r="G4" s="5" t="n"/>
      <c r="H4" s="5" t="n"/>
    </row>
    <row r="5">
      <c r="A5" s="151" t="inlineStr">
        <is>
          <t>NUR234</t>
        </is>
      </c>
      <c r="F5" s="5" t="n"/>
      <c r="G5" s="5" t="n"/>
      <c r="H5" s="5" t="n"/>
    </row>
    <row r="6">
      <c r="A6" s="37" t="inlineStr">
        <is>
          <t>→  Kaiser</t>
        </is>
      </c>
      <c r="B6" s="39" t="n"/>
      <c r="C6" s="39" t="n"/>
      <c r="D6" s="39" t="n"/>
      <c r="E6" s="39" t="n"/>
      <c r="F6" s="5" t="n"/>
      <c r="G6" s="5" t="n"/>
      <c r="H6" s="5" t="n"/>
    </row>
    <row r="7">
      <c r="A7" s="37" t="inlineStr">
        <is>
          <t>→  Buhler</t>
        </is>
      </c>
      <c r="B7" s="39" t="n"/>
      <c r="C7" s="39" t="n"/>
      <c r="D7" s="39" t="n"/>
      <c r="E7" s="39" t="n"/>
      <c r="F7" s="5" t="n"/>
      <c r="G7" s="5" t="n"/>
      <c r="H7" s="5" t="n"/>
    </row>
    <row r="8">
      <c r="A8" s="37" t="inlineStr">
        <is>
          <t>→  Glesner</t>
        </is>
      </c>
      <c r="B8" s="39" t="n"/>
      <c r="C8" s="39" t="n"/>
      <c r="D8" s="39" t="n"/>
      <c r="E8" s="39" t="n"/>
      <c r="F8" s="5" t="n"/>
      <c r="G8" s="5" t="n"/>
      <c r="H8" s="5" t="n"/>
    </row>
    <row r="9">
      <c r="A9" s="37" t="inlineStr">
        <is>
          <t>→  Exam Reviews</t>
        </is>
      </c>
      <c r="B9" s="39" t="n"/>
      <c r="C9" s="39" t="n"/>
      <c r="D9" s="39" t="n"/>
      <c r="E9" s="39" t="n"/>
      <c r="F9" s="5" t="n"/>
      <c r="G9" s="5" t="n"/>
      <c r="H9" s="5" t="n"/>
    </row>
    <row r="10">
      <c r="A10" s="37">
        <f>HYPERLINK('START HERE'!$B$36,"→  Zoom Backup")</f>
        <v/>
      </c>
      <c r="B10" s="39" t="n"/>
      <c r="C10" s="39" t="n"/>
      <c r="D10" s="39" t="n"/>
      <c r="E10" s="39" t="n"/>
      <c r="F10" s="5" t="n"/>
      <c r="G10" s="5" t="n"/>
      <c r="H10" s="5" t="n"/>
    </row>
    <row r="11">
      <c r="A11" s="37" t="inlineStr">
        <is>
          <t>→  Review videos</t>
        </is>
      </c>
      <c r="B11" s="39" t="n"/>
      <c r="C11" s="39" t="n"/>
      <c r="D11" s="39" t="n"/>
      <c r="E11" s="39" t="n"/>
      <c r="F11" s="5" t="n"/>
      <c r="G11" s="5" t="n"/>
      <c r="H11" s="5" t="n"/>
    </row>
    <row r="12">
      <c r="A12" s="152" t="inlineStr">
        <is>
          <t>NUR235</t>
        </is>
      </c>
      <c r="F12" s="5" t="n"/>
      <c r="G12" s="5" t="n"/>
      <c r="H12" s="5" t="n"/>
    </row>
    <row r="13">
      <c r="A13" s="61" t="inlineStr">
        <is>
          <t>→  Fadell</t>
        </is>
      </c>
      <c r="B13" s="62" t="n"/>
      <c r="C13" s="62" t="n"/>
      <c r="D13" s="62" t="n"/>
      <c r="E13" s="62" t="n"/>
      <c r="F13" s="5" t="n"/>
      <c r="G13" s="5" t="n"/>
      <c r="H13" s="5" t="n"/>
    </row>
    <row r="14">
      <c r="A14" s="61" t="inlineStr">
        <is>
          <t>→  Fuller</t>
        </is>
      </c>
      <c r="B14" s="62" t="n"/>
      <c r="C14" s="62" t="n"/>
      <c r="D14" s="62" t="n"/>
      <c r="E14" s="62" t="n"/>
      <c r="F14" s="5" t="n"/>
      <c r="G14" s="5" t="n"/>
      <c r="H14" s="5" t="n"/>
    </row>
    <row r="15">
      <c r="A15" s="61" t="inlineStr">
        <is>
          <t>→  Exam Reviews</t>
        </is>
      </c>
      <c r="B15" s="62" t="n"/>
      <c r="C15" s="62" t="n"/>
      <c r="D15" s="62" t="n"/>
      <c r="E15" s="62" t="n"/>
      <c r="F15" s="5" t="n"/>
      <c r="G15" s="5" t="n"/>
      <c r="H15" s="5" t="n"/>
    </row>
    <row r="16">
      <c r="A16" s="61">
        <f>HYPERLINK('START HERE'!$B$36,"→  Zoom Backup")</f>
        <v/>
      </c>
      <c r="B16" s="62" t="n"/>
      <c r="C16" s="62" t="n"/>
      <c r="D16" s="62" t="n"/>
      <c r="E16" s="62" t="n"/>
      <c r="F16" s="5" t="n"/>
      <c r="G16" s="5" t="n"/>
      <c r="H16" s="5" t="n"/>
    </row>
    <row r="17">
      <c r="A17" s="61" t="inlineStr">
        <is>
          <t>→  Review videos</t>
        </is>
      </c>
      <c r="B17" s="62" t="n"/>
      <c r="C17" s="62" t="n"/>
      <c r="D17" s="62" t="n"/>
      <c r="E17" s="62" t="n"/>
      <c r="F17" s="5" t="n"/>
      <c r="G17" s="5" t="n"/>
      <c r="H17" s="5" t="n"/>
    </row>
    <row r="18" s="149">
      <c r="A18" s="153" t="inlineStr">
        <is>
          <t>NUR258</t>
        </is>
      </c>
      <c r="F18" s="5" t="n"/>
      <c r="G18" s="5" t="n"/>
      <c r="H18" s="5" t="n"/>
    </row>
    <row r="19" s="149">
      <c r="A19" s="64" t="inlineStr">
        <is>
          <t>→  Halecka</t>
        </is>
      </c>
      <c r="B19" s="65" t="n"/>
      <c r="C19" s="65" t="n"/>
      <c r="D19" s="65" t="n"/>
      <c r="E19" s="65" t="n"/>
      <c r="F19" s="5" t="n"/>
      <c r="G19" s="5" t="n"/>
      <c r="H19" s="5" t="n"/>
    </row>
    <row r="20" ht="15.75" customHeight="1" s="149">
      <c r="A20" s="64" t="inlineStr">
        <is>
          <t>→  Wagner</t>
        </is>
      </c>
      <c r="B20" s="65" t="n"/>
      <c r="C20" s="65" t="n"/>
      <c r="D20" s="65" t="n"/>
      <c r="E20" s="65" t="n"/>
      <c r="F20" s="5" t="n"/>
      <c r="G20" s="5" t="n"/>
      <c r="H20" s="5" t="n"/>
    </row>
    <row r="21" ht="15.75" customHeight="1" s="149">
      <c r="A21" s="64" t="inlineStr">
        <is>
          <t>→  Simmons</t>
        </is>
      </c>
      <c r="B21" s="65" t="n"/>
      <c r="C21" s="65" t="n"/>
      <c r="D21" s="65" t="n"/>
      <c r="E21" s="65" t="n"/>
      <c r="F21" s="5" t="n"/>
      <c r="G21" s="5" t="n"/>
      <c r="H21" s="5" t="n"/>
    </row>
    <row r="22" ht="15.75" customHeight="1" s="149">
      <c r="A22" s="64" t="inlineStr">
        <is>
          <t>→  Exam Reviews</t>
        </is>
      </c>
      <c r="B22" s="65" t="n"/>
      <c r="C22" s="65" t="n"/>
      <c r="D22" s="65" t="n"/>
      <c r="E22" s="65" t="n"/>
      <c r="F22" s="5" t="n"/>
      <c r="G22" s="5" t="n"/>
      <c r="H22" s="5" t="n"/>
    </row>
    <row r="23" ht="15.75" customHeight="1" s="149">
      <c r="A23" s="64">
        <f>HYPERLINK('START HERE'!$B$36,"→  Zoom Backup")</f>
        <v/>
      </c>
      <c r="B23" s="65" t="n"/>
      <c r="C23" s="65" t="n"/>
      <c r="D23" s="65" t="n"/>
      <c r="E23" s="65" t="n"/>
      <c r="F23" s="5" t="n"/>
      <c r="G23" s="5" t="n"/>
      <c r="H23" s="5" t="n"/>
    </row>
    <row r="24" ht="15.75" customHeight="1" s="149">
      <c r="A24" s="64" t="inlineStr">
        <is>
          <t>→  Review videos</t>
        </is>
      </c>
      <c r="B24" s="65" t="n"/>
      <c r="C24" s="65" t="n"/>
      <c r="D24" s="65" t="n"/>
      <c r="E24" s="65" t="n"/>
      <c r="F24" s="5" t="n"/>
      <c r="G24" s="5" t="n"/>
      <c r="H24" s="5" t="n"/>
    </row>
    <row r="25" s="149">
      <c r="A25" s="154" t="inlineStr">
        <is>
          <t>NUR198</t>
        </is>
      </c>
      <c r="F25" s="5" t="n"/>
      <c r="G25" s="5" t="n"/>
      <c r="H25" s="5" t="n"/>
    </row>
    <row r="26" s="149">
      <c r="A26" s="155" t="inlineStr">
        <is>
          <t>→  Videos</t>
        </is>
      </c>
      <c r="B26" s="156" t="n"/>
      <c r="C26" s="156" t="n"/>
      <c r="D26" s="156" t="n"/>
      <c r="E26" s="156" t="n"/>
      <c r="F26" s="5" t="n"/>
      <c r="G26" s="5" t="n"/>
      <c r="H26" s="5" t="n"/>
    </row>
    <row r="27" s="149">
      <c r="A27" s="155" t="inlineStr">
        <is>
          <t>→  Exam Reviews</t>
        </is>
      </c>
      <c r="B27" s="156" t="n"/>
      <c r="C27" s="156" t="n"/>
      <c r="D27" s="156" t="n"/>
      <c r="E27" s="156" t="n"/>
      <c r="F27" s="5" t="n"/>
      <c r="G27" s="5" t="n"/>
      <c r="H27" s="5" t="n"/>
    </row>
    <row r="28" s="149">
      <c r="A28" s="157" t="inlineStr">
        <is>
          <t>NUR175</t>
        </is>
      </c>
      <c r="F28" s="5" t="n"/>
      <c r="G28" s="5" t="n"/>
      <c r="H28" s="5" t="n"/>
    </row>
    <row r="29" s="149">
      <c r="A29" s="158" t="inlineStr">
        <is>
          <t>→  Videos</t>
        </is>
      </c>
      <c r="B29" s="159" t="n"/>
      <c r="C29" s="159" t="n"/>
      <c r="D29" s="159" t="n"/>
      <c r="E29" s="159" t="n"/>
      <c r="F29" s="5" t="n"/>
      <c r="G29" s="5" t="n"/>
      <c r="H29" s="5" t="n"/>
    </row>
    <row r="30" s="149">
      <c r="A30" s="158" t="inlineStr">
        <is>
          <t>→  Exam Reviews</t>
        </is>
      </c>
      <c r="B30" s="159" t="n"/>
      <c r="C30" s="159" t="n"/>
      <c r="D30" s="159" t="n"/>
      <c r="E30" s="159" t="n"/>
      <c r="F30" s="5" t="n"/>
      <c r="G30" s="5" t="n"/>
      <c r="H30" s="5" t="n"/>
    </row>
    <row r="31" s="149">
      <c r="A31" s="160" t="inlineStr">
        <is>
          <t>NUR125</t>
        </is>
      </c>
      <c r="F31" s="5" t="n"/>
      <c r="G31" s="5" t="n"/>
      <c r="H31" s="5" t="n"/>
    </row>
    <row r="32" s="149">
      <c r="A32" s="161" t="inlineStr">
        <is>
          <t>→  Videos</t>
        </is>
      </c>
      <c r="B32" s="162" t="n"/>
      <c r="C32" s="162" t="n"/>
      <c r="D32" s="162" t="n"/>
      <c r="E32" s="162" t="n"/>
      <c r="F32" s="5" t="n"/>
      <c r="G32" s="5" t="n"/>
      <c r="H32" s="5" t="n"/>
    </row>
    <row r="33" ht="15.75" customHeight="1" s="149">
      <c r="A33" s="16" t="n"/>
      <c r="B33" s="16" t="n"/>
      <c r="C33" s="16" t="n"/>
      <c r="D33" s="16" t="n"/>
      <c r="E33" s="16" t="n"/>
      <c r="F33" s="5" t="n"/>
      <c r="G33" s="5" t="n"/>
      <c r="H33" s="5" t="n"/>
    </row>
    <row r="34" ht="15.75" customHeight="1" s="149">
      <c r="A34" s="16" t="n"/>
      <c r="B34" s="16" t="n"/>
      <c r="C34" s="16" t="n"/>
      <c r="D34" s="16" t="n"/>
      <c r="E34" s="16" t="n"/>
      <c r="F34" s="5" t="n"/>
      <c r="G34" s="5" t="n"/>
      <c r="H34" s="5" t="n"/>
    </row>
    <row r="35" ht="15.75" customHeight="1" s="149">
      <c r="A35" s="16" t="n"/>
      <c r="B35" s="16" t="n"/>
      <c r="C35" s="16" t="n"/>
      <c r="D35" s="16" t="n"/>
      <c r="E35" s="16" t="n"/>
      <c r="F35" s="5" t="n"/>
      <c r="G35" s="5" t="n"/>
      <c r="H35" s="5" t="n"/>
    </row>
    <row r="36" ht="15.75" customHeight="1" s="149">
      <c r="A36" s="70" t="inlineStr">
        <is>
          <t>Zoom backups link → paste it into B36 and every "Zoom" button works again:</t>
        </is>
      </c>
      <c r="B36" s="72" t="n"/>
      <c r="C36" s="16" t="n"/>
      <c r="D36" s="16" t="n"/>
      <c r="E36" s="16" t="n"/>
      <c r="F36" s="5" t="n"/>
      <c r="G36" s="5" t="n"/>
      <c r="H36" s="5" t="n"/>
    </row>
    <row r="37" ht="15.75" customHeight="1" s="149">
      <c r="A37" s="16" t="n"/>
      <c r="B37" s="16" t="n"/>
      <c r="C37" s="16" t="n"/>
      <c r="D37" s="16" t="n"/>
      <c r="E37" s="16" t="n"/>
      <c r="F37" s="5" t="n"/>
      <c r="G37" s="5" t="n"/>
      <c r="H37" s="5" t="n"/>
    </row>
    <row r="38" ht="15.75" customHeight="1" s="149">
      <c r="A38" s="163" t="inlineStr">
        <is>
          <t>HOW TO USE IT</t>
        </is>
      </c>
      <c r="F38" s="5" t="n"/>
      <c r="G38" s="5" t="n"/>
      <c r="H38" s="5" t="n"/>
    </row>
    <row r="39" ht="15.75" customHeight="1" s="149">
      <c r="A39" s="68" t="inlineStr">
        <is>
          <t>•  Every recording links straight to the video in your Google Drive - no passwords needed.</t>
        </is>
      </c>
      <c r="F39" s="5" t="n"/>
      <c r="G39" s="5" t="n"/>
      <c r="H39" s="5" t="n"/>
    </row>
    <row r="40" ht="15.75" customHeight="1" s="149">
      <c r="A40" s="68" t="inlineStr">
        <is>
          <t>•  Each lecturer has their own sub-tab. The Lecturer column repeats it row by row.</t>
        </is>
      </c>
      <c r="F40" s="5" t="n"/>
      <c r="G40" s="5" t="n"/>
      <c r="H40" s="5" t="n"/>
    </row>
    <row r="41" ht="15.75" customHeight="1" s="149">
      <c r="A41" s="68" t="inlineStr">
        <is>
          <t>•  Zoom (the "Zoom" button on each class, and the links above) opens your NUR Zoom backups workbook - old Zoom links and passwords for sessions with no Drive recording. It reads the link you paste into B36 below.</t>
        </is>
      </c>
      <c r="F41" s="5" t="n"/>
      <c r="G41" s="5" t="n"/>
      <c r="H41" s="5" t="n"/>
    </row>
    <row r="42" ht="15.75" customHeight="1" s="149">
      <c r="A42" s="68" t="inlineStr">
        <is>
          <t>•  Use the My notes column however you like - mark what you have watched, jot reminders.</t>
        </is>
      </c>
      <c r="F42" s="5" t="n"/>
      <c r="G42" s="5" t="n"/>
      <c r="H42" s="5" t="n"/>
    </row>
    <row r="43" ht="15.75" customHeight="1" s="149">
      <c r="A43" s="68" t="inlineStr">
        <is>
          <t>•  Empty dark rows are already set up for the rest of the semester - just type in them.</t>
        </is>
      </c>
      <c r="F43" s="5" t="n"/>
      <c r="G43" s="5" t="n"/>
      <c r="H43" s="5" t="n"/>
    </row>
    <row r="44" ht="15.75" customHeight="1" s="149">
      <c r="A44" s="68" t="inlineStr">
        <is>
          <t>•  To add a recording: right-click the cell -&gt; Link -&gt; paste the Drive URL.</t>
        </is>
      </c>
      <c r="F44" s="5" t="n"/>
      <c r="G44" s="5" t="n"/>
      <c r="H44" s="5" t="n"/>
    </row>
    <row r="45" ht="15.75" customHeight="1" s="149">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5" t="n"/>
      <c r="G45" s="5" t="n"/>
      <c r="H45" s="5" t="n"/>
    </row>
    <row r="46" ht="15.75" customHeight="1" s="149">
      <c r="A46" s="16" t="n"/>
      <c r="F46" s="5" t="n"/>
      <c r="G46" s="5" t="n"/>
      <c r="H46" s="5" t="n"/>
    </row>
    <row r="47" ht="15.75" customHeight="1" s="149">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5" t="n"/>
      <c r="G47" s="5" t="n"/>
      <c r="H47" s="5" t="n"/>
    </row>
    <row r="48" ht="15.75" customHeight="1" s="149">
      <c r="A48" s="5" t="n"/>
      <c r="B48" s="5" t="n"/>
      <c r="C48" s="5" t="n"/>
      <c r="D48" s="5" t="n"/>
      <c r="E48" s="5" t="n"/>
      <c r="F48" s="5" t="n"/>
      <c r="G48" s="5" t="n"/>
      <c r="H48" s="5" t="n"/>
    </row>
    <row r="49" ht="15.75" customHeight="1" s="149">
      <c r="A49" s="5" t="n"/>
      <c r="B49" s="5" t="n"/>
      <c r="C49" s="5" t="n"/>
      <c r="D49" s="5" t="n"/>
      <c r="E49" s="5" t="n"/>
      <c r="F49" s="5" t="n"/>
      <c r="G49" s="5" t="n"/>
      <c r="H49" s="5" t="n"/>
    </row>
    <row r="50" ht="15.75" customHeight="1" s="149">
      <c r="A50" s="5" t="n"/>
      <c r="B50" s="5" t="n"/>
      <c r="C50" s="5" t="n"/>
      <c r="D50" s="5" t="n"/>
      <c r="E50" s="5" t="n"/>
      <c r="F50" s="5" t="n"/>
      <c r="G50" s="5" t="n"/>
      <c r="H50" s="5" t="n"/>
    </row>
    <row r="51" ht="15.75" customHeight="1" s="149">
      <c r="A51" s="5" t="n"/>
      <c r="B51" s="5" t="n"/>
      <c r="C51" s="5" t="n"/>
      <c r="D51" s="5" t="n"/>
      <c r="E51" s="5" t="n"/>
      <c r="F51" s="5" t="n"/>
      <c r="G51" s="5" t="n"/>
      <c r="H51" s="5" t="n"/>
    </row>
    <row r="52" ht="15.75" customHeight="1" s="149">
      <c r="A52" s="5" t="n"/>
      <c r="B52" s="5" t="n"/>
      <c r="C52" s="5" t="n"/>
      <c r="D52" s="5" t="n"/>
      <c r="E52" s="5" t="n"/>
      <c r="F52" s="5" t="n"/>
      <c r="G52" s="5" t="n"/>
      <c r="H52" s="5" t="n"/>
    </row>
    <row r="53" ht="15.75" customHeight="1" s="149">
      <c r="A53" s="5" t="n"/>
      <c r="B53" s="5" t="n"/>
      <c r="C53" s="5" t="n"/>
      <c r="D53" s="5" t="n"/>
      <c r="E53" s="5" t="n"/>
      <c r="F53" s="5" t="n"/>
      <c r="G53" s="5" t="n"/>
      <c r="H53" s="5" t="n"/>
    </row>
    <row r="54" ht="15.75" customHeight="1" s="149">
      <c r="A54" s="5" t="n"/>
      <c r="B54" s="5" t="n"/>
      <c r="C54" s="5" t="n"/>
      <c r="D54" s="5" t="n"/>
      <c r="E54" s="5" t="n"/>
      <c r="F54" s="5" t="n"/>
      <c r="G54" s="5" t="n"/>
      <c r="H54" s="5" t="n"/>
    </row>
    <row r="55" ht="15.75" customHeight="1" s="149">
      <c r="A55" s="5" t="n"/>
      <c r="B55" s="5" t="n"/>
      <c r="C55" s="5" t="n"/>
      <c r="D55" s="5" t="n"/>
      <c r="E55" s="5" t="n"/>
      <c r="F55" s="5" t="n"/>
      <c r="G55" s="5" t="n"/>
      <c r="H55" s="5" t="n"/>
    </row>
    <row r="56" ht="15.75" customHeight="1" s="149">
      <c r="A56" s="5" t="n"/>
      <c r="B56" s="5" t="n"/>
      <c r="C56" s="5" t="n"/>
      <c r="D56" s="5" t="n"/>
      <c r="E56" s="5" t="n"/>
      <c r="F56" s="5" t="n"/>
      <c r="G56" s="5" t="n"/>
      <c r="H56" s="5" t="n"/>
    </row>
    <row r="57" ht="15.75" customHeight="1" s="149">
      <c r="A57" s="5" t="n"/>
      <c r="B57" s="5" t="n"/>
      <c r="C57" s="5" t="n"/>
      <c r="D57" s="5" t="n"/>
      <c r="E57" s="5" t="n"/>
      <c r="F57" s="5" t="n"/>
      <c r="G57" s="5" t="n"/>
      <c r="H57" s="5" t="n"/>
    </row>
    <row r="58" ht="15.75" customHeight="1" s="149">
      <c r="A58" s="5" t="n"/>
      <c r="B58" s="5" t="n"/>
      <c r="C58" s="5" t="n"/>
      <c r="D58" s="5" t="n"/>
      <c r="E58" s="5" t="n"/>
      <c r="F58" s="5" t="n"/>
      <c r="G58" s="5" t="n"/>
      <c r="H58" s="5" t="n"/>
    </row>
    <row r="59" ht="15.75" customHeight="1" s="149">
      <c r="A59" s="5" t="n"/>
      <c r="B59" s="5" t="n"/>
      <c r="C59" s="5" t="n"/>
      <c r="D59" s="5" t="n"/>
      <c r="E59" s="5" t="n"/>
      <c r="F59" s="5" t="n"/>
      <c r="G59" s="5" t="n"/>
      <c r="H59" s="5" t="n"/>
    </row>
    <row r="60" ht="15.75" customHeight="1" s="149">
      <c r="A60" s="5" t="n"/>
      <c r="B60" s="5" t="n"/>
      <c r="C60" s="5" t="n"/>
      <c r="D60" s="5" t="n"/>
      <c r="E60" s="5" t="n"/>
      <c r="F60" s="5" t="n"/>
      <c r="G60" s="5" t="n"/>
      <c r="H60" s="5" t="n"/>
    </row>
    <row r="61" ht="15.75" customHeight="1" s="149">
      <c r="A61" s="5" t="n"/>
      <c r="B61" s="5" t="n"/>
      <c r="C61" s="5" t="n"/>
      <c r="D61" s="5" t="n"/>
      <c r="E61" s="5" t="n"/>
      <c r="F61" s="5" t="n"/>
      <c r="G61" s="5" t="n"/>
      <c r="H61" s="5" t="n"/>
    </row>
    <row r="62" ht="15.75" customHeight="1" s="149">
      <c r="A62" s="5" t="n"/>
      <c r="B62" s="5" t="n"/>
      <c r="C62" s="5" t="n"/>
      <c r="D62" s="5" t="n"/>
      <c r="E62" s="5" t="n"/>
      <c r="F62" s="5" t="n"/>
      <c r="G62" s="5" t="n"/>
      <c r="H62" s="5" t="n"/>
    </row>
    <row r="63" ht="15.75" customHeight="1" s="149">
      <c r="A63" s="5" t="n"/>
      <c r="B63" s="5" t="n"/>
      <c r="C63" s="5" t="n"/>
      <c r="D63" s="5" t="n"/>
      <c r="E63" s="5" t="n"/>
      <c r="F63" s="5" t="n"/>
      <c r="G63" s="5" t="n"/>
      <c r="H63" s="5" t="n"/>
    </row>
    <row r="64" ht="15.75" customHeight="1" s="149">
      <c r="A64" s="5" t="n"/>
      <c r="B64" s="5" t="n"/>
      <c r="C64" s="5" t="n"/>
      <c r="D64" s="5" t="n"/>
      <c r="E64" s="5" t="n"/>
      <c r="F64" s="5" t="n"/>
      <c r="G64" s="5" t="n"/>
      <c r="H64" s="5" t="n"/>
    </row>
    <row r="65" ht="15.75" customHeight="1" s="149">
      <c r="A65" s="5" t="n"/>
      <c r="B65" s="5" t="n"/>
      <c r="C65" s="5" t="n"/>
      <c r="D65" s="5" t="n"/>
      <c r="E65" s="5" t="n"/>
      <c r="F65" s="5" t="n"/>
      <c r="G65" s="5" t="n"/>
      <c r="H65" s="5" t="n"/>
    </row>
    <row r="66" ht="15.75" customHeight="1" s="149">
      <c r="A66" s="5" t="n"/>
      <c r="B66" s="5" t="n"/>
      <c r="C66" s="5" t="n"/>
      <c r="D66" s="5" t="n"/>
      <c r="E66" s="5" t="n"/>
      <c r="F66" s="5" t="n"/>
      <c r="G66" s="5" t="n"/>
      <c r="H66" s="5" t="n"/>
    </row>
    <row r="67" ht="15.75" customHeight="1" s="149">
      <c r="A67" s="5" t="n"/>
      <c r="B67" s="5" t="n"/>
      <c r="C67" s="5" t="n"/>
      <c r="D67" s="5" t="n"/>
      <c r="E67" s="5" t="n"/>
      <c r="F67" s="5" t="n"/>
      <c r="G67" s="5" t="n"/>
      <c r="H67" s="5" t="n"/>
    </row>
    <row r="68" ht="15.75" customHeight="1" s="149">
      <c r="A68" s="5" t="n"/>
      <c r="B68" s="5" t="n"/>
      <c r="C68" s="5" t="n"/>
      <c r="D68" s="5" t="n"/>
      <c r="E68" s="5" t="n"/>
      <c r="F68" s="5" t="n"/>
      <c r="G68" s="5" t="n"/>
      <c r="H68" s="5" t="n"/>
    </row>
    <row r="69" ht="15.75" customHeight="1" s="149">
      <c r="A69" s="5" t="n"/>
      <c r="B69" s="5" t="n"/>
      <c r="C69" s="5" t="n"/>
      <c r="D69" s="5" t="n"/>
      <c r="E69" s="5" t="n"/>
      <c r="F69" s="5" t="n"/>
      <c r="G69" s="5" t="n"/>
      <c r="H69" s="5" t="n"/>
    </row>
    <row r="70" ht="15.75" customHeight="1" s="149">
      <c r="A70" s="5" t="n"/>
      <c r="B70" s="5" t="n"/>
      <c r="C70" s="5" t="n"/>
      <c r="D70" s="5" t="n"/>
      <c r="E70" s="5" t="n"/>
      <c r="F70" s="5" t="n"/>
      <c r="G70" s="5" t="n"/>
      <c r="H70" s="5" t="n"/>
    </row>
    <row r="71" ht="15.75" customHeight="1" s="149">
      <c r="A71" s="5" t="n"/>
      <c r="B71" s="5" t="n"/>
      <c r="C71" s="5" t="n"/>
      <c r="D71" s="5" t="n"/>
      <c r="E71" s="5" t="n"/>
      <c r="F71" s="5" t="n"/>
      <c r="G71" s="5" t="n"/>
      <c r="H71" s="5" t="n"/>
    </row>
    <row r="72" ht="15.75" customHeight="1" s="149">
      <c r="A72" s="5" t="n"/>
      <c r="B72" s="5" t="n"/>
      <c r="C72" s="5" t="n"/>
      <c r="D72" s="5" t="n"/>
      <c r="E72" s="5" t="n"/>
      <c r="F72" s="5" t="n"/>
      <c r="G72" s="5" t="n"/>
      <c r="H72" s="5" t="n"/>
    </row>
    <row r="73" ht="15.75" customHeight="1" s="149">
      <c r="A73" s="5" t="n"/>
      <c r="B73" s="5" t="n"/>
      <c r="C73" s="5" t="n"/>
      <c r="D73" s="5" t="n"/>
      <c r="E73" s="5" t="n"/>
      <c r="F73" s="5" t="n"/>
      <c r="G73" s="5" t="n"/>
      <c r="H73" s="5" t="n"/>
    </row>
    <row r="74" ht="15.75" customHeight="1" s="149">
      <c r="A74" s="5" t="n"/>
      <c r="B74" s="5" t="n"/>
      <c r="C74" s="5" t="n"/>
      <c r="D74" s="5" t="n"/>
      <c r="E74" s="5" t="n"/>
      <c r="F74" s="5" t="n"/>
      <c r="G74" s="5" t="n"/>
      <c r="H74" s="5" t="n"/>
    </row>
    <row r="75" ht="15.75" customHeight="1" s="149">
      <c r="A75" s="5" t="n"/>
      <c r="B75" s="5" t="n"/>
      <c r="C75" s="5" t="n"/>
      <c r="D75" s="5" t="n"/>
      <c r="E75" s="5" t="n"/>
      <c r="F75" s="5" t="n"/>
      <c r="G75" s="5" t="n"/>
      <c r="H75" s="5" t="n"/>
    </row>
    <row r="76" ht="15.75" customHeight="1" s="149">
      <c r="A76" s="5" t="n"/>
      <c r="B76" s="5" t="n"/>
      <c r="C76" s="5" t="n"/>
      <c r="D76" s="5" t="n"/>
      <c r="E76" s="5" t="n"/>
      <c r="F76" s="5" t="n"/>
      <c r="G76" s="5" t="n"/>
      <c r="H76" s="5" t="n"/>
    </row>
    <row r="77" ht="15.75" customHeight="1" s="149">
      <c r="A77" s="5" t="n"/>
      <c r="B77" s="5" t="n"/>
      <c r="C77" s="5" t="n"/>
      <c r="D77" s="5" t="n"/>
      <c r="E77" s="5" t="n"/>
      <c r="F77" s="5" t="n"/>
      <c r="G77" s="5" t="n"/>
      <c r="H77" s="5" t="n"/>
    </row>
    <row r="78" ht="15.75" customHeight="1" s="149">
      <c r="A78" s="5" t="n"/>
      <c r="B78" s="5" t="n"/>
      <c r="C78" s="5" t="n"/>
      <c r="D78" s="5" t="n"/>
      <c r="E78" s="5" t="n"/>
      <c r="F78" s="5" t="n"/>
      <c r="G78" s="5" t="n"/>
      <c r="H78" s="5" t="n"/>
    </row>
    <row r="79" ht="15.75" customHeight="1" s="149">
      <c r="A79" s="5" t="n"/>
      <c r="B79" s="5" t="n"/>
      <c r="C79" s="5" t="n"/>
      <c r="D79" s="5" t="n"/>
      <c r="E79" s="5" t="n"/>
      <c r="F79" s="5" t="n"/>
      <c r="G79" s="5" t="n"/>
      <c r="H79" s="5" t="n"/>
    </row>
    <row r="80" ht="15.75" customHeight="1" s="149">
      <c r="A80" s="5" t="n"/>
      <c r="B80" s="5" t="n"/>
      <c r="C80" s="5" t="n"/>
      <c r="D80" s="5" t="n"/>
      <c r="E80" s="5" t="n"/>
      <c r="F80" s="5" t="n"/>
      <c r="G80" s="5" t="n"/>
      <c r="H80" s="5" t="n"/>
    </row>
    <row r="81" ht="15.75" customHeight="1" s="149">
      <c r="A81" s="5" t="n"/>
      <c r="B81" s="5" t="n"/>
      <c r="C81" s="5" t="n"/>
      <c r="D81" s="5" t="n"/>
      <c r="E81" s="5" t="n"/>
      <c r="F81" s="5" t="n"/>
      <c r="G81" s="5" t="n"/>
      <c r="H81" s="5" t="n"/>
    </row>
    <row r="82" ht="15.75" customHeight="1" s="149">
      <c r="A82" s="5" t="n"/>
      <c r="B82" s="5" t="n"/>
      <c r="C82" s="5" t="n"/>
      <c r="D82" s="5" t="n"/>
      <c r="E82" s="5" t="n"/>
      <c r="F82" s="5" t="n"/>
      <c r="G82" s="5" t="n"/>
      <c r="H82" s="5" t="n"/>
    </row>
    <row r="83" ht="15.75" customHeight="1" s="149">
      <c r="A83" s="5" t="n"/>
      <c r="B83" s="5" t="n"/>
      <c r="C83" s="5" t="n"/>
      <c r="D83" s="5" t="n"/>
      <c r="E83" s="5" t="n"/>
      <c r="F83" s="5" t="n"/>
      <c r="G83" s="5" t="n"/>
      <c r="H83" s="5" t="n"/>
    </row>
    <row r="84" ht="15.75" customHeight="1" s="149">
      <c r="A84" s="5" t="n"/>
      <c r="B84" s="5" t="n"/>
      <c r="C84" s="5" t="n"/>
      <c r="D84" s="5" t="n"/>
      <c r="E84" s="5" t="n"/>
      <c r="F84" s="5" t="n"/>
      <c r="G84" s="5" t="n"/>
      <c r="H84" s="5" t="n"/>
    </row>
    <row r="85" ht="15.75" customHeight="1" s="149">
      <c r="A85" s="5" t="n"/>
      <c r="B85" s="5" t="n"/>
      <c r="C85" s="5" t="n"/>
      <c r="D85" s="5" t="n"/>
      <c r="E85" s="5" t="n"/>
      <c r="F85" s="5" t="n"/>
      <c r="G85" s="5" t="n"/>
      <c r="H85" s="5" t="n"/>
    </row>
    <row r="86" ht="15.75" customHeight="1" s="149">
      <c r="A86" s="5" t="n"/>
      <c r="B86" s="5" t="n"/>
      <c r="C86" s="5" t="n"/>
      <c r="D86" s="5" t="n"/>
      <c r="E86" s="5" t="n"/>
      <c r="F86" s="5" t="n"/>
      <c r="G86" s="5" t="n"/>
      <c r="H86" s="5" t="n"/>
    </row>
    <row r="87" ht="15.75" customHeight="1" s="149">
      <c r="A87" s="5" t="n"/>
      <c r="B87" s="5" t="n"/>
      <c r="C87" s="5" t="n"/>
      <c r="D87" s="5" t="n"/>
      <c r="E87" s="5" t="n"/>
      <c r="F87" s="5" t="n"/>
      <c r="G87" s="5" t="n"/>
      <c r="H87" s="5" t="n"/>
    </row>
    <row r="88" ht="15.75" customHeight="1" s="149">
      <c r="A88" s="5" t="n"/>
      <c r="B88" s="5" t="n"/>
      <c r="C88" s="5" t="n"/>
      <c r="D88" s="5" t="n"/>
      <c r="E88" s="5" t="n"/>
      <c r="F88" s="5" t="n"/>
      <c r="G88" s="5" t="n"/>
      <c r="H88" s="5" t="n"/>
    </row>
    <row r="89" ht="15.75" customHeight="1" s="149">
      <c r="A89" s="5" t="n"/>
      <c r="B89" s="5" t="n"/>
      <c r="C89" s="5" t="n"/>
      <c r="D89" s="5" t="n"/>
      <c r="E89" s="5" t="n"/>
      <c r="F89" s="5" t="n"/>
      <c r="G89" s="5" t="n"/>
      <c r="H89" s="5" t="n"/>
    </row>
    <row r="90" ht="15.75" customHeight="1" s="149">
      <c r="A90" s="5" t="n"/>
      <c r="B90" s="5" t="n"/>
      <c r="C90" s="5" t="n"/>
      <c r="D90" s="5" t="n"/>
      <c r="E90" s="5" t="n"/>
      <c r="F90" s="5" t="n"/>
      <c r="G90" s="5" t="n"/>
      <c r="H90" s="5" t="n"/>
    </row>
    <row r="91" ht="15.75" customHeight="1" s="149">
      <c r="A91" s="5" t="n"/>
      <c r="B91" s="5" t="n"/>
      <c r="C91" s="5" t="n"/>
      <c r="D91" s="5" t="n"/>
      <c r="E91" s="5" t="n"/>
      <c r="F91" s="5" t="n"/>
      <c r="G91" s="5" t="n"/>
      <c r="H91" s="5" t="n"/>
    </row>
    <row r="92" ht="15.75" customHeight="1" s="149">
      <c r="A92" s="5" t="n"/>
      <c r="B92" s="5" t="n"/>
      <c r="C92" s="5" t="n"/>
      <c r="D92" s="5" t="n"/>
      <c r="E92" s="5" t="n"/>
      <c r="F92" s="5" t="n"/>
      <c r="G92" s="5" t="n"/>
      <c r="H92" s="5" t="n"/>
    </row>
    <row r="93" ht="15.75" customHeight="1" s="149">
      <c r="A93" s="5" t="n"/>
      <c r="B93" s="5" t="n"/>
      <c r="C93" s="5" t="n"/>
      <c r="D93" s="5" t="n"/>
      <c r="E93" s="5" t="n"/>
      <c r="F93" s="5" t="n"/>
      <c r="G93" s="5" t="n"/>
      <c r="H93" s="5" t="n"/>
    </row>
    <row r="94" ht="15.75" customHeight="1" s="149">
      <c r="A94" s="5" t="n"/>
      <c r="B94" s="5" t="n"/>
      <c r="C94" s="5" t="n"/>
      <c r="D94" s="5" t="n"/>
      <c r="E94" s="5" t="n"/>
      <c r="F94" s="5" t="n"/>
      <c r="G94" s="5" t="n"/>
      <c r="H94" s="5" t="n"/>
    </row>
    <row r="95" ht="15.75" customHeight="1" s="149">
      <c r="A95" s="5" t="n"/>
      <c r="B95" s="5" t="n"/>
      <c r="C95" s="5" t="n"/>
      <c r="D95" s="5" t="n"/>
      <c r="E95" s="5" t="n"/>
      <c r="F95" s="5" t="n"/>
      <c r="G95" s="5" t="n"/>
      <c r="H95" s="5" t="n"/>
    </row>
    <row r="96" ht="15.75" customHeight="1" s="149">
      <c r="A96" s="5" t="n"/>
      <c r="B96" s="5" t="n"/>
      <c r="C96" s="5" t="n"/>
      <c r="D96" s="5" t="n"/>
      <c r="E96" s="5" t="n"/>
      <c r="F96" s="5" t="n"/>
      <c r="G96" s="5" t="n"/>
      <c r="H96" s="5" t="n"/>
    </row>
    <row r="97" ht="15.75" customHeight="1" s="149">
      <c r="A97" s="5" t="n"/>
      <c r="B97" s="5" t="n"/>
      <c r="C97" s="5" t="n"/>
      <c r="D97" s="5" t="n"/>
      <c r="E97" s="5" t="n"/>
      <c r="F97" s="5" t="n"/>
      <c r="G97" s="5" t="n"/>
      <c r="H97" s="5" t="n"/>
    </row>
    <row r="98" ht="15.75" customHeight="1" s="149">
      <c r="A98" s="5" t="n"/>
      <c r="B98" s="5" t="n"/>
      <c r="C98" s="5" t="n"/>
      <c r="D98" s="5" t="n"/>
      <c r="E98" s="5" t="n"/>
      <c r="F98" s="5" t="n"/>
      <c r="G98" s="5" t="n"/>
      <c r="H98" s="5" t="n"/>
    </row>
    <row r="99" ht="15.75" customHeight="1" s="149">
      <c r="A99" s="5" t="n"/>
      <c r="B99" s="5" t="n"/>
      <c r="C99" s="5" t="n"/>
      <c r="D99" s="5" t="n"/>
      <c r="E99" s="5" t="n"/>
      <c r="F99" s="5" t="n"/>
      <c r="G99" s="5" t="n"/>
      <c r="H99" s="5" t="n"/>
    </row>
    <row r="100" ht="15.75" customHeight="1" s="149">
      <c r="A100" s="5" t="n"/>
      <c r="B100" s="5" t="n"/>
      <c r="C100" s="5" t="n"/>
      <c r="D100" s="5" t="n"/>
      <c r="E100" s="5" t="n"/>
      <c r="F100" s="5" t="n"/>
      <c r="G100" s="5" t="n"/>
      <c r="H100" s="5" t="n"/>
    </row>
    <row r="101" ht="15.75" customHeight="1" s="149">
      <c r="A101" s="5" t="n"/>
      <c r="B101" s="5" t="n"/>
      <c r="C101" s="5" t="n"/>
      <c r="D101" s="5" t="n"/>
      <c r="E101" s="5" t="n"/>
      <c r="F101" s="5" t="n"/>
      <c r="G101" s="5" t="n"/>
      <c r="H101" s="5" t="n"/>
    </row>
    <row r="102" ht="15.75" customHeight="1" s="149">
      <c r="A102" s="5" t="n"/>
      <c r="B102" s="5" t="n"/>
      <c r="C102" s="5" t="n"/>
      <c r="D102" s="5" t="n"/>
      <c r="E102" s="5" t="n"/>
      <c r="F102" s="5" t="n"/>
      <c r="G102" s="5" t="n"/>
      <c r="H102" s="5" t="n"/>
    </row>
    <row r="103" ht="15.75" customHeight="1" s="149">
      <c r="A103" s="5" t="n"/>
      <c r="B103" s="5" t="n"/>
      <c r="C103" s="5" t="n"/>
      <c r="D103" s="5" t="n"/>
      <c r="E103" s="5" t="n"/>
      <c r="F103" s="5" t="n"/>
      <c r="G103" s="5" t="n"/>
      <c r="H103" s="5" t="n"/>
    </row>
    <row r="104" ht="15.75" customHeight="1" s="149">
      <c r="A104" s="5" t="n"/>
      <c r="B104" s="5" t="n"/>
      <c r="C104" s="5" t="n"/>
      <c r="D104" s="5" t="n"/>
      <c r="E104" s="5" t="n"/>
      <c r="F104" s="5" t="n"/>
      <c r="G104" s="5" t="n"/>
      <c r="H104" s="5" t="n"/>
    </row>
    <row r="105" ht="15.75" customHeight="1" s="149">
      <c r="A105" s="5" t="n"/>
      <c r="B105" s="5" t="n"/>
      <c r="C105" s="5" t="n"/>
      <c r="D105" s="5" t="n"/>
      <c r="E105" s="5" t="n"/>
      <c r="F105" s="5" t="n"/>
      <c r="G105" s="5" t="n"/>
      <c r="H105" s="5" t="n"/>
    </row>
    <row r="106" ht="15.75" customHeight="1" s="149">
      <c r="A106" s="5" t="n"/>
      <c r="B106" s="5" t="n"/>
      <c r="C106" s="5" t="n"/>
      <c r="D106" s="5" t="n"/>
      <c r="E106" s="5" t="n"/>
      <c r="F106" s="5" t="n"/>
      <c r="G106" s="5" t="n"/>
      <c r="H106" s="5" t="n"/>
    </row>
    <row r="107" ht="15.75" customHeight="1" s="149">
      <c r="A107" s="5" t="n"/>
      <c r="B107" s="5" t="n"/>
      <c r="C107" s="5" t="n"/>
      <c r="D107" s="5" t="n"/>
      <c r="E107" s="5" t="n"/>
      <c r="F107" s="5" t="n"/>
      <c r="G107" s="5" t="n"/>
      <c r="H107" s="5" t="n"/>
    </row>
    <row r="108" ht="15.75" customHeight="1" s="149">
      <c r="A108" s="5" t="n"/>
      <c r="B108" s="5" t="n"/>
      <c r="C108" s="5" t="n"/>
      <c r="D108" s="5" t="n"/>
      <c r="E108" s="5" t="n"/>
      <c r="F108" s="5" t="n"/>
      <c r="G108" s="5" t="n"/>
      <c r="H108" s="5" t="n"/>
    </row>
    <row r="109" ht="15.75" customHeight="1" s="149">
      <c r="A109" s="5" t="n"/>
      <c r="B109" s="5" t="n"/>
      <c r="C109" s="5" t="n"/>
      <c r="D109" s="5" t="n"/>
      <c r="E109" s="5" t="n"/>
      <c r="F109" s="5" t="n"/>
      <c r="G109" s="5" t="n"/>
      <c r="H109" s="5" t="n"/>
    </row>
    <row r="110" ht="15.75" customHeight="1" s="149">
      <c r="A110" s="5" t="n"/>
      <c r="B110" s="5" t="n"/>
      <c r="C110" s="5" t="n"/>
      <c r="D110" s="5" t="n"/>
      <c r="E110" s="5" t="n"/>
      <c r="F110" s="5" t="n"/>
      <c r="G110" s="5" t="n"/>
      <c r="H110" s="5" t="n"/>
    </row>
    <row r="111" ht="15.75" customHeight="1" s="149">
      <c r="A111" s="5" t="n"/>
      <c r="B111" s="5" t="n"/>
      <c r="C111" s="5" t="n"/>
      <c r="D111" s="5" t="n"/>
      <c r="E111" s="5" t="n"/>
      <c r="F111" s="5" t="n"/>
      <c r="G111" s="5" t="n"/>
      <c r="H111" s="5" t="n"/>
    </row>
    <row r="112" ht="15.75" customHeight="1" s="149">
      <c r="A112" s="5" t="n"/>
      <c r="B112" s="5" t="n"/>
      <c r="C112" s="5" t="n"/>
      <c r="D112" s="5" t="n"/>
      <c r="E112" s="5" t="n"/>
      <c r="F112" s="5" t="n"/>
      <c r="G112" s="5" t="n"/>
      <c r="H112" s="5" t="n"/>
    </row>
    <row r="113" ht="15.75" customHeight="1" s="149">
      <c r="A113" s="5" t="n"/>
      <c r="B113" s="5" t="n"/>
      <c r="C113" s="5" t="n"/>
      <c r="D113" s="5" t="n"/>
      <c r="E113" s="5" t="n"/>
      <c r="F113" s="5" t="n"/>
      <c r="G113" s="5" t="n"/>
      <c r="H113" s="5" t="n"/>
    </row>
    <row r="114" ht="15.75" customHeight="1" s="149">
      <c r="A114" s="5" t="n"/>
      <c r="B114" s="5" t="n"/>
      <c r="C114" s="5" t="n"/>
      <c r="D114" s="5" t="n"/>
      <c r="E114" s="5" t="n"/>
      <c r="F114" s="5" t="n"/>
      <c r="G114" s="5" t="n"/>
      <c r="H114" s="5" t="n"/>
    </row>
    <row r="115" ht="15.75" customHeight="1" s="149">
      <c r="A115" s="5" t="n"/>
      <c r="B115" s="5" t="n"/>
      <c r="C115" s="5" t="n"/>
      <c r="D115" s="5" t="n"/>
      <c r="E115" s="5" t="n"/>
      <c r="F115" s="5" t="n"/>
      <c r="G115" s="5" t="n"/>
      <c r="H115" s="5" t="n"/>
    </row>
    <row r="116" ht="15.75" customHeight="1" s="149">
      <c r="A116" s="5" t="n"/>
      <c r="B116" s="5" t="n"/>
      <c r="C116" s="5" t="n"/>
      <c r="D116" s="5" t="n"/>
      <c r="E116" s="5" t="n"/>
      <c r="F116" s="5" t="n"/>
      <c r="G116" s="5" t="n"/>
      <c r="H116" s="5" t="n"/>
    </row>
    <row r="117" ht="15.75" customHeight="1" s="149">
      <c r="A117" s="5" t="n"/>
      <c r="B117" s="5" t="n"/>
      <c r="C117" s="5" t="n"/>
      <c r="D117" s="5" t="n"/>
      <c r="E117" s="5" t="n"/>
      <c r="F117" s="5" t="n"/>
      <c r="G117" s="5" t="n"/>
      <c r="H117" s="5" t="n"/>
    </row>
    <row r="118" ht="15.75" customHeight="1" s="149">
      <c r="A118" s="5" t="n"/>
      <c r="B118" s="5" t="n"/>
      <c r="C118" s="5" t="n"/>
      <c r="D118" s="5" t="n"/>
      <c r="E118" s="5" t="n"/>
      <c r="F118" s="5" t="n"/>
      <c r="G118" s="5" t="n"/>
      <c r="H118" s="5" t="n"/>
    </row>
    <row r="119" ht="15.75" customHeight="1" s="149">
      <c r="A119" s="5" t="n"/>
      <c r="B119" s="5" t="n"/>
      <c r="C119" s="5" t="n"/>
      <c r="D119" s="5" t="n"/>
      <c r="E119" s="5" t="n"/>
      <c r="F119" s="5" t="n"/>
      <c r="G119" s="5" t="n"/>
      <c r="H119" s="5" t="n"/>
    </row>
    <row r="120" ht="15.75" customHeight="1" s="149">
      <c r="A120" s="5" t="n"/>
      <c r="B120" s="5" t="n"/>
      <c r="C120" s="5" t="n"/>
      <c r="D120" s="5" t="n"/>
      <c r="E120" s="5" t="n"/>
      <c r="F120" s="5" t="n"/>
      <c r="G120" s="5" t="n"/>
      <c r="H120" s="5" t="n"/>
    </row>
    <row r="121" ht="15.75" customHeight="1" s="149">
      <c r="A121" s="5" t="n"/>
      <c r="B121" s="5" t="n"/>
      <c r="C121" s="5" t="n"/>
      <c r="D121" s="5" t="n"/>
      <c r="E121" s="5" t="n"/>
      <c r="F121" s="5" t="n"/>
      <c r="G121" s="5" t="n"/>
      <c r="H121" s="5" t="n"/>
    </row>
    <row r="122" ht="15.75" customHeight="1" s="149">
      <c r="A122" s="5" t="n"/>
      <c r="B122" s="5" t="n"/>
      <c r="C122" s="5" t="n"/>
      <c r="D122" s="5" t="n"/>
      <c r="E122" s="5" t="n"/>
      <c r="F122" s="5" t="n"/>
      <c r="G122" s="5" t="n"/>
      <c r="H122" s="5" t="n"/>
    </row>
    <row r="123" ht="15.75" customHeight="1" s="149">
      <c r="A123" s="5" t="n"/>
      <c r="B123" s="5" t="n"/>
      <c r="C123" s="5" t="n"/>
      <c r="D123" s="5" t="n"/>
      <c r="E123" s="5" t="n"/>
      <c r="F123" s="5" t="n"/>
      <c r="G123" s="5" t="n"/>
      <c r="H123" s="5" t="n"/>
    </row>
    <row r="124" ht="15.75" customHeight="1" s="149">
      <c r="A124" s="5" t="n"/>
      <c r="B124" s="5" t="n"/>
      <c r="C124" s="5" t="n"/>
      <c r="D124" s="5" t="n"/>
      <c r="E124" s="5" t="n"/>
      <c r="F124" s="5" t="n"/>
      <c r="G124" s="5" t="n"/>
      <c r="H124" s="5" t="n"/>
    </row>
    <row r="125" ht="15.75" customHeight="1" s="149">
      <c r="A125" s="5" t="n"/>
      <c r="B125" s="5" t="n"/>
      <c r="C125" s="5" t="n"/>
      <c r="D125" s="5" t="n"/>
      <c r="E125" s="5" t="n"/>
      <c r="F125" s="5" t="n"/>
      <c r="G125" s="5" t="n"/>
      <c r="H125" s="5" t="n"/>
    </row>
    <row r="126" ht="15.75" customHeight="1" s="149">
      <c r="A126" s="5" t="n"/>
      <c r="B126" s="5" t="n"/>
      <c r="C126" s="5" t="n"/>
      <c r="D126" s="5" t="n"/>
      <c r="E126" s="5" t="n"/>
      <c r="F126" s="5" t="n"/>
      <c r="G126" s="5" t="n"/>
      <c r="H126" s="5" t="n"/>
    </row>
    <row r="127" ht="15.75" customHeight="1" s="149">
      <c r="A127" s="5" t="n"/>
      <c r="B127" s="5" t="n"/>
      <c r="C127" s="5" t="n"/>
      <c r="D127" s="5" t="n"/>
      <c r="E127" s="5" t="n"/>
      <c r="F127" s="5" t="n"/>
      <c r="G127" s="5" t="n"/>
      <c r="H127" s="5" t="n"/>
    </row>
    <row r="128" ht="15.75" customHeight="1" s="149">
      <c r="A128" s="5" t="n"/>
      <c r="B128" s="5" t="n"/>
      <c r="C128" s="5" t="n"/>
      <c r="D128" s="5" t="n"/>
      <c r="E128" s="5" t="n"/>
      <c r="F128" s="5" t="n"/>
      <c r="G128" s="5" t="n"/>
      <c r="H128" s="5" t="n"/>
    </row>
    <row r="129" ht="15.75" customHeight="1" s="149">
      <c r="A129" s="5" t="n"/>
      <c r="B129" s="5" t="n"/>
      <c r="C129" s="5" t="n"/>
      <c r="D129" s="5" t="n"/>
      <c r="E129" s="5" t="n"/>
      <c r="F129" s="5" t="n"/>
      <c r="G129" s="5" t="n"/>
      <c r="H129" s="5" t="n"/>
    </row>
    <row r="130" ht="15.75" customHeight="1" s="149">
      <c r="A130" s="5" t="n"/>
      <c r="B130" s="5" t="n"/>
      <c r="C130" s="5" t="n"/>
      <c r="D130" s="5" t="n"/>
      <c r="E130" s="5" t="n"/>
      <c r="F130" s="5" t="n"/>
      <c r="G130" s="5" t="n"/>
      <c r="H130" s="5" t="n"/>
    </row>
    <row r="131" ht="15.75" customHeight="1" s="149">
      <c r="A131" s="5" t="n"/>
      <c r="B131" s="5" t="n"/>
      <c r="C131" s="5" t="n"/>
      <c r="D131" s="5" t="n"/>
      <c r="E131" s="5" t="n"/>
      <c r="F131" s="5" t="n"/>
      <c r="G131" s="5" t="n"/>
      <c r="H131" s="5" t="n"/>
    </row>
    <row r="132" ht="15.75" customHeight="1" s="149">
      <c r="A132" s="5" t="n"/>
      <c r="B132" s="5" t="n"/>
      <c r="C132" s="5" t="n"/>
      <c r="D132" s="5" t="n"/>
      <c r="E132" s="5" t="n"/>
      <c r="F132" s="5" t="n"/>
      <c r="G132" s="5" t="n"/>
      <c r="H132" s="5" t="n"/>
    </row>
    <row r="133" ht="15.75" customHeight="1" s="149">
      <c r="A133" s="5" t="n"/>
      <c r="B133" s="5" t="n"/>
      <c r="C133" s="5" t="n"/>
      <c r="D133" s="5" t="n"/>
      <c r="E133" s="5" t="n"/>
      <c r="F133" s="5" t="n"/>
      <c r="G133" s="5" t="n"/>
      <c r="H133" s="5" t="n"/>
    </row>
    <row r="134" ht="15.75" customHeight="1" s="149">
      <c r="A134" s="5" t="n"/>
      <c r="B134" s="5" t="n"/>
      <c r="C134" s="5" t="n"/>
      <c r="D134" s="5" t="n"/>
      <c r="E134" s="5" t="n"/>
      <c r="F134" s="5" t="n"/>
      <c r="G134" s="5" t="n"/>
      <c r="H134" s="5" t="n"/>
    </row>
    <row r="135" ht="15.75" customHeight="1" s="149">
      <c r="A135" s="5" t="n"/>
      <c r="B135" s="5" t="n"/>
      <c r="C135" s="5" t="n"/>
      <c r="D135" s="5" t="n"/>
      <c r="E135" s="5" t="n"/>
      <c r="F135" s="5" t="n"/>
      <c r="G135" s="5" t="n"/>
      <c r="H135" s="5" t="n"/>
    </row>
    <row r="136" ht="15.75" customHeight="1" s="149">
      <c r="A136" s="5" t="n"/>
      <c r="B136" s="5" t="n"/>
      <c r="C136" s="5" t="n"/>
      <c r="D136" s="5" t="n"/>
      <c r="E136" s="5" t="n"/>
      <c r="F136" s="5" t="n"/>
      <c r="G136" s="5" t="n"/>
      <c r="H136" s="5" t="n"/>
    </row>
    <row r="137" ht="15.75" customHeight="1" s="149">
      <c r="A137" s="5" t="n"/>
      <c r="B137" s="5" t="n"/>
      <c r="C137" s="5" t="n"/>
      <c r="D137" s="5" t="n"/>
      <c r="E137" s="5" t="n"/>
      <c r="F137" s="5" t="n"/>
      <c r="G137" s="5" t="n"/>
      <c r="H137" s="5" t="n"/>
    </row>
    <row r="138" ht="15.75" customHeight="1" s="149">
      <c r="A138" s="5" t="n"/>
      <c r="B138" s="5" t="n"/>
      <c r="C138" s="5" t="n"/>
      <c r="D138" s="5" t="n"/>
      <c r="E138" s="5" t="n"/>
      <c r="F138" s="5" t="n"/>
      <c r="G138" s="5" t="n"/>
      <c r="H138" s="5" t="n"/>
    </row>
    <row r="139" ht="15.75" customHeight="1" s="149">
      <c r="A139" s="5" t="n"/>
      <c r="B139" s="5" t="n"/>
      <c r="C139" s="5" t="n"/>
      <c r="D139" s="5" t="n"/>
      <c r="E139" s="5" t="n"/>
      <c r="F139" s="5" t="n"/>
      <c r="G139" s="5" t="n"/>
      <c r="H139" s="5" t="n"/>
    </row>
    <row r="140" ht="15.75" customHeight="1" s="149">
      <c r="A140" s="5" t="n"/>
      <c r="B140" s="5" t="n"/>
      <c r="C140" s="5" t="n"/>
      <c r="D140" s="5" t="n"/>
      <c r="E140" s="5" t="n"/>
      <c r="F140" s="5" t="n"/>
      <c r="G140" s="5" t="n"/>
      <c r="H140" s="5" t="n"/>
    </row>
    <row r="141" ht="15.75" customHeight="1" s="149">
      <c r="A141" s="5" t="n"/>
      <c r="B141" s="5" t="n"/>
      <c r="C141" s="5" t="n"/>
      <c r="D141" s="5" t="n"/>
      <c r="E141" s="5" t="n"/>
      <c r="F141" s="5" t="n"/>
      <c r="G141" s="5" t="n"/>
      <c r="H141" s="5" t="n"/>
    </row>
    <row r="142" ht="15.75" customHeight="1" s="149">
      <c r="A142" s="5" t="n"/>
      <c r="B142" s="5" t="n"/>
      <c r="C142" s="5" t="n"/>
      <c r="D142" s="5" t="n"/>
      <c r="E142" s="5" t="n"/>
      <c r="F142" s="5" t="n"/>
      <c r="G142" s="5" t="n"/>
      <c r="H142" s="5" t="n"/>
    </row>
    <row r="143" ht="15.75" customHeight="1" s="149">
      <c r="A143" s="5" t="n"/>
      <c r="B143" s="5" t="n"/>
      <c r="C143" s="5" t="n"/>
      <c r="D143" s="5" t="n"/>
      <c r="E143" s="5" t="n"/>
      <c r="F143" s="5" t="n"/>
      <c r="G143" s="5" t="n"/>
      <c r="H143" s="5" t="n"/>
    </row>
    <row r="144" ht="15.75" customHeight="1" s="149">
      <c r="A144" s="5" t="n"/>
      <c r="B144" s="5" t="n"/>
      <c r="C144" s="5" t="n"/>
      <c r="D144" s="5" t="n"/>
      <c r="E144" s="5" t="n"/>
      <c r="F144" s="5" t="n"/>
      <c r="G144" s="5" t="n"/>
      <c r="H144" s="5" t="n"/>
    </row>
    <row r="145" ht="15.75" customHeight="1" s="149">
      <c r="A145" s="5" t="n"/>
      <c r="B145" s="5" t="n"/>
      <c r="C145" s="5" t="n"/>
      <c r="D145" s="5" t="n"/>
      <c r="E145" s="5" t="n"/>
      <c r="F145" s="5" t="n"/>
      <c r="G145" s="5" t="n"/>
      <c r="H145" s="5" t="n"/>
    </row>
    <row r="146" ht="15.75" customHeight="1" s="149">
      <c r="A146" s="5" t="n"/>
      <c r="B146" s="5" t="n"/>
      <c r="C146" s="5" t="n"/>
      <c r="D146" s="5" t="n"/>
      <c r="E146" s="5" t="n"/>
      <c r="F146" s="5" t="n"/>
      <c r="G146" s="5" t="n"/>
      <c r="H146" s="5" t="n"/>
    </row>
    <row r="147" ht="15.75" customHeight="1" s="149">
      <c r="A147" s="5" t="n"/>
      <c r="B147" s="5" t="n"/>
      <c r="C147" s="5" t="n"/>
      <c r="D147" s="5" t="n"/>
      <c r="E147" s="5" t="n"/>
      <c r="F147" s="5" t="n"/>
      <c r="G147" s="5" t="n"/>
      <c r="H147" s="5" t="n"/>
    </row>
    <row r="148" ht="15.75" customHeight="1" s="149">
      <c r="A148" s="5" t="n"/>
      <c r="B148" s="5" t="n"/>
      <c r="C148" s="5" t="n"/>
      <c r="D148" s="5" t="n"/>
      <c r="E148" s="5" t="n"/>
      <c r="F148" s="5" t="n"/>
      <c r="G148" s="5" t="n"/>
      <c r="H148" s="5" t="n"/>
    </row>
    <row r="149" ht="15.75" customHeight="1" s="149">
      <c r="A149" s="5" t="n"/>
      <c r="B149" s="5" t="n"/>
      <c r="C149" s="5" t="n"/>
      <c r="D149" s="5" t="n"/>
      <c r="E149" s="5" t="n"/>
      <c r="F149" s="5" t="n"/>
      <c r="G149" s="5" t="n"/>
      <c r="H149" s="5" t="n"/>
    </row>
    <row r="150" ht="15.75" customHeight="1" s="149">
      <c r="A150" s="5" t="n"/>
      <c r="B150" s="5" t="n"/>
      <c r="C150" s="5" t="n"/>
      <c r="D150" s="5" t="n"/>
      <c r="E150" s="5" t="n"/>
      <c r="F150" s="5" t="n"/>
      <c r="G150" s="5" t="n"/>
      <c r="H150" s="5" t="n"/>
    </row>
    <row r="151" ht="15.75" customHeight="1" s="149">
      <c r="A151" s="5" t="n"/>
      <c r="B151" s="5" t="n"/>
      <c r="C151" s="5" t="n"/>
      <c r="D151" s="5" t="n"/>
      <c r="E151" s="5" t="n"/>
      <c r="F151" s="5" t="n"/>
      <c r="G151" s="5" t="n"/>
      <c r="H151" s="5" t="n"/>
    </row>
    <row r="152" ht="15.75" customHeight="1" s="149">
      <c r="A152" s="5" t="n"/>
      <c r="B152" s="5" t="n"/>
      <c r="C152" s="5" t="n"/>
      <c r="D152" s="5" t="n"/>
      <c r="E152" s="5" t="n"/>
      <c r="F152" s="5" t="n"/>
      <c r="G152" s="5" t="n"/>
      <c r="H152" s="5" t="n"/>
    </row>
    <row r="153" ht="15.75" customHeight="1" s="149">
      <c r="A153" s="5" t="n"/>
      <c r="B153" s="5" t="n"/>
      <c r="C153" s="5" t="n"/>
      <c r="D153" s="5" t="n"/>
      <c r="E153" s="5" t="n"/>
      <c r="F153" s="5" t="n"/>
      <c r="G153" s="5" t="n"/>
      <c r="H153" s="5" t="n"/>
    </row>
    <row r="154" ht="15.75" customHeight="1" s="149">
      <c r="A154" s="5" t="n"/>
      <c r="B154" s="5" t="n"/>
      <c r="C154" s="5" t="n"/>
      <c r="D154" s="5" t="n"/>
      <c r="E154" s="5" t="n"/>
      <c r="F154" s="5" t="n"/>
      <c r="G154" s="5" t="n"/>
      <c r="H154" s="5" t="n"/>
    </row>
    <row r="155" ht="15.75" customHeight="1" s="149">
      <c r="A155" s="5" t="n"/>
      <c r="B155" s="5" t="n"/>
      <c r="C155" s="5" t="n"/>
      <c r="D155" s="5" t="n"/>
      <c r="E155" s="5" t="n"/>
      <c r="F155" s="5" t="n"/>
      <c r="G155" s="5" t="n"/>
      <c r="H155" s="5" t="n"/>
    </row>
    <row r="156" ht="15.75" customHeight="1" s="149">
      <c r="A156" s="5" t="n"/>
      <c r="B156" s="5" t="n"/>
      <c r="C156" s="5" t="n"/>
      <c r="D156" s="5" t="n"/>
      <c r="E156" s="5" t="n"/>
      <c r="F156" s="5" t="n"/>
      <c r="G156" s="5" t="n"/>
      <c r="H156" s="5" t="n"/>
    </row>
    <row r="157" ht="15.75" customHeight="1" s="149">
      <c r="A157" s="5" t="n"/>
      <c r="B157" s="5" t="n"/>
      <c r="C157" s="5" t="n"/>
      <c r="D157" s="5" t="n"/>
      <c r="E157" s="5" t="n"/>
      <c r="F157" s="5" t="n"/>
      <c r="G157" s="5" t="n"/>
      <c r="H157" s="5" t="n"/>
    </row>
    <row r="158" ht="15.75" customHeight="1" s="149">
      <c r="A158" s="5" t="n"/>
      <c r="B158" s="5" t="n"/>
      <c r="C158" s="5" t="n"/>
      <c r="D158" s="5" t="n"/>
      <c r="E158" s="5" t="n"/>
      <c r="F158" s="5" t="n"/>
      <c r="G158" s="5" t="n"/>
      <c r="H158" s="5" t="n"/>
    </row>
    <row r="159" ht="15.75" customHeight="1" s="149">
      <c r="A159" s="5" t="n"/>
      <c r="B159" s="5" t="n"/>
      <c r="C159" s="5" t="n"/>
      <c r="D159" s="5" t="n"/>
      <c r="E159" s="5" t="n"/>
      <c r="F159" s="5" t="n"/>
      <c r="G159" s="5" t="n"/>
      <c r="H159" s="5" t="n"/>
    </row>
    <row r="160" ht="15.75" customHeight="1" s="149">
      <c r="A160" s="5" t="n"/>
      <c r="B160" s="5" t="n"/>
      <c r="C160" s="5" t="n"/>
      <c r="D160" s="5" t="n"/>
      <c r="E160" s="5" t="n"/>
      <c r="F160" s="5" t="n"/>
      <c r="G160" s="5" t="n"/>
      <c r="H160" s="5" t="n"/>
    </row>
    <row r="161" ht="15.75" customHeight="1" s="149">
      <c r="A161" s="5" t="n"/>
      <c r="B161" s="5" t="n"/>
      <c r="C161" s="5" t="n"/>
      <c r="D161" s="5" t="n"/>
      <c r="E161" s="5" t="n"/>
      <c r="F161" s="5" t="n"/>
      <c r="G161" s="5" t="n"/>
      <c r="H161" s="5" t="n"/>
    </row>
    <row r="162" ht="15.75" customHeight="1" s="149">
      <c r="A162" s="5" t="n"/>
      <c r="B162" s="5" t="n"/>
      <c r="C162" s="5" t="n"/>
      <c r="D162" s="5" t="n"/>
      <c r="E162" s="5" t="n"/>
      <c r="F162" s="5" t="n"/>
      <c r="G162" s="5" t="n"/>
      <c r="H162" s="5" t="n"/>
    </row>
    <row r="163" ht="15.75" customHeight="1" s="149">
      <c r="A163" s="5" t="n"/>
      <c r="B163" s="5" t="n"/>
      <c r="C163" s="5" t="n"/>
      <c r="D163" s="5" t="n"/>
      <c r="E163" s="5" t="n"/>
      <c r="F163" s="5" t="n"/>
      <c r="G163" s="5" t="n"/>
      <c r="H163" s="5" t="n"/>
    </row>
    <row r="164" ht="15.75" customHeight="1" s="149">
      <c r="A164" s="5" t="n"/>
      <c r="B164" s="5" t="n"/>
      <c r="C164" s="5" t="n"/>
      <c r="D164" s="5" t="n"/>
      <c r="E164" s="5" t="n"/>
      <c r="F164" s="5" t="n"/>
      <c r="G164" s="5" t="n"/>
      <c r="H164" s="5" t="n"/>
    </row>
    <row r="165" ht="15.75" customHeight="1" s="149">
      <c r="A165" s="5" t="n"/>
      <c r="B165" s="5" t="n"/>
      <c r="C165" s="5" t="n"/>
      <c r="D165" s="5" t="n"/>
      <c r="E165" s="5" t="n"/>
      <c r="F165" s="5" t="n"/>
      <c r="G165" s="5" t="n"/>
      <c r="H165" s="5" t="n"/>
    </row>
    <row r="166" ht="15.75" customHeight="1" s="149">
      <c r="A166" s="5" t="n"/>
      <c r="B166" s="5" t="n"/>
      <c r="C166" s="5" t="n"/>
      <c r="D166" s="5" t="n"/>
      <c r="E166" s="5" t="n"/>
      <c r="F166" s="5" t="n"/>
      <c r="G166" s="5" t="n"/>
      <c r="H166" s="5" t="n"/>
    </row>
    <row r="167" ht="15.75" customHeight="1" s="149">
      <c r="A167" s="5" t="n"/>
      <c r="B167" s="5" t="n"/>
      <c r="C167" s="5" t="n"/>
      <c r="D167" s="5" t="n"/>
      <c r="E167" s="5" t="n"/>
      <c r="F167" s="5" t="n"/>
      <c r="G167" s="5" t="n"/>
      <c r="H167" s="5" t="n"/>
    </row>
    <row r="168" ht="15.75" customHeight="1" s="149">
      <c r="A168" s="5" t="n"/>
      <c r="B168" s="5" t="n"/>
      <c r="C168" s="5" t="n"/>
      <c r="D168" s="5" t="n"/>
      <c r="E168" s="5" t="n"/>
      <c r="F168" s="5" t="n"/>
      <c r="G168" s="5" t="n"/>
      <c r="H168" s="5" t="n"/>
    </row>
    <row r="169" ht="15.75" customHeight="1" s="149">
      <c r="A169" s="5" t="n"/>
      <c r="B169" s="5" t="n"/>
      <c r="C169" s="5" t="n"/>
      <c r="D169" s="5" t="n"/>
      <c r="E169" s="5" t="n"/>
      <c r="F169" s="5" t="n"/>
      <c r="G169" s="5" t="n"/>
      <c r="H169" s="5" t="n"/>
    </row>
    <row r="170" ht="15.75" customHeight="1" s="149">
      <c r="A170" s="5" t="n"/>
      <c r="B170" s="5" t="n"/>
      <c r="C170" s="5" t="n"/>
      <c r="D170" s="5" t="n"/>
      <c r="E170" s="5" t="n"/>
      <c r="F170" s="5" t="n"/>
      <c r="G170" s="5" t="n"/>
      <c r="H170" s="5" t="n"/>
    </row>
    <row r="171" ht="15.75" customHeight="1" s="149">
      <c r="A171" s="5" t="n"/>
      <c r="B171" s="5" t="n"/>
      <c r="C171" s="5" t="n"/>
      <c r="D171" s="5" t="n"/>
      <c r="E171" s="5" t="n"/>
      <c r="F171" s="5" t="n"/>
      <c r="G171" s="5" t="n"/>
      <c r="H171" s="5" t="n"/>
    </row>
    <row r="172" ht="15.75" customHeight="1" s="149">
      <c r="A172" s="5" t="n"/>
      <c r="B172" s="5" t="n"/>
      <c r="C172" s="5" t="n"/>
      <c r="D172" s="5" t="n"/>
      <c r="E172" s="5" t="n"/>
      <c r="F172" s="5" t="n"/>
      <c r="G172" s="5" t="n"/>
      <c r="H172" s="5" t="n"/>
    </row>
    <row r="173" ht="15.75" customHeight="1" s="149">
      <c r="A173" s="5" t="n"/>
      <c r="B173" s="5" t="n"/>
      <c r="C173" s="5" t="n"/>
      <c r="D173" s="5" t="n"/>
      <c r="E173" s="5" t="n"/>
      <c r="F173" s="5" t="n"/>
      <c r="G173" s="5" t="n"/>
      <c r="H173" s="5" t="n"/>
    </row>
    <row r="174" ht="15.75" customHeight="1" s="149">
      <c r="A174" s="5" t="n"/>
      <c r="B174" s="5" t="n"/>
      <c r="C174" s="5" t="n"/>
      <c r="D174" s="5" t="n"/>
      <c r="E174" s="5" t="n"/>
      <c r="F174" s="5" t="n"/>
      <c r="G174" s="5" t="n"/>
      <c r="H174" s="5" t="n"/>
    </row>
    <row r="175" ht="15.75" customHeight="1" s="149">
      <c r="A175" s="5" t="n"/>
      <c r="B175" s="5" t="n"/>
      <c r="C175" s="5" t="n"/>
      <c r="D175" s="5" t="n"/>
      <c r="E175" s="5" t="n"/>
      <c r="F175" s="5" t="n"/>
      <c r="G175" s="5" t="n"/>
      <c r="H175" s="5" t="n"/>
    </row>
    <row r="176" ht="15.75" customHeight="1" s="149">
      <c r="A176" s="5" t="n"/>
      <c r="B176" s="5" t="n"/>
      <c r="C176" s="5" t="n"/>
      <c r="D176" s="5" t="n"/>
      <c r="E176" s="5" t="n"/>
      <c r="F176" s="5" t="n"/>
      <c r="G176" s="5" t="n"/>
      <c r="H176" s="5" t="n"/>
    </row>
    <row r="177" ht="15.75" customHeight="1" s="149">
      <c r="A177" s="5" t="n"/>
      <c r="B177" s="5" t="n"/>
      <c r="C177" s="5" t="n"/>
      <c r="D177" s="5" t="n"/>
      <c r="E177" s="5" t="n"/>
      <c r="F177" s="5" t="n"/>
      <c r="G177" s="5" t="n"/>
      <c r="H177" s="5" t="n"/>
    </row>
    <row r="178" ht="15.75" customHeight="1" s="149">
      <c r="A178" s="5" t="n"/>
      <c r="B178" s="5" t="n"/>
      <c r="C178" s="5" t="n"/>
      <c r="D178" s="5" t="n"/>
      <c r="E178" s="5" t="n"/>
      <c r="F178" s="5" t="n"/>
      <c r="G178" s="5" t="n"/>
      <c r="H178" s="5" t="n"/>
    </row>
    <row r="179" ht="15.75" customHeight="1" s="149">
      <c r="A179" s="5" t="n"/>
      <c r="B179" s="5" t="n"/>
      <c r="C179" s="5" t="n"/>
      <c r="D179" s="5" t="n"/>
      <c r="E179" s="5" t="n"/>
      <c r="F179" s="5" t="n"/>
      <c r="G179" s="5" t="n"/>
      <c r="H179" s="5" t="n"/>
    </row>
    <row r="180" ht="15.75" customHeight="1" s="149">
      <c r="A180" s="5" t="n"/>
      <c r="B180" s="5" t="n"/>
      <c r="C180" s="5" t="n"/>
      <c r="D180" s="5" t="n"/>
      <c r="E180" s="5" t="n"/>
      <c r="F180" s="5" t="n"/>
      <c r="G180" s="5" t="n"/>
      <c r="H180" s="5" t="n"/>
    </row>
    <row r="181" ht="15.75" customHeight="1" s="149">
      <c r="A181" s="5" t="n"/>
      <c r="B181" s="5" t="n"/>
      <c r="C181" s="5" t="n"/>
      <c r="D181" s="5" t="n"/>
      <c r="E181" s="5" t="n"/>
      <c r="F181" s="5" t="n"/>
      <c r="G181" s="5" t="n"/>
      <c r="H181" s="5" t="n"/>
    </row>
    <row r="182" ht="15.75" customHeight="1" s="149">
      <c r="A182" s="5" t="n"/>
      <c r="B182" s="5" t="n"/>
      <c r="C182" s="5" t="n"/>
      <c r="D182" s="5" t="n"/>
      <c r="E182" s="5" t="n"/>
      <c r="F182" s="5" t="n"/>
      <c r="G182" s="5" t="n"/>
      <c r="H182" s="5" t="n"/>
    </row>
    <row r="183" ht="15.75" customHeight="1" s="149">
      <c r="A183" s="5" t="n"/>
      <c r="B183" s="5" t="n"/>
      <c r="C183" s="5" t="n"/>
      <c r="D183" s="5" t="n"/>
      <c r="E183" s="5" t="n"/>
      <c r="F183" s="5" t="n"/>
      <c r="G183" s="5" t="n"/>
      <c r="H183" s="5" t="n"/>
    </row>
    <row r="184" ht="15.75" customHeight="1" s="149">
      <c r="A184" s="5" t="n"/>
      <c r="B184" s="5" t="n"/>
      <c r="C184" s="5" t="n"/>
      <c r="D184" s="5" t="n"/>
      <c r="E184" s="5" t="n"/>
      <c r="F184" s="5" t="n"/>
      <c r="G184" s="5" t="n"/>
      <c r="H184" s="5" t="n"/>
    </row>
    <row r="185" ht="15.75" customHeight="1" s="149">
      <c r="A185" s="5" t="n"/>
      <c r="B185" s="5" t="n"/>
      <c r="C185" s="5" t="n"/>
      <c r="D185" s="5" t="n"/>
      <c r="E185" s="5" t="n"/>
      <c r="F185" s="5" t="n"/>
      <c r="G185" s="5" t="n"/>
      <c r="H185" s="5" t="n"/>
    </row>
    <row r="186" ht="15.75" customHeight="1" s="149">
      <c r="A186" s="5" t="n"/>
      <c r="B186" s="5" t="n"/>
      <c r="C186" s="5" t="n"/>
      <c r="D186" s="5" t="n"/>
      <c r="E186" s="5" t="n"/>
      <c r="F186" s="5" t="n"/>
      <c r="G186" s="5" t="n"/>
      <c r="H186" s="5" t="n"/>
    </row>
    <row r="187" ht="15.75" customHeight="1" s="149">
      <c r="A187" s="5" t="n"/>
      <c r="B187" s="5" t="n"/>
      <c r="C187" s="5" t="n"/>
      <c r="D187" s="5" t="n"/>
      <c r="E187" s="5" t="n"/>
      <c r="F187" s="5" t="n"/>
      <c r="G187" s="5" t="n"/>
      <c r="H187" s="5" t="n"/>
    </row>
    <row r="188" ht="15.75" customHeight="1" s="149">
      <c r="A188" s="5" t="n"/>
      <c r="B188" s="5" t="n"/>
      <c r="C188" s="5" t="n"/>
      <c r="D188" s="5" t="n"/>
      <c r="E188" s="5" t="n"/>
      <c r="F188" s="5" t="n"/>
      <c r="G188" s="5" t="n"/>
      <c r="H188" s="5" t="n"/>
    </row>
    <row r="189" ht="15.75" customHeight="1" s="149">
      <c r="A189" s="5" t="n"/>
      <c r="B189" s="5" t="n"/>
      <c r="C189" s="5" t="n"/>
      <c r="D189" s="5" t="n"/>
      <c r="E189" s="5" t="n"/>
      <c r="F189" s="5" t="n"/>
      <c r="G189" s="5" t="n"/>
      <c r="H189" s="5" t="n"/>
    </row>
    <row r="190" ht="15.75" customHeight="1" s="149">
      <c r="A190" s="5" t="n"/>
      <c r="B190" s="5" t="n"/>
      <c r="C190" s="5" t="n"/>
      <c r="D190" s="5" t="n"/>
      <c r="E190" s="5" t="n"/>
      <c r="F190" s="5" t="n"/>
      <c r="G190" s="5" t="n"/>
      <c r="H190" s="5" t="n"/>
    </row>
    <row r="191" ht="15.75" customHeight="1" s="149">
      <c r="A191" s="5" t="n"/>
      <c r="B191" s="5" t="n"/>
      <c r="C191" s="5" t="n"/>
      <c r="D191" s="5" t="n"/>
      <c r="E191" s="5" t="n"/>
      <c r="F191" s="5" t="n"/>
      <c r="G191" s="5" t="n"/>
      <c r="H191" s="5" t="n"/>
    </row>
    <row r="192" ht="15.75" customHeight="1" s="149">
      <c r="A192" s="5" t="n"/>
      <c r="B192" s="5" t="n"/>
      <c r="C192" s="5" t="n"/>
      <c r="D192" s="5" t="n"/>
      <c r="E192" s="5" t="n"/>
      <c r="F192" s="5" t="n"/>
      <c r="G192" s="5" t="n"/>
      <c r="H192" s="5" t="n"/>
    </row>
    <row r="193" ht="15.75" customHeight="1" s="149">
      <c r="A193" s="5" t="n"/>
      <c r="B193" s="5" t="n"/>
      <c r="C193" s="5" t="n"/>
      <c r="D193" s="5" t="n"/>
      <c r="E193" s="5" t="n"/>
      <c r="F193" s="5" t="n"/>
      <c r="G193" s="5" t="n"/>
      <c r="H193" s="5" t="n"/>
    </row>
    <row r="194" ht="15.75" customHeight="1" s="149">
      <c r="A194" s="5" t="n"/>
      <c r="B194" s="5" t="n"/>
      <c r="C194" s="5" t="n"/>
      <c r="D194" s="5" t="n"/>
      <c r="E194" s="5" t="n"/>
      <c r="F194" s="5" t="n"/>
      <c r="G194" s="5" t="n"/>
      <c r="H194" s="5" t="n"/>
    </row>
    <row r="195" ht="15.75" customHeight="1" s="149">
      <c r="A195" s="5" t="n"/>
      <c r="B195" s="5" t="n"/>
      <c r="C195" s="5" t="n"/>
      <c r="D195" s="5" t="n"/>
      <c r="E195" s="5" t="n"/>
      <c r="F195" s="5" t="n"/>
      <c r="G195" s="5" t="n"/>
      <c r="H195" s="5" t="n"/>
    </row>
    <row r="196" ht="15.75" customHeight="1" s="149">
      <c r="A196" s="5" t="n"/>
      <c r="B196" s="5" t="n"/>
      <c r="C196" s="5" t="n"/>
      <c r="D196" s="5" t="n"/>
      <c r="E196" s="5" t="n"/>
      <c r="F196" s="5" t="n"/>
      <c r="G196" s="5" t="n"/>
      <c r="H196" s="5" t="n"/>
    </row>
    <row r="197" ht="15.75" customHeight="1" s="149">
      <c r="A197" s="5" t="n"/>
      <c r="B197" s="5" t="n"/>
      <c r="C197" s="5" t="n"/>
      <c r="D197" s="5" t="n"/>
      <c r="E197" s="5" t="n"/>
      <c r="F197" s="5" t="n"/>
      <c r="G197" s="5" t="n"/>
      <c r="H197" s="5" t="n"/>
    </row>
    <row r="198" ht="15.75" customHeight="1" s="149">
      <c r="A198" s="5" t="n"/>
      <c r="B198" s="5" t="n"/>
      <c r="C198" s="5" t="n"/>
      <c r="D198" s="5" t="n"/>
      <c r="E198" s="5" t="n"/>
      <c r="F198" s="5" t="n"/>
      <c r="G198" s="5" t="n"/>
      <c r="H198" s="5" t="n"/>
    </row>
    <row r="199" ht="15.75" customHeight="1" s="149">
      <c r="A199" s="5" t="n"/>
      <c r="B199" s="5" t="n"/>
      <c r="C199" s="5" t="n"/>
      <c r="D199" s="5" t="n"/>
      <c r="E199" s="5" t="n"/>
      <c r="F199" s="5" t="n"/>
      <c r="G199" s="5" t="n"/>
      <c r="H199" s="5" t="n"/>
    </row>
    <row r="200" ht="15.75" customHeight="1" s="149">
      <c r="A200" s="5" t="n"/>
      <c r="B200" s="5" t="n"/>
      <c r="C200" s="5" t="n"/>
      <c r="D200" s="5" t="n"/>
      <c r="E200" s="5" t="n"/>
      <c r="F200" s="5" t="n"/>
      <c r="G200" s="5" t="n"/>
      <c r="H200" s="5" t="n"/>
    </row>
    <row r="201" ht="15.75" customHeight="1" s="149">
      <c r="A201" s="5" t="n"/>
      <c r="B201" s="5" t="n"/>
      <c r="C201" s="5" t="n"/>
      <c r="D201" s="5" t="n"/>
      <c r="E201" s="5" t="n"/>
      <c r="F201" s="5" t="n"/>
      <c r="G201" s="5" t="n"/>
      <c r="H201" s="5" t="n"/>
    </row>
    <row r="202" ht="15.75" customHeight="1" s="149">
      <c r="A202" s="5" t="n"/>
      <c r="B202" s="5" t="n"/>
      <c r="C202" s="5" t="n"/>
      <c r="D202" s="5" t="n"/>
      <c r="E202" s="5" t="n"/>
      <c r="F202" s="5" t="n"/>
      <c r="G202" s="5" t="n"/>
      <c r="H202" s="5" t="n"/>
    </row>
    <row r="203" ht="15.75" customHeight="1" s="149">
      <c r="A203" s="5" t="n"/>
      <c r="B203" s="5" t="n"/>
      <c r="C203" s="5" t="n"/>
      <c r="D203" s="5" t="n"/>
      <c r="E203" s="5" t="n"/>
      <c r="F203" s="5" t="n"/>
      <c r="G203" s="5" t="n"/>
      <c r="H203" s="5" t="n"/>
    </row>
    <row r="204" ht="15.75" customHeight="1" s="149">
      <c r="A204" s="5" t="n"/>
      <c r="B204" s="5" t="n"/>
      <c r="C204" s="5" t="n"/>
      <c r="D204" s="5" t="n"/>
      <c r="E204" s="5" t="n"/>
      <c r="F204" s="5" t="n"/>
      <c r="G204" s="5" t="n"/>
      <c r="H204" s="5" t="n"/>
    </row>
    <row r="205" ht="15.75" customHeight="1" s="149">
      <c r="A205" s="5" t="n"/>
      <c r="B205" s="5" t="n"/>
      <c r="C205" s="5" t="n"/>
      <c r="D205" s="5" t="n"/>
      <c r="E205" s="5" t="n"/>
      <c r="F205" s="5" t="n"/>
      <c r="G205" s="5" t="n"/>
      <c r="H205" s="5" t="n"/>
    </row>
    <row r="206" ht="15.75" customHeight="1" s="149">
      <c r="A206" s="5" t="n"/>
      <c r="B206" s="5" t="n"/>
      <c r="C206" s="5" t="n"/>
      <c r="D206" s="5" t="n"/>
      <c r="E206" s="5" t="n"/>
      <c r="F206" s="5" t="n"/>
      <c r="G206" s="5" t="n"/>
      <c r="H206" s="5" t="n"/>
    </row>
    <row r="207" ht="15.75" customHeight="1" s="149">
      <c r="A207" s="5" t="n"/>
      <c r="B207" s="5" t="n"/>
      <c r="C207" s="5" t="n"/>
      <c r="D207" s="5" t="n"/>
      <c r="E207" s="5" t="n"/>
      <c r="F207" s="5" t="n"/>
      <c r="G207" s="5" t="n"/>
      <c r="H207" s="5" t="n"/>
    </row>
    <row r="208" ht="15.75" customHeight="1" s="149">
      <c r="A208" s="5" t="n"/>
      <c r="B208" s="5" t="n"/>
      <c r="C208" s="5" t="n"/>
      <c r="D208" s="5" t="n"/>
      <c r="E208" s="5" t="n"/>
      <c r="F208" s="5" t="n"/>
      <c r="G208" s="5" t="n"/>
      <c r="H208" s="5" t="n"/>
    </row>
    <row r="209" ht="15.75" customHeight="1" s="149">
      <c r="A209" s="5" t="n"/>
      <c r="B209" s="5" t="n"/>
      <c r="C209" s="5" t="n"/>
      <c r="D209" s="5" t="n"/>
      <c r="E209" s="5" t="n"/>
      <c r="F209" s="5" t="n"/>
      <c r="G209" s="5" t="n"/>
      <c r="H209" s="5" t="n"/>
    </row>
    <row r="210" ht="15.75" customHeight="1" s="149">
      <c r="A210" s="5" t="n"/>
      <c r="B210" s="5" t="n"/>
      <c r="C210" s="5" t="n"/>
      <c r="D210" s="5" t="n"/>
      <c r="E210" s="5" t="n"/>
      <c r="F210" s="5" t="n"/>
      <c r="G210" s="5" t="n"/>
      <c r="H210" s="5" t="n"/>
    </row>
    <row r="211" ht="15.75" customHeight="1" s="149">
      <c r="A211" s="5" t="n"/>
      <c r="B211" s="5" t="n"/>
      <c r="C211" s="5" t="n"/>
      <c r="D211" s="5" t="n"/>
      <c r="E211" s="5" t="n"/>
      <c r="F211" s="5" t="n"/>
      <c r="G211" s="5" t="n"/>
      <c r="H211" s="5" t="n"/>
    </row>
    <row r="212" ht="15.75" customHeight="1" s="149">
      <c r="A212" s="5" t="n"/>
      <c r="B212" s="5" t="n"/>
      <c r="C212" s="5" t="n"/>
      <c r="D212" s="5" t="n"/>
      <c r="E212" s="5" t="n"/>
      <c r="F212" s="5" t="n"/>
      <c r="G212" s="5" t="n"/>
      <c r="H212" s="5" t="n"/>
    </row>
    <row r="213" ht="15.75" customHeight="1" s="149">
      <c r="A213" s="5" t="n"/>
      <c r="B213" s="5" t="n"/>
      <c r="C213" s="5" t="n"/>
      <c r="D213" s="5" t="n"/>
      <c r="E213" s="5" t="n"/>
      <c r="F213" s="5" t="n"/>
      <c r="G213" s="5" t="n"/>
      <c r="H213" s="5" t="n"/>
    </row>
    <row r="214" ht="15.75" customHeight="1" s="149">
      <c r="A214" s="5" t="n"/>
      <c r="B214" s="5" t="n"/>
      <c r="C214" s="5" t="n"/>
      <c r="D214" s="5" t="n"/>
      <c r="E214" s="5" t="n"/>
      <c r="F214" s="5" t="n"/>
      <c r="G214" s="5" t="n"/>
      <c r="H214" s="5" t="n"/>
    </row>
    <row r="215" ht="15.75" customHeight="1" s="149">
      <c r="A215" s="5" t="n"/>
      <c r="B215" s="5" t="n"/>
      <c r="C215" s="5" t="n"/>
      <c r="D215" s="5" t="n"/>
      <c r="E215" s="5" t="n"/>
      <c r="F215" s="5" t="n"/>
      <c r="G215" s="5" t="n"/>
      <c r="H215" s="5" t="n"/>
    </row>
    <row r="216" ht="15.75" customHeight="1" s="149">
      <c r="A216" s="5" t="n"/>
      <c r="B216" s="5" t="n"/>
      <c r="C216" s="5" t="n"/>
      <c r="D216" s="5" t="n"/>
      <c r="E216" s="5" t="n"/>
      <c r="F216" s="5" t="n"/>
      <c r="G216" s="5" t="n"/>
      <c r="H216" s="5" t="n"/>
    </row>
    <row r="217" ht="15.75" customHeight="1" s="149">
      <c r="A217" s="5" t="n"/>
      <c r="B217" s="5" t="n"/>
      <c r="C217" s="5" t="n"/>
      <c r="D217" s="5" t="n"/>
      <c r="E217" s="5" t="n"/>
      <c r="F217" s="5" t="n"/>
      <c r="G217" s="5" t="n"/>
      <c r="H217" s="5" t="n"/>
    </row>
    <row r="218" ht="15.75" customHeight="1" s="149">
      <c r="A218" s="5" t="n"/>
      <c r="B218" s="5" t="n"/>
      <c r="C218" s="5" t="n"/>
      <c r="D218" s="5" t="n"/>
      <c r="E218" s="5" t="n"/>
      <c r="F218" s="5" t="n"/>
      <c r="G218" s="5" t="n"/>
      <c r="H218" s="5" t="n"/>
    </row>
    <row r="219" ht="15.75" customHeight="1" s="149">
      <c r="A219" s="5" t="n"/>
      <c r="B219" s="5" t="n"/>
      <c r="C219" s="5" t="n"/>
      <c r="D219" s="5" t="n"/>
      <c r="E219" s="5" t="n"/>
      <c r="F219" s="5" t="n"/>
      <c r="G219" s="5" t="n"/>
      <c r="H219" s="5" t="n"/>
    </row>
    <row r="220" ht="15.75" customHeight="1" s="149">
      <c r="A220" s="5" t="n"/>
      <c r="B220" s="5" t="n"/>
      <c r="C220" s="5" t="n"/>
      <c r="D220" s="5" t="n"/>
      <c r="E220" s="5" t="n"/>
      <c r="F220" s="5" t="n"/>
      <c r="G220" s="5" t="n"/>
      <c r="H220" s="5" t="n"/>
    </row>
    <row r="221" ht="15.75" customHeight="1" s="149">
      <c r="A221" s="5" t="n"/>
      <c r="B221" s="5" t="n"/>
      <c r="C221" s="5" t="n"/>
      <c r="D221" s="5" t="n"/>
      <c r="E221" s="5" t="n"/>
      <c r="F221" s="5" t="n"/>
      <c r="G221" s="5" t="n"/>
      <c r="H221" s="5" t="n"/>
    </row>
    <row r="222" ht="15.75" customHeight="1" s="149">
      <c r="A222" s="5" t="n"/>
      <c r="B222" s="5" t="n"/>
      <c r="C222" s="5" t="n"/>
      <c r="D222" s="5" t="n"/>
      <c r="E222" s="5" t="n"/>
      <c r="F222" s="5" t="n"/>
      <c r="G222" s="5" t="n"/>
      <c r="H222" s="5" t="n"/>
    </row>
    <row r="223" ht="15.75" customHeight="1" s="149">
      <c r="A223" s="5" t="n"/>
      <c r="B223" s="5" t="n"/>
      <c r="C223" s="5" t="n"/>
      <c r="D223" s="5" t="n"/>
      <c r="E223" s="5" t="n"/>
      <c r="F223" s="5" t="n"/>
      <c r="G223" s="5" t="n"/>
      <c r="H223" s="5" t="n"/>
    </row>
    <row r="224" ht="15.75" customHeight="1" s="149">
      <c r="A224" s="5" t="n"/>
      <c r="B224" s="5" t="n"/>
      <c r="C224" s="5" t="n"/>
      <c r="D224" s="5" t="n"/>
      <c r="E224" s="5" t="n"/>
      <c r="F224" s="5" t="n"/>
      <c r="G224" s="5" t="n"/>
      <c r="H224" s="5" t="n"/>
    </row>
    <row r="225" ht="15.75" customHeight="1" s="149">
      <c r="A225" s="5" t="n"/>
      <c r="B225" s="5" t="n"/>
      <c r="C225" s="5" t="n"/>
      <c r="D225" s="5" t="n"/>
      <c r="E225" s="5" t="n"/>
      <c r="F225" s="5" t="n"/>
      <c r="G225" s="5" t="n"/>
      <c r="H225" s="5" t="n"/>
    </row>
    <row r="226" ht="15.75" customHeight="1" s="149">
      <c r="A226" s="5" t="n"/>
      <c r="B226" s="5" t="n"/>
      <c r="C226" s="5" t="n"/>
      <c r="D226" s="5" t="n"/>
      <c r="E226" s="5" t="n"/>
      <c r="F226" s="5" t="n"/>
      <c r="G226" s="5" t="n"/>
      <c r="H226" s="5" t="n"/>
    </row>
    <row r="227" ht="15.75" customHeight="1" s="149">
      <c r="A227" s="5" t="n"/>
      <c r="B227" s="5" t="n"/>
      <c r="C227" s="5" t="n"/>
      <c r="D227" s="5" t="n"/>
      <c r="E227" s="5" t="n"/>
      <c r="F227" s="5" t="n"/>
      <c r="G227" s="5" t="n"/>
      <c r="H227" s="5" t="n"/>
    </row>
    <row r="228" ht="15.75" customHeight="1" s="149">
      <c r="A228" s="5" t="n"/>
      <c r="B228" s="5" t="n"/>
      <c r="C228" s="5" t="n"/>
      <c r="D228" s="5" t="n"/>
      <c r="E228" s="5" t="n"/>
      <c r="F228" s="5" t="n"/>
      <c r="G228" s="5" t="n"/>
      <c r="H228" s="5" t="n"/>
    </row>
    <row r="229" ht="15.75" customHeight="1" s="149">
      <c r="A229" s="5" t="n"/>
      <c r="B229" s="5" t="n"/>
      <c r="C229" s="5" t="n"/>
      <c r="D229" s="5" t="n"/>
      <c r="E229" s="5" t="n"/>
      <c r="F229" s="5" t="n"/>
      <c r="G229" s="5" t="n"/>
      <c r="H229" s="5" t="n"/>
    </row>
    <row r="230" ht="15.75" customHeight="1" s="149">
      <c r="A230" s="5" t="n"/>
      <c r="B230" s="5" t="n"/>
      <c r="C230" s="5" t="n"/>
      <c r="D230" s="5" t="n"/>
      <c r="E230" s="5" t="n"/>
      <c r="F230" s="5" t="n"/>
      <c r="G230" s="5" t="n"/>
      <c r="H230" s="5" t="n"/>
    </row>
    <row r="231" ht="15.75" customHeight="1" s="149">
      <c r="A231" s="5" t="n"/>
      <c r="B231" s="5" t="n"/>
      <c r="C231" s="5" t="n"/>
      <c r="D231" s="5" t="n"/>
      <c r="E231" s="5" t="n"/>
      <c r="F231" s="5" t="n"/>
      <c r="G231" s="5" t="n"/>
      <c r="H231" s="5" t="n"/>
    </row>
    <row r="232" ht="15.75" customHeight="1" s="149">
      <c r="A232" s="5" t="n"/>
      <c r="B232" s="5" t="n"/>
      <c r="C232" s="5" t="n"/>
      <c r="D232" s="5" t="n"/>
      <c r="E232" s="5" t="n"/>
      <c r="F232" s="5" t="n"/>
      <c r="G232" s="5" t="n"/>
      <c r="H232" s="5" t="n"/>
    </row>
    <row r="233" ht="15.75" customHeight="1" s="149">
      <c r="A233" s="5" t="n"/>
      <c r="B233" s="5" t="n"/>
      <c r="C233" s="5" t="n"/>
      <c r="D233" s="5" t="n"/>
      <c r="E233" s="5" t="n"/>
      <c r="F233" s="5" t="n"/>
      <c r="G233" s="5" t="n"/>
      <c r="H233" s="5" t="n"/>
    </row>
    <row r="234" ht="15.75" customHeight="1" s="149">
      <c r="A234" s="5" t="n"/>
      <c r="B234" s="5" t="n"/>
      <c r="C234" s="5" t="n"/>
      <c r="D234" s="5" t="n"/>
      <c r="E234" s="5" t="n"/>
      <c r="F234" s="5" t="n"/>
      <c r="G234" s="5" t="n"/>
      <c r="H234" s="5" t="n"/>
    </row>
    <row r="235" ht="15.75" customHeight="1" s="149">
      <c r="A235" s="5" t="n"/>
      <c r="B235" s="5" t="n"/>
      <c r="C235" s="5" t="n"/>
      <c r="D235" s="5" t="n"/>
      <c r="E235" s="5" t="n"/>
      <c r="F235" s="5" t="n"/>
      <c r="G235" s="5" t="n"/>
      <c r="H235" s="5" t="n"/>
    </row>
    <row r="236" ht="15.75" customHeight="1" s="149">
      <c r="A236" s="5" t="n"/>
      <c r="B236" s="5" t="n"/>
      <c r="C236" s="5" t="n"/>
      <c r="D236" s="5" t="n"/>
      <c r="E236" s="5" t="n"/>
      <c r="F236" s="5" t="n"/>
      <c r="G236" s="5" t="n"/>
      <c r="H236" s="5" t="n"/>
    </row>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7">
    <mergeCell ref="A39:E39"/>
    <mergeCell ref="A12:E12"/>
    <mergeCell ref="A43:E43"/>
    <mergeCell ref="A38:E38"/>
    <mergeCell ref="A2:E2"/>
    <mergeCell ref="A42:E42"/>
    <mergeCell ref="A25:E25"/>
    <mergeCell ref="A28:E28"/>
    <mergeCell ref="A41:E41"/>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22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4" t="inlineStr">
        <is>
          <t>NEW RECORDINGS  ·  sort me</t>
        </is>
      </c>
    </row>
    <row r="2">
      <c r="A2" s="9" t="inlineStr">
        <is>
          <t>NUR234</t>
        </is>
      </c>
      <c r="B2" s="9" t="inlineStr">
        <is>
          <t>NUR235</t>
        </is>
      </c>
      <c r="C2" s="9" t="inlineStr">
        <is>
          <t>NUR258</t>
        </is>
      </c>
      <c r="D2" s="17" t="inlineStr">
        <is>
          <t>🏠 START HERE</t>
        </is>
      </c>
      <c r="E2" s="20" t="inlineStr">
        <is>
          <t>📥 Sort me</t>
        </is>
      </c>
      <c r="F2" s="16" t="n"/>
      <c r="G2" s="16" t="n"/>
    </row>
    <row r="3">
      <c r="A3" s="165" t="inlineStr">
        <is>
          <t>One row is left: the recording it names is no longer in Drive. The 3:13 AM clip was blank and has been trashed; the 3:39 AM one turned out to be Kaiser on fetal circulation and pregnancy signs and is now on the NUR234 Kaiser tab.</t>
        </is>
      </c>
      <c r="B3" s="166" t="n"/>
      <c r="C3" s="166" t="n"/>
      <c r="D3" s="166" t="n"/>
      <c r="E3" s="166" t="n"/>
      <c r="F3" s="166" t="n"/>
      <c r="G3" s="167" t="n"/>
    </row>
    <row r="4">
      <c r="A4" s="16" t="n"/>
      <c r="B4" s="16" t="n"/>
      <c r="C4" s="16" t="n"/>
      <c r="D4" s="16" t="n"/>
      <c r="E4" s="16" t="n"/>
      <c r="F4" s="16" t="n"/>
      <c r="G4" s="16" t="n"/>
    </row>
    <row r="5">
      <c r="A5" s="28" t="inlineStr">
        <is>
          <t>Recorded</t>
        </is>
      </c>
      <c r="B5" s="28" t="inlineStr">
        <is>
          <t>App</t>
        </is>
      </c>
      <c r="C5" s="30" t="inlineStr">
        <is>
          <t>Course</t>
        </is>
      </c>
      <c r="D5" s="30" t="inlineStr">
        <is>
          <t>Lecturer</t>
        </is>
      </c>
      <c r="E5" s="30" t="inlineStr">
        <is>
          <t>Recording</t>
        </is>
      </c>
      <c r="F5" s="30" t="inlineStr">
        <is>
          <t>File</t>
        </is>
      </c>
      <c r="G5" s="30" t="inlineStr">
        <is>
          <t>Notes</t>
        </is>
      </c>
    </row>
    <row r="6">
      <c r="A6" s="31" t="n"/>
      <c r="B6" s="31" t="n"/>
      <c r="C6" s="32" t="n"/>
      <c r="D6" s="32" t="n"/>
      <c r="E6" s="33" t="n"/>
      <c r="F6" s="32" t="n"/>
      <c r="G6" s="35" t="n"/>
    </row>
    <row r="7">
      <c r="A7" s="31" t="n"/>
      <c r="B7" s="31" t="n"/>
      <c r="C7" s="32" t="n"/>
      <c r="D7" s="32" t="n"/>
      <c r="E7" s="33" t="n"/>
      <c r="F7" s="32" t="n"/>
      <c r="G7" s="35" t="n"/>
    </row>
    <row r="8">
      <c r="A8" s="31" t="n"/>
      <c r="B8" s="31" t="n"/>
      <c r="C8" s="32" t="n"/>
      <c r="D8" s="32" t="n"/>
      <c r="E8" s="33" t="n"/>
      <c r="F8" s="32" t="n"/>
      <c r="G8" s="35" t="n"/>
    </row>
    <row r="9">
      <c r="A9" s="31" t="n"/>
      <c r="B9" s="31" t="n"/>
      <c r="C9" s="32" t="n"/>
      <c r="D9" s="32" t="n"/>
      <c r="E9" s="36" t="n"/>
      <c r="F9" s="32" t="n"/>
      <c r="G9" s="38" t="n"/>
    </row>
    <row r="10">
      <c r="A10" s="40" t="n"/>
      <c r="B10" s="40" t="n"/>
      <c r="C10" s="41" t="n"/>
      <c r="D10" s="41" t="n"/>
      <c r="E10" s="42" t="n"/>
      <c r="F10" s="41" t="n"/>
      <c r="G10" s="44" t="n"/>
    </row>
    <row r="11">
      <c r="A11" s="31" t="n"/>
      <c r="B11" s="31" t="n"/>
      <c r="C11" s="32" t="n"/>
      <c r="D11" s="32" t="n"/>
      <c r="E11" s="36" t="n"/>
      <c r="F11" s="32" t="n"/>
      <c r="G11" s="35" t="n"/>
    </row>
    <row r="12">
      <c r="A12" s="40" t="n"/>
      <c r="B12" s="40" t="n"/>
      <c r="C12" s="41" t="n"/>
      <c r="D12" s="41" t="n"/>
      <c r="E12" s="42" t="n"/>
      <c r="F12" s="41" t="n"/>
      <c r="G12" s="45" t="n"/>
    </row>
    <row r="13">
      <c r="A13" s="31" t="n"/>
      <c r="B13" s="31" t="n"/>
      <c r="C13" s="32" t="n"/>
      <c r="D13" s="32" t="n"/>
      <c r="E13" s="33" t="n"/>
      <c r="F13" s="32" t="n"/>
      <c r="G13" s="35" t="n"/>
    </row>
    <row r="14">
      <c r="A14" s="48" t="n"/>
      <c r="B14" s="48" t="n"/>
      <c r="C14" s="49" t="n"/>
      <c r="D14" s="49" t="n"/>
      <c r="E14" s="49" t="n"/>
      <c r="F14" s="49" t="n"/>
      <c r="G14" s="49" t="n"/>
    </row>
    <row r="15">
      <c r="A15" s="48" t="n"/>
      <c r="B15" s="48" t="n"/>
      <c r="C15" s="49" t="n"/>
      <c r="D15" s="49" t="n"/>
      <c r="E15" s="49" t="n"/>
      <c r="F15" s="49" t="n"/>
      <c r="G15" s="49" t="n"/>
    </row>
    <row r="16">
      <c r="A16" s="48" t="n"/>
      <c r="B16" s="48" t="n"/>
      <c r="C16" s="49" t="n"/>
      <c r="D16" s="49" t="n"/>
      <c r="E16" s="49" t="n"/>
      <c r="F16" s="49" t="n"/>
      <c r="G16" s="49" t="n"/>
    </row>
    <row r="17">
      <c r="A17" s="48" t="n"/>
      <c r="B17" s="48" t="n"/>
      <c r="C17" s="49" t="n"/>
      <c r="D17" s="49" t="n"/>
      <c r="E17" s="49" t="n"/>
      <c r="F17" s="49" t="n"/>
      <c r="G17" s="49"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49">
      <c r="A21" s="5" t="n"/>
      <c r="B21" s="5" t="n"/>
      <c r="C21" s="5" t="n"/>
      <c r="D21" s="5" t="n"/>
      <c r="E21" s="5" t="n"/>
      <c r="F21" s="5" t="n"/>
      <c r="G21" s="5" t="n"/>
    </row>
    <row r="22" ht="15.75" customHeight="1" s="149">
      <c r="A22" s="5" t="n"/>
      <c r="B22" s="5" t="n"/>
      <c r="C22" s="5" t="n"/>
      <c r="D22" s="5" t="n"/>
      <c r="E22" s="5" t="n"/>
      <c r="F22" s="5" t="n"/>
      <c r="G22" s="5" t="n"/>
    </row>
    <row r="23" ht="15.75" customHeight="1" s="149">
      <c r="A23" s="5" t="n"/>
      <c r="B23" s="5" t="n"/>
      <c r="C23" s="5" t="n"/>
      <c r="D23" s="5" t="n"/>
      <c r="E23" s="5" t="n"/>
      <c r="F23" s="5" t="n"/>
      <c r="G23" s="5" t="n"/>
    </row>
    <row r="24" ht="15.75" customHeight="1" s="149">
      <c r="A24" s="5" t="n"/>
      <c r="B24" s="5" t="n"/>
      <c r="C24" s="5" t="n"/>
      <c r="D24" s="5" t="n"/>
      <c r="E24" s="5" t="n"/>
      <c r="F24" s="5" t="n"/>
      <c r="G24" s="5" t="n"/>
    </row>
    <row r="25" ht="15.75" customHeight="1" s="149">
      <c r="A25" s="5" t="n"/>
      <c r="B25" s="5" t="n"/>
      <c r="C25" s="5" t="n"/>
      <c r="D25" s="5" t="n"/>
      <c r="E25" s="5" t="n"/>
      <c r="F25" s="5" t="n"/>
      <c r="G25" s="5" t="n"/>
    </row>
    <row r="26" ht="15.75" customHeight="1" s="149">
      <c r="A26" s="5" t="n"/>
      <c r="B26" s="5" t="n"/>
      <c r="C26" s="5" t="n"/>
      <c r="D26" s="5" t="n"/>
      <c r="E26" s="5" t="n"/>
      <c r="F26" s="5" t="n"/>
      <c r="G26" s="5" t="n"/>
    </row>
    <row r="27" ht="15.75" customHeight="1" s="149">
      <c r="A27" s="5" t="n"/>
      <c r="B27" s="5" t="n"/>
      <c r="C27" s="5" t="n"/>
      <c r="D27" s="5" t="n"/>
      <c r="E27" s="5" t="n"/>
      <c r="F27" s="5" t="n"/>
      <c r="G27" s="5" t="n"/>
    </row>
    <row r="28" ht="15.75" customHeight="1" s="149">
      <c r="A28" s="5" t="n"/>
      <c r="B28" s="5" t="n"/>
      <c r="C28" s="5" t="n"/>
      <c r="D28" s="5" t="n"/>
      <c r="E28" s="5" t="n"/>
      <c r="F28" s="5" t="n"/>
      <c r="G28" s="5" t="n"/>
    </row>
    <row r="29" ht="15.75" customHeight="1" s="149">
      <c r="A29" s="5" t="n"/>
      <c r="B29" s="5" t="n"/>
      <c r="C29" s="5" t="n"/>
      <c r="D29" s="5" t="n"/>
      <c r="E29" s="5" t="n"/>
      <c r="F29" s="5" t="n"/>
      <c r="G29" s="5" t="n"/>
    </row>
    <row r="30" ht="15.75" customHeight="1" s="149">
      <c r="A30" s="5" t="n"/>
      <c r="B30" s="5" t="n"/>
      <c r="C30" s="5" t="n"/>
      <c r="D30" s="5" t="n"/>
      <c r="E30" s="5" t="n"/>
      <c r="F30" s="5" t="n"/>
      <c r="G30" s="5" t="n"/>
    </row>
    <row r="31" ht="15.75" customHeight="1" s="149">
      <c r="A31" s="5" t="n"/>
      <c r="B31" s="5" t="n"/>
      <c r="C31" s="5" t="n"/>
      <c r="D31" s="5" t="n"/>
      <c r="E31" s="5" t="n"/>
      <c r="F31" s="5" t="n"/>
      <c r="G31" s="5" t="n"/>
    </row>
    <row r="32" ht="15.75" customHeight="1" s="149">
      <c r="A32" s="5" t="n"/>
      <c r="B32" s="5" t="n"/>
      <c r="C32" s="5" t="n"/>
      <c r="D32" s="5" t="n"/>
      <c r="E32" s="5" t="n"/>
      <c r="F32" s="5" t="n"/>
      <c r="G32" s="5" t="n"/>
    </row>
    <row r="33" ht="15.75" customHeight="1" s="149">
      <c r="A33" s="5" t="n"/>
      <c r="B33" s="5" t="n"/>
      <c r="C33" s="5" t="n"/>
      <c r="D33" s="5" t="n"/>
      <c r="E33" s="5" t="n"/>
      <c r="F33" s="5" t="n"/>
      <c r="G33" s="5" t="n"/>
    </row>
    <row r="34" ht="15.75" customHeight="1" s="149">
      <c r="A34" s="5" t="n"/>
      <c r="B34" s="5" t="n"/>
      <c r="C34" s="5" t="n"/>
      <c r="D34" s="5" t="n"/>
      <c r="E34" s="5" t="n"/>
      <c r="F34" s="5" t="n"/>
      <c r="G34" s="5" t="n"/>
    </row>
    <row r="35" ht="15.75" customHeight="1" s="149">
      <c r="A35" s="5" t="n"/>
      <c r="B35" s="5" t="n"/>
      <c r="C35" s="5" t="n"/>
      <c r="D35" s="5" t="n"/>
      <c r="E35" s="5" t="n"/>
      <c r="F35" s="5" t="n"/>
      <c r="G35" s="5" t="n"/>
    </row>
    <row r="36" ht="15.75" customHeight="1" s="149">
      <c r="A36" s="5" t="n"/>
      <c r="B36" s="5" t="n"/>
      <c r="C36" s="5" t="n"/>
      <c r="D36" s="5" t="n"/>
      <c r="E36" s="5" t="n"/>
      <c r="F36" s="5" t="n"/>
      <c r="G36" s="5" t="n"/>
    </row>
    <row r="37" ht="15.75" customHeight="1" s="149">
      <c r="A37" s="5" t="n"/>
      <c r="B37" s="5" t="n"/>
      <c r="C37" s="5" t="n"/>
      <c r="D37" s="5" t="n"/>
      <c r="E37" s="5" t="n"/>
      <c r="F37" s="5" t="n"/>
      <c r="G37" s="5" t="n"/>
    </row>
    <row r="38" ht="15.75" customHeight="1" s="149">
      <c r="A38" s="5" t="n"/>
      <c r="B38" s="5" t="n"/>
      <c r="C38" s="5" t="n"/>
      <c r="D38" s="5" t="n"/>
      <c r="E38" s="5" t="n"/>
      <c r="F38" s="5" t="n"/>
      <c r="G38" s="5" t="n"/>
    </row>
    <row r="39" ht="15.75" customHeight="1" s="149">
      <c r="A39" s="5" t="n"/>
      <c r="B39" s="5" t="n"/>
      <c r="C39" s="5" t="n"/>
      <c r="D39" s="5" t="n"/>
      <c r="E39" s="5" t="n"/>
      <c r="F39" s="5" t="n"/>
      <c r="G39" s="5" t="n"/>
    </row>
    <row r="40" ht="15.75" customHeight="1" s="149">
      <c r="A40" s="5" t="n"/>
      <c r="B40" s="5" t="n"/>
      <c r="C40" s="5" t="n"/>
      <c r="D40" s="5" t="n"/>
      <c r="E40" s="5" t="n"/>
      <c r="F40" s="5" t="n"/>
      <c r="G40" s="5" t="n"/>
    </row>
    <row r="41" ht="15.75" customHeight="1" s="149">
      <c r="A41" s="5" t="n"/>
      <c r="B41" s="5" t="n"/>
      <c r="C41" s="5" t="n"/>
      <c r="D41" s="5" t="n"/>
      <c r="E41" s="5" t="n"/>
      <c r="F41" s="5" t="n"/>
      <c r="G41" s="5" t="n"/>
    </row>
    <row r="42" ht="15.75" customHeight="1" s="149">
      <c r="A42" s="5" t="n"/>
      <c r="B42" s="5" t="n"/>
      <c r="C42" s="5" t="n"/>
      <c r="D42" s="5" t="n"/>
      <c r="E42" s="5" t="n"/>
      <c r="F42" s="5" t="n"/>
      <c r="G42" s="5" t="n"/>
    </row>
    <row r="43" ht="15.75" customHeight="1" s="149">
      <c r="A43" s="5" t="n"/>
      <c r="B43" s="5" t="n"/>
      <c r="C43" s="5" t="n"/>
      <c r="D43" s="5" t="n"/>
      <c r="E43" s="5" t="n"/>
      <c r="F43" s="5" t="n"/>
      <c r="G43" s="5" t="n"/>
    </row>
    <row r="44" ht="15.75" customHeight="1" s="149">
      <c r="A44" s="5" t="n"/>
      <c r="B44" s="5" t="n"/>
      <c r="C44" s="5" t="n"/>
      <c r="D44" s="5" t="n"/>
      <c r="E44" s="5" t="n"/>
      <c r="F44" s="5" t="n"/>
      <c r="G44" s="5" t="n"/>
    </row>
    <row r="45" ht="15.75" customHeight="1" s="149">
      <c r="A45" s="5" t="n"/>
      <c r="B45" s="5" t="n"/>
      <c r="C45" s="5" t="n"/>
      <c r="D45" s="5" t="n"/>
      <c r="E45" s="5" t="n"/>
      <c r="F45" s="5" t="n"/>
      <c r="G45" s="5" t="n"/>
    </row>
    <row r="46" ht="15.75" customHeight="1" s="149">
      <c r="A46" s="5" t="n"/>
      <c r="B46" s="5" t="n"/>
      <c r="C46" s="5" t="n"/>
      <c r="D46" s="5" t="n"/>
      <c r="E46" s="5" t="n"/>
      <c r="F46" s="5" t="n"/>
      <c r="G46" s="5" t="n"/>
    </row>
    <row r="47" ht="15.75" customHeight="1" s="149">
      <c r="A47" s="5" t="n"/>
      <c r="B47" s="5" t="n"/>
      <c r="C47" s="5" t="n"/>
      <c r="D47" s="5" t="n"/>
      <c r="E47" s="5" t="n"/>
      <c r="F47" s="5" t="n"/>
      <c r="G47" s="5" t="n"/>
    </row>
    <row r="48" ht="15.75" customHeight="1" s="149">
      <c r="A48" s="5" t="n"/>
      <c r="B48" s="5" t="n"/>
      <c r="C48" s="5" t="n"/>
      <c r="D48" s="5" t="n"/>
      <c r="E48" s="5" t="n"/>
      <c r="F48" s="5" t="n"/>
      <c r="G48" s="5"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row r="222" ht="15.75" customHeight="1" s="149"/>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23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Kaiser</t>
        </is>
      </c>
    </row>
    <row r="2">
      <c r="A2" s="10" t="inlineStr">
        <is>
          <t>NUR234</t>
        </is>
      </c>
      <c r="B2" s="12" t="inlineStr">
        <is>
          <t>NUR235</t>
        </is>
      </c>
      <c r="C2" s="12" t="inlineStr">
        <is>
          <t>NUR258</t>
        </is>
      </c>
      <c r="D2" s="13" t="inlineStr">
        <is>
          <t>🏠 START HERE</t>
        </is>
      </c>
      <c r="E2" s="15" t="inlineStr">
        <is>
          <t>📥 Sort me</t>
        </is>
      </c>
      <c r="F2" s="16" t="n"/>
      <c r="G2" s="16" t="n"/>
    </row>
    <row r="3">
      <c r="A3" s="21" t="inlineStr">
        <is>
          <t>Kaiser</t>
        </is>
      </c>
      <c r="B3" s="19" t="inlineStr">
        <is>
          <t>Buhler</t>
        </is>
      </c>
      <c r="C3" s="19" t="inlineStr">
        <is>
          <t>Glesner</t>
        </is>
      </c>
      <c r="D3" s="27" t="inlineStr">
        <is>
          <t>Exams</t>
        </is>
      </c>
      <c r="E3" s="27">
        <f>HYPERLINK('START HERE'!$B$36,"Zoom")</f>
        <v/>
      </c>
      <c r="F3" s="19" t="inlineStr">
        <is>
          <t>Review videos</t>
        </is>
      </c>
      <c r="G3" s="16" t="n"/>
    </row>
    <row r="4">
      <c r="A4" s="16" t="n"/>
      <c r="B4" s="16" t="n"/>
      <c r="C4" s="16" t="n"/>
      <c r="D4" s="16" t="n"/>
      <c r="E4" s="16" t="n"/>
      <c r="F4" s="16" t="n"/>
      <c r="G4" s="16"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Spring 2026</t>
        </is>
      </c>
      <c r="D6" s="172" t="inlineStr">
        <is>
          <t>Kaiser</t>
        </is>
      </c>
      <c r="E6" s="173">
        <f>HYPERLINK("https://drive.google.com/open?id=1cFM6BCb3NZQF3oZ4pDuu8clij33-8Z0U&amp;usp=drive_fs","▶  Watch")</f>
        <v/>
      </c>
      <c r="F6" s="172" t="n"/>
      <c r="G6" s="172" t="inlineStr">
        <is>
          <t>Topic: Reproductive Life Planning &amp; Contraception</t>
        </is>
      </c>
    </row>
    <row r="7">
      <c r="A7" s="174" t="inlineStr">
        <is>
          <t>Module 1</t>
        </is>
      </c>
      <c r="B7" s="174" t="inlineStr">
        <is>
          <t>Day 1</t>
        </is>
      </c>
      <c r="C7" s="175" t="inlineStr">
        <is>
          <t>Fall 2026</t>
        </is>
      </c>
      <c r="D7" s="175" t="inlineStr">
        <is>
          <t>Kaiser</t>
        </is>
      </c>
      <c r="E7" s="176">
        <f>HYPERLINK("https://drive.google.com/file/d/1Ojm9nfAxdSOFsLLEmEm5Qj9D5qtjmo6o/view","▶  Watch")</f>
        <v/>
      </c>
      <c r="F7" s="175" t="inlineStr">
        <is>
          <t>NUR234_Fall2026_Kaiser_Wk01_Day1_Lecture.mp4</t>
        </is>
      </c>
      <c r="G7" s="175" t="inlineStr">
        <is>
          <t>Fall 2026 recording, uploaded 23 Sep as "NUR234Wk1Day1_Kaiser.mp4" (254 MB). This row used to repeat the Spring 2026 link.</t>
        </is>
      </c>
    </row>
    <row r="8">
      <c r="A8" s="171" t="inlineStr">
        <is>
          <t>Module 1</t>
        </is>
      </c>
      <c r="B8" s="171" t="inlineStr">
        <is>
          <t>Day 2</t>
        </is>
      </c>
      <c r="C8" s="172" t="inlineStr">
        <is>
          <t>Spring 2026</t>
        </is>
      </c>
      <c r="D8" s="172" t="inlineStr">
        <is>
          <t>Kaiser</t>
        </is>
      </c>
      <c r="E8" s="173">
        <f>HYPERLINK("https://drive.google.com/file/d/1BZlKg-lf2367FCwM5kMaH-zKj9hZ53ff/view","▶  Watch")</f>
        <v/>
      </c>
      <c r="F8" s="172" t="inlineStr">
        <is>
          <t>NUR234 M1d2.mp4</t>
        </is>
      </c>
      <c r="G8" s="172" t="inlineStr">
        <is>
          <t>Topic: Reproductive Life Planning &amp; Contraception</t>
        </is>
      </c>
    </row>
    <row r="9">
      <c r="A9" s="174" t="inlineStr">
        <is>
          <t>Module 1</t>
        </is>
      </c>
      <c r="B9" s="174" t="inlineStr">
        <is>
          <t>Day 2</t>
        </is>
      </c>
      <c r="C9" s="175" t="inlineStr">
        <is>
          <t>Fall 2026</t>
        </is>
      </c>
      <c r="D9" s="175" t="inlineStr">
        <is>
          <t>Kaiser</t>
        </is>
      </c>
      <c r="E9" s="176">
        <f>HYPERLINK("https://drive.google.com/file/d/1BZlKg-lf2367FCwM5kMaH-zKj9hZ53ff/view?usp=drive_link","▶  Watch")</f>
        <v/>
      </c>
      <c r="F9" s="175" t="n"/>
      <c r="G9" s="175" t="inlineStr">
        <is>
          <t>Topic: Reproductive Life Planning &amp; Contraception</t>
        </is>
      </c>
    </row>
    <row r="10">
      <c r="A10" s="171" t="inlineStr">
        <is>
          <t>Module 2</t>
        </is>
      </c>
      <c r="B10" s="171" t="inlineStr">
        <is>
          <t>Day 1</t>
        </is>
      </c>
      <c r="C10" s="172" t="inlineStr">
        <is>
          <t>Spring 2026</t>
        </is>
      </c>
      <c r="D10" s="172" t="inlineStr">
        <is>
          <t>Kaiser</t>
        </is>
      </c>
      <c r="E10" s="173">
        <f>HYPERLINK("https://drive.google.com/file/d/1aCpDDZvcw-_vKduldvfGzF82bcs3P9hY/view","▶  Watch")</f>
        <v/>
      </c>
      <c r="F10" s="172" t="inlineStr">
        <is>
          <t>NUR234 M2d1.mp4</t>
        </is>
      </c>
      <c r="G10" s="172" t="inlineStr">
        <is>
          <t>Topic: Conception, Fetal Development &amp; Placental Function</t>
        </is>
      </c>
    </row>
    <row r="11">
      <c r="A11" s="174" t="inlineStr">
        <is>
          <t>Module 2</t>
        </is>
      </c>
      <c r="B11" s="174" t="inlineStr">
        <is>
          <t>Day 2</t>
        </is>
      </c>
      <c r="C11" s="175" t="inlineStr">
        <is>
          <t>Spring 2026</t>
        </is>
      </c>
      <c r="D11" s="175" t="inlineStr">
        <is>
          <t>Kaiser</t>
        </is>
      </c>
      <c r="E11" s="176">
        <f>HYPERLINK("https://drive.google.com/file/d/1e1xVb3-N2gEFMoK2t1NaL7Qj8NDE9kFD/view","▶  Watch")</f>
        <v/>
      </c>
      <c r="F11" s="175" t="inlineStr">
        <is>
          <t>NUR234 M2D2.mp4</t>
        </is>
      </c>
      <c r="G11" s="175" t="inlineStr">
        <is>
          <t>Topic: Conception, Fetal Development &amp; Placental Function</t>
        </is>
      </c>
    </row>
    <row r="12">
      <c r="A12" s="171" t="inlineStr">
        <is>
          <t>Module 2</t>
        </is>
      </c>
      <c r="B12" s="171" t="inlineStr">
        <is>
          <t>Review session</t>
        </is>
      </c>
      <c r="C12" s="172" t="inlineStr">
        <is>
          <t>Fall 2026</t>
        </is>
      </c>
      <c r="D12" s="172" t="inlineStr">
        <is>
          <t>Kaiser</t>
        </is>
      </c>
      <c r="E12" s="173">
        <f>HYPERLINK("https://drive.google.com/file/d/1GOaFz2XE8d5IlnxGo_qJQu1LQA1wOxHF/view","▶  Watch")</f>
        <v/>
      </c>
      <c r="F12" s="172" t="inlineStr">
        <is>
          <t>NUR234_Fall2026_Kaiser_WkNA_DayNA_Fetal circulation and signs of pregnancy (review session).mp4</t>
        </is>
      </c>
      <c r="G12" s="17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174" t="inlineStr">
        <is>
          <t>Module 3</t>
        </is>
      </c>
      <c r="B13" s="174" t="inlineStr">
        <is>
          <t>Day 1</t>
        </is>
      </c>
      <c r="C13" s="175" t="inlineStr">
        <is>
          <t>Spring 2026</t>
        </is>
      </c>
      <c r="D13" s="175" t="inlineStr">
        <is>
          <t>Kaiser</t>
        </is>
      </c>
      <c r="E13" s="176">
        <f>HYPERLINK("https://drive.google.com/file/d/1FBsNUnshlh4l-W3rNWVdSjbMPK53UmFM/view","▶  Watch")</f>
        <v/>
      </c>
      <c r="F13" s="175" t="inlineStr">
        <is>
          <t>NUR234 M3D1.mp4</t>
        </is>
      </c>
      <c r="G13" s="175" t="inlineStr">
        <is>
          <t>Topic: Physiologic &amp; Psychological Changes of Pregnancy</t>
        </is>
      </c>
    </row>
    <row r="14">
      <c r="A14" s="171" t="inlineStr">
        <is>
          <t>Module 3</t>
        </is>
      </c>
      <c r="B14" s="171" t="inlineStr">
        <is>
          <t>Day 2</t>
        </is>
      </c>
      <c r="C14" s="172" t="inlineStr">
        <is>
          <t>Spring 2026</t>
        </is>
      </c>
      <c r="D14" s="172" t="inlineStr">
        <is>
          <t>Kaiser</t>
        </is>
      </c>
      <c r="E14" s="173">
        <f>HYPERLINK("https://drive.google.com/file/d/1NN-2j7a6nheCGcHCHqUyBlAbHbGw_m4s/view","▶  Watch")</f>
        <v/>
      </c>
      <c r="F14" s="172" t="inlineStr">
        <is>
          <t>NUR234 M3D2.mp4</t>
        </is>
      </c>
      <c r="G14" s="172" t="inlineStr">
        <is>
          <t>Topic: Physiologic &amp; Psychological Changes of Pregnancy</t>
        </is>
      </c>
    </row>
    <row r="15">
      <c r="A15" s="174" t="inlineStr">
        <is>
          <t>Module 4</t>
        </is>
      </c>
      <c r="B15" s="174" t="inlineStr">
        <is>
          <t>Day 1</t>
        </is>
      </c>
      <c r="C15" s="175" t="inlineStr">
        <is>
          <t>Spring 2026</t>
        </is>
      </c>
      <c r="D15" s="175" t="inlineStr">
        <is>
          <t>Kaiser</t>
        </is>
      </c>
      <c r="E15" s="176">
        <f>HYPERLINK("https://drive.google.com/file/d/1vy0wZ5ijKEG57K1ibHH4ThIhHDTw_rt5/view","▶  Watch")</f>
        <v/>
      </c>
      <c r="F15" s="175" t="inlineStr">
        <is>
          <t>NUR234 M4D1.mp4</t>
        </is>
      </c>
      <c r="G15" s="175" t="inlineStr">
        <is>
          <t>Topic: Prenatal Assessment &amp; Antepartum Fetal Surveillance</t>
        </is>
      </c>
    </row>
    <row r="16">
      <c r="A16" s="171" t="inlineStr">
        <is>
          <t>Module 4</t>
        </is>
      </c>
      <c r="B16" s="171" t="inlineStr">
        <is>
          <t>Day 2</t>
        </is>
      </c>
      <c r="C16" s="172" t="inlineStr">
        <is>
          <t>Spring 2026</t>
        </is>
      </c>
      <c r="D16" s="172" t="inlineStr">
        <is>
          <t>Kaiser</t>
        </is>
      </c>
      <c r="E16" s="173">
        <f>HYPERLINK("https://drive.google.com/file/d/1rizN6FZCmazr35zFpzmy-m0cywYQ8w_6/view","▶  Watch")</f>
        <v/>
      </c>
      <c r="F16" s="172" t="inlineStr">
        <is>
          <t>NUR234 M4D2.mp4</t>
        </is>
      </c>
      <c r="G16" s="172" t="inlineStr">
        <is>
          <t>Topic: Prenatal Assessment &amp; Antepartum Fetal Surveillance</t>
        </is>
      </c>
    </row>
    <row r="17">
      <c r="A17" s="174" t="inlineStr">
        <is>
          <t>Module 5</t>
        </is>
      </c>
      <c r="B17" s="174" t="inlineStr">
        <is>
          <t>Day 1</t>
        </is>
      </c>
      <c r="C17" s="175" t="inlineStr">
        <is>
          <t>Spring 2026</t>
        </is>
      </c>
      <c r="D17" s="175" t="inlineStr">
        <is>
          <t>Kaiser</t>
        </is>
      </c>
      <c r="E17" s="176">
        <f>HYPERLINK("https://drive.google.com/file/d/1ypHWfABT1zSPWs_I_QvKnRKTbF7a5Y7I/view","▶  Watch")</f>
        <v/>
      </c>
      <c r="F17" s="175" t="inlineStr">
        <is>
          <t>NUR234 M5d1.mp4</t>
        </is>
      </c>
      <c r="G17" s="175" t="inlineStr">
        <is>
          <t>Topic: Nutrition &amp; Health Promotion in Pregnancy</t>
        </is>
      </c>
    </row>
    <row r="18">
      <c r="A18" s="171" t="inlineStr">
        <is>
          <t>Module 5</t>
        </is>
      </c>
      <c r="B18" s="171" t="inlineStr">
        <is>
          <t>Day 2</t>
        </is>
      </c>
      <c r="C18" s="172" t="inlineStr">
        <is>
          <t>Spring 2026</t>
        </is>
      </c>
      <c r="D18" s="172" t="inlineStr">
        <is>
          <t>Kaiser</t>
        </is>
      </c>
      <c r="E18" s="173">
        <f>HYPERLINK("https://drive.google.com/file/d/1qDF2FexZhZu5L5cqrEi6WVHwZ2-S1cBp/view","▶  Watch")</f>
        <v/>
      </c>
      <c r="F18" s="172" t="inlineStr">
        <is>
          <t>NUR234 M5d2.mp4</t>
        </is>
      </c>
      <c r="G18" s="172" t="inlineStr">
        <is>
          <t>Topic: Nutrition &amp; Health Promotion in Pregnancy</t>
        </is>
      </c>
    </row>
    <row r="19">
      <c r="A19" s="174" t="inlineStr">
        <is>
          <t>Module 6</t>
        </is>
      </c>
      <c r="B19" s="174" t="inlineStr">
        <is>
          <t>Day 1</t>
        </is>
      </c>
      <c r="C19" s="175" t="inlineStr">
        <is>
          <t>Spring 2026</t>
        </is>
      </c>
      <c r="D19" s="175" t="inlineStr">
        <is>
          <t>Kaiser</t>
        </is>
      </c>
      <c r="E19" s="176">
        <f>HYPERLINK("https://drive.google.com/file/d/1eG4tIMbxzIUTYlgc_SHD8twJNPRZh8CF/view","▶  Watch")</f>
        <v/>
      </c>
      <c r="F19" s="175" t="inlineStr">
        <is>
          <t>NUR234 M6d1.mp4</t>
        </is>
      </c>
      <c r="G19" s="175" t="inlineStr">
        <is>
          <t>Topic: Labor &amp; Birth</t>
        </is>
      </c>
    </row>
    <row r="20">
      <c r="A20" s="171" t="inlineStr">
        <is>
          <t>Module 6</t>
        </is>
      </c>
      <c r="B20" s="171" t="inlineStr">
        <is>
          <t>Day 2</t>
        </is>
      </c>
      <c r="C20" s="172" t="inlineStr">
        <is>
          <t>Spring 2026</t>
        </is>
      </c>
      <c r="D20" s="172" t="inlineStr">
        <is>
          <t>Kaiser</t>
        </is>
      </c>
      <c r="E20" s="173">
        <f>HYPERLINK("https://drive.google.com/file/d/1fYIx3Eng0YHVpJs7xrgFvRD5j4Kf225D/view","▶  Watch")</f>
        <v/>
      </c>
      <c r="F20" s="172" t="inlineStr">
        <is>
          <t>NUR234 M6d2.mp4</t>
        </is>
      </c>
      <c r="G20" s="172" t="inlineStr">
        <is>
          <t>Topic: Labor &amp; Birth</t>
        </is>
      </c>
    </row>
    <row r="21" ht="15.75" customHeight="1" s="149">
      <c r="A21" s="174" t="inlineStr">
        <is>
          <t>Module 7</t>
        </is>
      </c>
      <c r="B21" s="174" t="inlineStr">
        <is>
          <t>Day 1</t>
        </is>
      </c>
      <c r="C21" s="175" t="inlineStr">
        <is>
          <t>Spring 2026</t>
        </is>
      </c>
      <c r="D21" s="175" t="inlineStr">
        <is>
          <t>Kaiser</t>
        </is>
      </c>
      <c r="E21" s="176">
        <f>HYPERLINK("https://drive.google.com/file/d/114LZzONCBRZUWeE3_g8tfpMOmWZTn_B3/view","▶  Watch")</f>
        <v/>
      </c>
      <c r="F21" s="175" t="inlineStr">
        <is>
          <t>NUR234 M7d1.mp4</t>
        </is>
      </c>
      <c r="G21" s="175" t="inlineStr">
        <is>
          <t>Topic: Fetal Monitoring, Comfort &amp; Analgesia in Labor</t>
        </is>
      </c>
    </row>
    <row r="22" ht="15.75" customHeight="1" s="149">
      <c r="A22" s="171" t="inlineStr">
        <is>
          <t>Module 7</t>
        </is>
      </c>
      <c r="B22" s="171" t="inlineStr">
        <is>
          <t>Day 2</t>
        </is>
      </c>
      <c r="C22" s="172" t="inlineStr">
        <is>
          <t>Spring 2026</t>
        </is>
      </c>
      <c r="D22" s="172" t="inlineStr">
        <is>
          <t>Kaiser</t>
        </is>
      </c>
      <c r="E22" s="173">
        <f>HYPERLINK("https://drive.google.com/file/d/1gq2xvEUDy8TmFcK6gQepoJCr9GG3G0Ne/view","▶  Watch")</f>
        <v/>
      </c>
      <c r="F22" s="172" t="inlineStr">
        <is>
          <t>NUR234 M7d2.mp4</t>
        </is>
      </c>
      <c r="G22" s="172" t="inlineStr">
        <is>
          <t>Topic: Fetal Monitoring, Comfort &amp; Analgesia in Labor</t>
        </is>
      </c>
    </row>
    <row r="23" ht="15.75" customHeight="1" s="149">
      <c r="A23" s="174" t="inlineStr">
        <is>
          <t>Module 8</t>
        </is>
      </c>
      <c r="B23" s="174" t="inlineStr">
        <is>
          <t>Day 1</t>
        </is>
      </c>
      <c r="C23" s="175" t="inlineStr">
        <is>
          <t>Spring 2026</t>
        </is>
      </c>
      <c r="D23" s="175" t="inlineStr">
        <is>
          <t>Kaiser</t>
        </is>
      </c>
      <c r="E23" s="176">
        <f>HYPERLINK("https://drive.google.com/file/d/1CyyT2iUwn9hK8FH8kx-7n1ZZsrlj5Jxx/view?usp=drive_link","▶  Watch")</f>
        <v/>
      </c>
      <c r="F23" s="175" t="n"/>
      <c r="G23" s="175" t="inlineStr">
        <is>
          <t>Topic: Early Pregnancy Bleeding &amp; Ectopic Pregnancy</t>
        </is>
      </c>
    </row>
    <row r="24" ht="15.75" customHeight="1" s="149">
      <c r="A24" s="171" t="inlineStr">
        <is>
          <t>Module 8</t>
        </is>
      </c>
      <c r="B24" s="171" t="inlineStr">
        <is>
          <t>Day 2</t>
        </is>
      </c>
      <c r="C24" s="172" t="inlineStr">
        <is>
          <t>Spring 2026</t>
        </is>
      </c>
      <c r="D24" s="172" t="inlineStr">
        <is>
          <t>Kaiser</t>
        </is>
      </c>
      <c r="E24" s="173">
        <f>HYPERLINK("https://drive.google.com/file/d/1IooFZSZA_lB5jNCR6Xic7enhbams239R/view?usp=drive_link","▶  Watch")</f>
        <v/>
      </c>
      <c r="F24" s="172" t="n"/>
      <c r="G24" s="172" t="inlineStr">
        <is>
          <t>Topic: Early Pregnancy Bleeding &amp; Ectopic Pregnancy</t>
        </is>
      </c>
    </row>
    <row r="25" ht="15.75" customHeight="1" s="149">
      <c r="A25" s="174" t="inlineStr">
        <is>
          <t>Module 9</t>
        </is>
      </c>
      <c r="B25" s="174" t="inlineStr">
        <is>
          <t>Day 1</t>
        </is>
      </c>
      <c r="C25" s="175" t="inlineStr">
        <is>
          <t>Spring 2026</t>
        </is>
      </c>
      <c r="D25" s="175" t="inlineStr">
        <is>
          <t>Kaiser</t>
        </is>
      </c>
      <c r="E25" s="176">
        <f>HYPERLINK("https://drive.google.com/file/d/1PHu1Y0-LeptoeNuwhGqxFA10nvLuYDRn/view","▶  Watch")</f>
        <v/>
      </c>
      <c r="F25" s="175" t="inlineStr">
        <is>
          <t>NUR234 M9d1.mp4</t>
        </is>
      </c>
      <c r="G25" s="175" t="inlineStr">
        <is>
          <t>Topic: Hypertensive Disorders &amp; Magnesium Sulfate</t>
        </is>
      </c>
    </row>
    <row r="26" ht="15.75" customHeight="1" s="149">
      <c r="A26" s="171" t="inlineStr">
        <is>
          <t>Module 9</t>
        </is>
      </c>
      <c r="B26" s="171" t="inlineStr">
        <is>
          <t>Day 2</t>
        </is>
      </c>
      <c r="C26" s="172" t="inlineStr">
        <is>
          <t>Spring 2026</t>
        </is>
      </c>
      <c r="D26" s="172" t="inlineStr">
        <is>
          <t>Kaiser</t>
        </is>
      </c>
      <c r="E26" s="173">
        <f>HYPERLINK("https://drive.google.com/file/d/1ztT_Xq_DZviGrXv_kqODzN0mdrAsvLGz/view","▶  Watch")</f>
        <v/>
      </c>
      <c r="F26" s="172" t="inlineStr">
        <is>
          <t>NUR234 M9d2.mp4</t>
        </is>
      </c>
      <c r="G26" s="172" t="inlineStr">
        <is>
          <t>Topic: Hypertensive Disorders &amp; Magnesium Sulfate</t>
        </is>
      </c>
    </row>
    <row r="27" ht="15.75" customHeight="1" s="149">
      <c r="A27" s="174" t="inlineStr">
        <is>
          <t>Module 10</t>
        </is>
      </c>
      <c r="B27" s="174" t="inlineStr">
        <is>
          <t>Day 1</t>
        </is>
      </c>
      <c r="C27" s="175" t="inlineStr">
        <is>
          <t>Spring 2026</t>
        </is>
      </c>
      <c r="D27" s="175" t="inlineStr">
        <is>
          <t>Kaiser</t>
        </is>
      </c>
      <c r="E27" s="176">
        <f>HYPERLINK("https://drive.google.com/file/d/1aO52FeQSOyKWi1eae-uwq9kUR72kaCIh/view","▶  Watch")</f>
        <v/>
      </c>
      <c r="F27" s="175" t="inlineStr">
        <is>
          <t>NUR234 M10d1.mp4</t>
        </is>
      </c>
      <c r="G27" s="175" t="inlineStr">
        <is>
          <t>Topic: Dysfunctional Labor, Uterine Rupture &amp; Obstetric Drug Math</t>
        </is>
      </c>
    </row>
    <row r="28" ht="15.75" customHeight="1" s="149">
      <c r="A28" s="171" t="inlineStr">
        <is>
          <t>Module 10</t>
        </is>
      </c>
      <c r="B28" s="171" t="inlineStr">
        <is>
          <t>Day 2</t>
        </is>
      </c>
      <c r="C28" s="172" t="inlineStr">
        <is>
          <t>Spring 2026</t>
        </is>
      </c>
      <c r="D28" s="172" t="inlineStr">
        <is>
          <t>Kaiser</t>
        </is>
      </c>
      <c r="E28" s="173">
        <f>HYPERLINK("https://drive.google.com/file/d/1ZiJMzo4QipYed89-Vivr-c8vq60a2H6x/view","▶  Watch")</f>
        <v/>
      </c>
      <c r="F28" s="172" t="inlineStr">
        <is>
          <t>NUR234 M10d2.mp4</t>
        </is>
      </c>
      <c r="G28" s="172" t="inlineStr">
        <is>
          <t>Topic: Dysfunctional Labor, Uterine Rupture &amp; Obstetric Drug Math</t>
        </is>
      </c>
    </row>
    <row r="29" ht="15.75" customHeight="1" s="149">
      <c r="A29" s="174" t="inlineStr">
        <is>
          <t>Module 11</t>
        </is>
      </c>
      <c r="B29" s="174" t="inlineStr">
        <is>
          <t>Day 1</t>
        </is>
      </c>
      <c r="C29" s="175" t="inlineStr">
        <is>
          <t>Spring 2026</t>
        </is>
      </c>
      <c r="D29" s="175" t="inlineStr">
        <is>
          <t>Kaiser</t>
        </is>
      </c>
      <c r="E29" s="176">
        <f>HYPERLINK("https://drive.google.com/file/d/1uI7Bnu09YgneDcYKGm2t5FXwliTSsLAt/view","▶  Watch")</f>
        <v/>
      </c>
      <c r="F29" s="175" t="inlineStr">
        <is>
          <t>NUR234 M11d1.mp4</t>
        </is>
      </c>
      <c r="G29" s="175" t="inlineStr">
        <is>
          <t>Topic: Postpartum Assessment &amp; Hemorrhage</t>
        </is>
      </c>
    </row>
    <row r="30" ht="15.75" customHeight="1" s="149">
      <c r="A30" s="171" t="inlineStr">
        <is>
          <t>Module 11</t>
        </is>
      </c>
      <c r="B30" s="171" t="inlineStr">
        <is>
          <t>Day 2</t>
        </is>
      </c>
      <c r="C30" s="172" t="inlineStr">
        <is>
          <t>Spring 2026</t>
        </is>
      </c>
      <c r="D30" s="172" t="inlineStr">
        <is>
          <t>Kaiser</t>
        </is>
      </c>
      <c r="E30" s="173">
        <f>HYPERLINK("https://drive.google.com/file/d/1J9BeWya6ezWD15zmUgnZUF3R2Qlm-hhm/view","▶  Watch")</f>
        <v/>
      </c>
      <c r="F30" s="172" t="inlineStr">
        <is>
          <t>NUR234 M11d2.mp4</t>
        </is>
      </c>
      <c r="G30" s="172" t="inlineStr">
        <is>
          <t>Topic: Postpartum Assessment &amp; Hemorrhage</t>
        </is>
      </c>
    </row>
    <row r="31" ht="15.75" customHeight="1" s="149">
      <c r="A31" s="174" t="inlineStr">
        <is>
          <t>Module 12</t>
        </is>
      </c>
      <c r="B31" s="174" t="inlineStr">
        <is>
          <t>Day 1</t>
        </is>
      </c>
      <c r="C31" s="175" t="inlineStr">
        <is>
          <t>Spring 2026</t>
        </is>
      </c>
      <c r="D31" s="175" t="inlineStr">
        <is>
          <t>Kaiser</t>
        </is>
      </c>
      <c r="E31" s="176">
        <f>HYPERLINK("https://drive.google.com/file/d/1qcNw_OIsuyrFzVlLbAIgaGH_lb9RVNe0/view","▶  Watch")</f>
        <v/>
      </c>
      <c r="F31" s="175" t="inlineStr">
        <is>
          <t>NUR234 M12d1.mp4</t>
        </is>
      </c>
      <c r="G31" s="175" t="inlineStr">
        <is>
          <t>Topic: The Normal Newborn &amp; Thermoregulation</t>
        </is>
      </c>
    </row>
    <row r="32" ht="15.75" customHeight="1" s="149">
      <c r="A32" s="171" t="inlineStr">
        <is>
          <t>Module 12</t>
        </is>
      </c>
      <c r="B32" s="171" t="inlineStr">
        <is>
          <t>Day 2</t>
        </is>
      </c>
      <c r="C32" s="172" t="inlineStr">
        <is>
          <t>Spring 2026</t>
        </is>
      </c>
      <c r="D32" s="172" t="inlineStr">
        <is>
          <t>Kaiser</t>
        </is>
      </c>
      <c r="E32" s="173">
        <f>HYPERLINK("https://drive.google.com/file/d/1cu1ZuTYOyk2XjUeDljRL8sh--WKvu7J-/view","▶  Watch")</f>
        <v/>
      </c>
      <c r="F32" s="172" t="inlineStr">
        <is>
          <t>NUR234 M12d2.mp4</t>
        </is>
      </c>
      <c r="G32" s="172" t="inlineStr">
        <is>
          <t>Topic: The Normal Newborn &amp; Thermoregulation</t>
        </is>
      </c>
    </row>
    <row r="33" ht="15.75" customHeight="1" s="149">
      <c r="A33" s="174" t="inlineStr">
        <is>
          <t>Module 13</t>
        </is>
      </c>
      <c r="B33" s="174" t="inlineStr">
        <is>
          <t>Day 1</t>
        </is>
      </c>
      <c r="C33" s="175" t="inlineStr">
        <is>
          <t>Spring 2026</t>
        </is>
      </c>
      <c r="D33" s="175" t="inlineStr">
        <is>
          <t>Kaiser</t>
        </is>
      </c>
      <c r="E33" s="176">
        <f>HYPERLINK("https://drive.google.com/file/d/1HtFwGZg8qK_fQ8Tu9T7sHkXBWlLRVKaI/view","▶  Watch")</f>
        <v/>
      </c>
      <c r="F33" s="175" t="inlineStr">
        <is>
          <t>NUR234 M13D1.mp4</t>
        </is>
      </c>
      <c r="G33" s="175" t="inlineStr">
        <is>
          <t>Topic: Newborn Feeding</t>
        </is>
      </c>
    </row>
    <row r="34" ht="15.75" customHeight="1" s="149">
      <c r="A34" s="171" t="inlineStr">
        <is>
          <t>Module 13</t>
        </is>
      </c>
      <c r="B34" s="171" t="inlineStr">
        <is>
          <t>Day 2</t>
        </is>
      </c>
      <c r="C34" s="172" t="inlineStr">
        <is>
          <t>Spring 2026</t>
        </is>
      </c>
      <c r="D34" s="172" t="inlineStr">
        <is>
          <t>Kaiser</t>
        </is>
      </c>
      <c r="E34" s="173">
        <f>HYPERLINK("https://drive.google.com/file/d/1SIAOBsm4zGlMHs4Z5BAy__E3gjkbf5yI/view","▶  Watch")</f>
        <v/>
      </c>
      <c r="F34" s="172" t="inlineStr">
        <is>
          <t>NUR234 M13D2.mp4</t>
        </is>
      </c>
      <c r="G34" s="172" t="inlineStr">
        <is>
          <t>Topic: Newborn Feeding</t>
        </is>
      </c>
    </row>
    <row r="35" ht="15.75" customHeight="1" s="149">
      <c r="A35" s="174" t="inlineStr">
        <is>
          <t>Module 14</t>
        </is>
      </c>
      <c r="B35" s="174" t="inlineStr">
        <is>
          <t>Day 1</t>
        </is>
      </c>
      <c r="C35" s="175" t="inlineStr">
        <is>
          <t>Spring 2026</t>
        </is>
      </c>
      <c r="D35" s="175" t="inlineStr">
        <is>
          <t>Kaiser</t>
        </is>
      </c>
      <c r="E35" s="176">
        <f>HYPERLINK("https://drive.google.com/file/d/1IVUURpnc9Fvq64m_3K7sPNWRKkcmnfjK/view?usp=drive_link","▶  Watch")</f>
        <v/>
      </c>
      <c r="F35" s="175" t="n"/>
      <c r="G35" s="175" t="inlineStr">
        <is>
          <t>Topic: The High-Risk Newborn &amp; Course Review</t>
        </is>
      </c>
    </row>
    <row r="36" ht="15.75" customHeight="1" s="149">
      <c r="A36" s="171" t="inlineStr">
        <is>
          <t>Module 14</t>
        </is>
      </c>
      <c r="B36" s="171" t="inlineStr">
        <is>
          <t>Day 2</t>
        </is>
      </c>
      <c r="C36" s="172" t="inlineStr">
        <is>
          <t>Spring 2026</t>
        </is>
      </c>
      <c r="D36" s="172" t="inlineStr">
        <is>
          <t>Kaiser</t>
        </is>
      </c>
      <c r="E36" s="173">
        <f>HYPERLINK("https://drive.google.com/file/d/12LFXOcOPwZ40P442l0KmmsbYb3MRnrff/view?usp=drive_link","▶  Watch")</f>
        <v/>
      </c>
      <c r="F36" s="172" t="n"/>
      <c r="G36" s="172" t="inlineStr">
        <is>
          <t>Topic: The High-Risk Newborn &amp; Course Review</t>
        </is>
      </c>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2" t="n"/>
      <c r="B40" s="172" t="n"/>
      <c r="C40" s="172" t="n"/>
      <c r="D40" s="172" t="n"/>
      <c r="E40" s="172" t="n"/>
      <c r="F40" s="172" t="n"/>
      <c r="G40" s="172" t="n"/>
    </row>
    <row r="41" ht="15.75" customHeight="1" s="149">
      <c r="A41" s="175" t="n"/>
      <c r="B41" s="175" t="n"/>
      <c r="C41" s="175" t="n"/>
      <c r="D41" s="175" t="n"/>
      <c r="E41" s="175" t="n"/>
      <c r="F41" s="175" t="n"/>
      <c r="G41" s="175" t="n"/>
    </row>
    <row r="42" ht="15.75" customHeight="1" s="149">
      <c r="A42" s="172" t="n"/>
      <c r="B42" s="172" t="n"/>
      <c r="C42" s="172" t="n"/>
      <c r="D42" s="172" t="n"/>
      <c r="E42" s="172" t="n"/>
      <c r="F42" s="172" t="n"/>
      <c r="G42" s="172"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177" t="n"/>
      <c r="B49" s="177" t="n"/>
      <c r="C49" s="177" t="n"/>
      <c r="D49" s="177" t="n"/>
      <c r="E49" s="177" t="n"/>
      <c r="F49" s="177" t="n"/>
      <c r="G49" s="177" t="n"/>
    </row>
    <row r="50" ht="15.75" customHeight="1" s="149">
      <c r="A50" s="178" t="n"/>
      <c r="B50" s="178" t="n"/>
      <c r="C50" s="178" t="n"/>
      <c r="D50" s="178" t="n"/>
      <c r="E50" s="178" t="n"/>
      <c r="F50" s="178" t="n"/>
      <c r="G50" s="178" t="n"/>
    </row>
    <row r="51" ht="15.75" customHeight="1" s="149">
      <c r="A51" s="177" t="n"/>
      <c r="B51" s="177" t="n"/>
      <c r="C51" s="177" t="n"/>
      <c r="D51" s="177" t="n"/>
      <c r="E51" s="177" t="n"/>
      <c r="F51" s="177" t="n"/>
      <c r="G51" s="177"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c r="A235" s="5" t="n"/>
      <c r="B235" s="5" t="n"/>
      <c r="C235" s="5" t="n"/>
      <c r="D235" s="5" t="n"/>
      <c r="E235" s="5" t="n"/>
      <c r="F235" s="5" t="n"/>
      <c r="G235" s="5" t="n"/>
    </row>
    <row r="236" ht="15.75" customHeight="1" s="149">
      <c r="A236" s="5" t="n"/>
      <c r="B236" s="5" t="n"/>
      <c r="C236" s="5" t="n"/>
      <c r="D236" s="5" t="n"/>
      <c r="E236" s="5" t="n"/>
      <c r="F236" s="5" t="n"/>
      <c r="G236" s="5" t="n"/>
    </row>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Buhler</t>
        </is>
      </c>
    </row>
    <row r="2">
      <c r="A2" s="10" t="inlineStr">
        <is>
          <t>NUR234</t>
        </is>
      </c>
      <c r="B2" s="12" t="inlineStr">
        <is>
          <t>NUR235</t>
        </is>
      </c>
      <c r="C2" s="12" t="inlineStr">
        <is>
          <t>NUR258</t>
        </is>
      </c>
      <c r="D2" s="13" t="inlineStr">
        <is>
          <t>🏠 START HERE</t>
        </is>
      </c>
      <c r="E2" s="15" t="inlineStr">
        <is>
          <t>📥 Sort me</t>
        </is>
      </c>
      <c r="F2" s="16" t="n"/>
      <c r="G2" s="16" t="n"/>
    </row>
    <row r="3">
      <c r="A3" s="19" t="inlineStr">
        <is>
          <t>Kaiser</t>
        </is>
      </c>
      <c r="B3" s="21" t="inlineStr">
        <is>
          <t>Buhler</t>
        </is>
      </c>
      <c r="C3" s="19" t="inlineStr">
        <is>
          <t>Glesner</t>
        </is>
      </c>
      <c r="D3" s="27" t="inlineStr">
        <is>
          <t>Exams</t>
        </is>
      </c>
      <c r="E3" s="27">
        <f>HYPERLINK('START HERE'!$B$36,"Zoom")</f>
        <v/>
      </c>
      <c r="F3" s="19" t="inlineStr">
        <is>
          <t>Review videos</t>
        </is>
      </c>
      <c r="G3" s="16" t="n"/>
    </row>
    <row r="4">
      <c r="A4" s="16" t="n"/>
      <c r="B4" s="16" t="n"/>
      <c r="C4" s="16" t="n"/>
      <c r="D4" s="16" t="n"/>
      <c r="E4" s="16" t="n"/>
      <c r="F4" s="16" t="n"/>
      <c r="G4" s="16"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Fall 2026</t>
        </is>
      </c>
      <c r="D6" s="172" t="inlineStr">
        <is>
          <t>Buhler</t>
        </is>
      </c>
      <c r="E6" s="173">
        <f>HYPERLINK("https://drive.google.com/open?id=1u4dmz5cUxg1cKSpzK5QEigVqQdw7ZAgV&amp;usp=drive_fs","▶  Watch")</f>
        <v/>
      </c>
      <c r="F6" s="172" t="inlineStr">
        <is>
          <t>NUR234_Buhler_Wk1_D1.mp4</t>
        </is>
      </c>
      <c r="G6" s="172" t="inlineStr">
        <is>
          <t>Chapter 6</t>
        </is>
      </c>
    </row>
    <row r="7">
      <c r="A7" s="174" t="inlineStr">
        <is>
          <t>Module 1</t>
        </is>
      </c>
      <c r="B7" s="174" t="inlineStr">
        <is>
          <t>Day 2</t>
        </is>
      </c>
      <c r="C7" s="175" t="inlineStr">
        <is>
          <t>Fall 2026</t>
        </is>
      </c>
      <c r="D7" s="175" t="inlineStr">
        <is>
          <t>Buhler</t>
        </is>
      </c>
      <c r="E7" s="176">
        <f>HYPERLINK("https://drive.google.com/file/d/1CnuSelmTyZAZC85GA3VHMHZZQq5ZtB-S/view","▶  Watch")</f>
        <v/>
      </c>
      <c r="F7" s="175" t="inlineStr">
        <is>
          <t>NUR234_Buhler_Wk1_D2.mp4</t>
        </is>
      </c>
      <c r="G7" s="175" t="inlineStr">
        <is>
          <t>Topic: Reproductive Life Planning &amp; Contraception</t>
        </is>
      </c>
    </row>
    <row r="8">
      <c r="A8" s="171" t="inlineStr">
        <is>
          <t>Module 2</t>
        </is>
      </c>
      <c r="B8" s="171" t="inlineStr">
        <is>
          <t>Day 1</t>
        </is>
      </c>
      <c r="C8" s="172" t="inlineStr">
        <is>
          <t>Fall 2026</t>
        </is>
      </c>
      <c r="D8" s="172" t="inlineStr">
        <is>
          <t>Buhler</t>
        </is>
      </c>
      <c r="E8" s="173">
        <f>HYPERLINK("https://drive.google.com/file/d/17VZ8oHKVfrKNkHLMkfalKuIqLrMv_okM/view","▶  Watch")</f>
        <v/>
      </c>
      <c r="F8" s="172" t="inlineStr">
        <is>
          <t>NUR234_Chapter_9_(Source).mp4</t>
        </is>
      </c>
      <c r="G8" s="172" t="inlineStr">
        <is>
          <t>Chapter 9 - placed by chapter order, move the row if it belongs elsewhere</t>
        </is>
      </c>
    </row>
    <row r="9">
      <c r="A9" s="174" t="inlineStr">
        <is>
          <t>Module 2</t>
        </is>
      </c>
      <c r="B9" s="174" t="inlineStr">
        <is>
          <t>Day 2</t>
        </is>
      </c>
      <c r="C9" s="175" t="inlineStr">
        <is>
          <t>Fall 2026</t>
        </is>
      </c>
      <c r="D9" s="175" t="inlineStr">
        <is>
          <t>Buhler</t>
        </is>
      </c>
      <c r="E9" s="179" t="n"/>
      <c r="F9" s="175" t="n"/>
      <c r="G9" s="175" t="n"/>
    </row>
    <row r="10">
      <c r="A10" s="171" t="inlineStr">
        <is>
          <t>Module 3</t>
        </is>
      </c>
      <c r="B10" s="171" t="inlineStr">
        <is>
          <t>Day 1</t>
        </is>
      </c>
      <c r="C10" s="172" t="inlineStr">
        <is>
          <t>Fall 2026</t>
        </is>
      </c>
      <c r="D10" s="172" t="inlineStr">
        <is>
          <t>Buhler</t>
        </is>
      </c>
      <c r="E10" s="173">
        <f>HYPERLINK("https://drive.google.com/file/d/13GSnMwCucMykxi0DP8aGTl_htiXv0mPZ/view","▶  Watch")</f>
        <v/>
      </c>
      <c r="F10" s="172" t="inlineStr">
        <is>
          <t>NUR234_Fall2026_Buhler_WkNA_DayNA_Chapter 10 Psychological and Physiological Changes of Pregnancy.mp4</t>
        </is>
      </c>
      <c r="G10" s="172" t="inlineStr">
        <is>
          <t>Chapter 10 - placed by chapter order, move the row if it belongs elsewhere</t>
        </is>
      </c>
    </row>
    <row r="11">
      <c r="A11" s="174" t="inlineStr">
        <is>
          <t>Module 3</t>
        </is>
      </c>
      <c r="B11" s="174" t="inlineStr">
        <is>
          <t>Day 2</t>
        </is>
      </c>
      <c r="C11" s="175" t="inlineStr">
        <is>
          <t>Fall 2026</t>
        </is>
      </c>
      <c r="D11" s="175" t="inlineStr">
        <is>
          <t>Buhler</t>
        </is>
      </c>
      <c r="E11" s="179" t="n"/>
      <c r="F11" s="175" t="n"/>
      <c r="G11" s="175" t="n"/>
    </row>
    <row r="12">
      <c r="A12" s="171" t="inlineStr">
        <is>
          <t>Module 4</t>
        </is>
      </c>
      <c r="B12" s="171" t="inlineStr">
        <is>
          <t>Day 1</t>
        </is>
      </c>
      <c r="C12" s="172" t="inlineStr">
        <is>
          <t>Fall 2026</t>
        </is>
      </c>
      <c r="D12" s="172" t="inlineStr">
        <is>
          <t>Not named</t>
        </is>
      </c>
      <c r="E12" s="173">
        <f>HYPERLINK("https://drive.google.com/file/d/1-DV8jAn3hFddHFvpr8kgYtyjI9t8QJZi/view","▶  Watch")</f>
        <v/>
      </c>
      <c r="F12" s="172" t="inlineStr">
        <is>
          <t>NUR234_Chapter_11_(Source).mp4</t>
        </is>
      </c>
      <c r="G12" s="172" t="inlineStr">
        <is>
          <t>Chapter 11 - lecturer is not named in the file. Placed by chapter order, move the row if it belongs elsewhere</t>
        </is>
      </c>
    </row>
    <row r="13">
      <c r="A13" s="174" t="inlineStr">
        <is>
          <t>Module 4</t>
        </is>
      </c>
      <c r="B13" s="174" t="inlineStr">
        <is>
          <t>Day 2</t>
        </is>
      </c>
      <c r="C13" s="175" t="inlineStr">
        <is>
          <t>Fall 2026</t>
        </is>
      </c>
      <c r="D13" s="175" t="inlineStr">
        <is>
          <t>Buhler</t>
        </is>
      </c>
      <c r="E13" s="179" t="n"/>
      <c r="F13" s="175" t="n"/>
      <c r="G13" s="175" t="n"/>
    </row>
    <row r="14">
      <c r="A14" s="171" t="inlineStr">
        <is>
          <t>Module 5</t>
        </is>
      </c>
      <c r="B14" s="171" t="inlineStr">
        <is>
          <t>Day 1</t>
        </is>
      </c>
      <c r="C14" s="172" t="inlineStr">
        <is>
          <t>Fall 2026</t>
        </is>
      </c>
      <c r="D14" s="172" t="inlineStr">
        <is>
          <t>Buhler</t>
        </is>
      </c>
      <c r="E14" s="173">
        <f>HYPERLINK("https://drive.google.com/file/d/1HQHKEoo2ntCRU3q8qmQ1y1F3tL6TOkJ2/view","▶  Watch")</f>
        <v/>
      </c>
      <c r="F14" s="172" t="inlineStr">
        <is>
          <t>NUR234_Fall2026_Buhler_Wk05_DayNA_Chapter 12.mp4</t>
        </is>
      </c>
      <c r="G14" s="172" t="inlineStr">
        <is>
          <t>Chapter 12</t>
        </is>
      </c>
    </row>
    <row r="15">
      <c r="A15" s="174" t="inlineStr">
        <is>
          <t>Module 5</t>
        </is>
      </c>
      <c r="B15" s="174" t="inlineStr">
        <is>
          <t>Day 2</t>
        </is>
      </c>
      <c r="C15" s="175" t="inlineStr">
        <is>
          <t>Fall 2026</t>
        </is>
      </c>
      <c r="D15" s="175" t="inlineStr">
        <is>
          <t>Buhler</t>
        </is>
      </c>
      <c r="E15" s="176">
        <f>HYPERLINK("https://drive.google.com/file/d/1z3U5EJf1WVte6o2sK-hdCtuE1Hos0YEj/view","▶  Watch")</f>
        <v/>
      </c>
      <c r="F15" s="175" t="inlineStr">
        <is>
          <t>NUR234_Fall2026_Buhler_Wk05_DayNA_Chapter 13.mp4</t>
        </is>
      </c>
      <c r="G15" s="175" t="inlineStr">
        <is>
          <t>Chapter 13</t>
        </is>
      </c>
    </row>
    <row r="16">
      <c r="A16" s="171" t="inlineStr">
        <is>
          <t>Module 6</t>
        </is>
      </c>
      <c r="B16" s="171" t="inlineStr">
        <is>
          <t>Day 1</t>
        </is>
      </c>
      <c r="C16" s="172" t="inlineStr">
        <is>
          <t>Fall 2026</t>
        </is>
      </c>
      <c r="D16" s="172" t="inlineStr">
        <is>
          <t>Not named</t>
        </is>
      </c>
      <c r="E16" s="173">
        <f>HYPERLINK("https://drive.google.com/file/d/1HvfwKXxW2MAssWfgSmFv9UD6rYShOYoa/view","▶  Watch")</f>
        <v/>
      </c>
      <c r="F16" s="172" t="inlineStr">
        <is>
          <t>NUR234_Fall2026_WkNA_DayNA_Chapter 15.mp4</t>
        </is>
      </c>
      <c r="G16" s="172"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174" t="inlineStr">
        <is>
          <t>Module 6</t>
        </is>
      </c>
      <c r="B17" s="174" t="inlineStr">
        <is>
          <t>Day 2</t>
        </is>
      </c>
      <c r="C17" s="175" t="inlineStr">
        <is>
          <t>Fall 2026</t>
        </is>
      </c>
      <c r="D17" s="175" t="inlineStr">
        <is>
          <t>Buhler</t>
        </is>
      </c>
      <c r="E17" s="179" t="n"/>
      <c r="F17" s="175" t="n"/>
      <c r="G17" s="175" t="n"/>
    </row>
    <row r="18">
      <c r="A18" s="171" t="inlineStr">
        <is>
          <t>Module 7</t>
        </is>
      </c>
      <c r="B18" s="171" t="inlineStr">
        <is>
          <t>Day 1</t>
        </is>
      </c>
      <c r="C18" s="172" t="inlineStr">
        <is>
          <t>Fall 2026</t>
        </is>
      </c>
      <c r="D18" s="172" t="inlineStr">
        <is>
          <t>Buhler</t>
        </is>
      </c>
      <c r="E18" s="173">
        <f>HYPERLINK("https://drive.google.com/file/d/1PIv85W-E3PUKMP_RCmbAdilOOO4FRkAi/view","▶  Watch")</f>
        <v/>
      </c>
      <c r="F18" s="172" t="inlineStr">
        <is>
          <t>NUR234_Fall2026_Buhler_Wk07_DayNA_Chapter 16 Providing Comfort During Labor and Birth.mp4</t>
        </is>
      </c>
      <c r="G18" s="172" t="inlineStr">
        <is>
          <t>Chapter 16 - Providing Comfort During Labor and Birth</t>
        </is>
      </c>
    </row>
    <row r="19">
      <c r="A19" s="174" t="inlineStr">
        <is>
          <t>Module 7</t>
        </is>
      </c>
      <c r="B19" s="174" t="inlineStr">
        <is>
          <t>Day 2</t>
        </is>
      </c>
      <c r="C19" s="175" t="inlineStr">
        <is>
          <t>Fall 2026</t>
        </is>
      </c>
      <c r="D19" s="175" t="inlineStr">
        <is>
          <t>Buhler</t>
        </is>
      </c>
      <c r="E19" s="179" t="n"/>
      <c r="F19" s="175" t="n"/>
      <c r="G19" s="175" t="n"/>
    </row>
    <row r="20">
      <c r="A20" s="171" t="inlineStr">
        <is>
          <t>Module 8</t>
        </is>
      </c>
      <c r="B20" s="171" t="inlineStr">
        <is>
          <t>Day 1</t>
        </is>
      </c>
      <c r="C20" s="172" t="inlineStr">
        <is>
          <t>Fall 2026</t>
        </is>
      </c>
      <c r="D20" s="172" t="inlineStr">
        <is>
          <t>Buhler</t>
        </is>
      </c>
      <c r="E20" s="180" t="n"/>
      <c r="F20" s="172" t="n"/>
      <c r="G20" s="172" t="n"/>
    </row>
    <row r="21" ht="15.75" customHeight="1" s="149">
      <c r="A21" s="174" t="inlineStr">
        <is>
          <t>Module 8</t>
        </is>
      </c>
      <c r="B21" s="174" t="inlineStr">
        <is>
          <t>Day 2</t>
        </is>
      </c>
      <c r="C21" s="175" t="inlineStr">
        <is>
          <t>Fall 2026</t>
        </is>
      </c>
      <c r="D21" s="175" t="inlineStr">
        <is>
          <t>Buhler</t>
        </is>
      </c>
      <c r="E21" s="179" t="n"/>
      <c r="F21" s="175" t="n"/>
      <c r="G21" s="175" t="n"/>
    </row>
    <row r="22" ht="15.75" customHeight="1" s="149">
      <c r="A22" s="171" t="inlineStr">
        <is>
          <t>Module 9</t>
        </is>
      </c>
      <c r="B22" s="171" t="inlineStr">
        <is>
          <t>Day 1</t>
        </is>
      </c>
      <c r="C22" s="172" t="inlineStr">
        <is>
          <t>Fall 2026</t>
        </is>
      </c>
      <c r="D22" s="172" t="inlineStr">
        <is>
          <t>Buhler</t>
        </is>
      </c>
      <c r="E22" s="180" t="n"/>
      <c r="F22" s="172" t="n"/>
      <c r="G22" s="172" t="n"/>
    </row>
    <row r="23" ht="15.75" customHeight="1" s="149">
      <c r="A23" s="174" t="inlineStr">
        <is>
          <t>Module 9</t>
        </is>
      </c>
      <c r="B23" s="174" t="inlineStr">
        <is>
          <t>Day 2</t>
        </is>
      </c>
      <c r="C23" s="175" t="inlineStr">
        <is>
          <t>Fall 2026</t>
        </is>
      </c>
      <c r="D23" s="175" t="inlineStr">
        <is>
          <t>Buhler</t>
        </is>
      </c>
      <c r="E23" s="179" t="n"/>
      <c r="F23" s="175" t="n"/>
      <c r="G23" s="175" t="n"/>
    </row>
    <row r="24" ht="15.75" customHeight="1" s="149">
      <c r="A24" s="171" t="inlineStr">
        <is>
          <t>Module 10</t>
        </is>
      </c>
      <c r="B24" s="171" t="inlineStr">
        <is>
          <t>Day 1</t>
        </is>
      </c>
      <c r="C24" s="172" t="inlineStr">
        <is>
          <t>Fall 2026</t>
        </is>
      </c>
      <c r="D24" s="172" t="inlineStr">
        <is>
          <t>Buhler</t>
        </is>
      </c>
      <c r="E24" s="180" t="n"/>
      <c r="F24" s="172" t="n"/>
      <c r="G24" s="172" t="n"/>
    </row>
    <row r="25" ht="15.75" customHeight="1" s="149">
      <c r="A25" s="174" t="inlineStr">
        <is>
          <t>Module 10</t>
        </is>
      </c>
      <c r="B25" s="174" t="inlineStr">
        <is>
          <t>Day 2</t>
        </is>
      </c>
      <c r="C25" s="175" t="inlineStr">
        <is>
          <t>Fall 2026</t>
        </is>
      </c>
      <c r="D25" s="175" t="inlineStr">
        <is>
          <t>Buhler</t>
        </is>
      </c>
      <c r="E25" s="179" t="n"/>
      <c r="F25" s="175" t="n"/>
      <c r="G25" s="175" t="n"/>
    </row>
    <row r="26" ht="15.75" customHeight="1" s="149">
      <c r="A26" s="171" t="inlineStr">
        <is>
          <t>Module 11</t>
        </is>
      </c>
      <c r="B26" s="171" t="inlineStr">
        <is>
          <t>Day 1</t>
        </is>
      </c>
      <c r="C26" s="172" t="inlineStr">
        <is>
          <t>Fall 2026</t>
        </is>
      </c>
      <c r="D26" s="172" t="inlineStr">
        <is>
          <t>Buhler</t>
        </is>
      </c>
      <c r="E26" s="180" t="n"/>
      <c r="F26" s="172" t="n"/>
      <c r="G26" s="172" t="n"/>
    </row>
    <row r="27" ht="15.75" customHeight="1" s="149">
      <c r="A27" s="174" t="inlineStr">
        <is>
          <t>Module 11</t>
        </is>
      </c>
      <c r="B27" s="174" t="inlineStr">
        <is>
          <t>Day 2</t>
        </is>
      </c>
      <c r="C27" s="175" t="inlineStr">
        <is>
          <t>Fall 2026</t>
        </is>
      </c>
      <c r="D27" s="175" t="inlineStr">
        <is>
          <t>Buhler</t>
        </is>
      </c>
      <c r="E27" s="179" t="n"/>
      <c r="F27" s="175" t="n"/>
      <c r="G27" s="175" t="n"/>
    </row>
    <row r="28" ht="15.75" customHeight="1" s="149">
      <c r="A28" s="171" t="inlineStr">
        <is>
          <t>Module 12</t>
        </is>
      </c>
      <c r="B28" s="171" t="inlineStr">
        <is>
          <t>Day 1</t>
        </is>
      </c>
      <c r="C28" s="172" t="inlineStr">
        <is>
          <t>Fall 2026</t>
        </is>
      </c>
      <c r="D28" s="172" t="inlineStr">
        <is>
          <t>Buhler</t>
        </is>
      </c>
      <c r="E28" s="180" t="n"/>
      <c r="F28" s="172" t="n"/>
      <c r="G28" s="172" t="n"/>
    </row>
    <row r="29" ht="15.75" customHeight="1" s="149">
      <c r="A29" s="174" t="inlineStr">
        <is>
          <t>Module 12</t>
        </is>
      </c>
      <c r="B29" s="174" t="inlineStr">
        <is>
          <t>Day 2</t>
        </is>
      </c>
      <c r="C29" s="175" t="inlineStr">
        <is>
          <t>Fall 2026</t>
        </is>
      </c>
      <c r="D29" s="175" t="inlineStr">
        <is>
          <t>Buhler</t>
        </is>
      </c>
      <c r="E29" s="179" t="n"/>
      <c r="F29" s="175" t="n"/>
      <c r="G29" s="175" t="n"/>
    </row>
    <row r="30" ht="15.75" customHeight="1" s="149">
      <c r="A30" s="171" t="inlineStr">
        <is>
          <t>Module 13</t>
        </is>
      </c>
      <c r="B30" s="171" t="inlineStr">
        <is>
          <t>Day 1</t>
        </is>
      </c>
      <c r="C30" s="172" t="inlineStr">
        <is>
          <t>Fall 2026</t>
        </is>
      </c>
      <c r="D30" s="172" t="inlineStr">
        <is>
          <t>Buhler</t>
        </is>
      </c>
      <c r="E30" s="180" t="n"/>
      <c r="F30" s="172" t="n"/>
      <c r="G30" s="172" t="n"/>
    </row>
    <row r="31" ht="15.75" customHeight="1" s="149">
      <c r="A31" s="174" t="inlineStr">
        <is>
          <t>Module 13</t>
        </is>
      </c>
      <c r="B31" s="174" t="inlineStr">
        <is>
          <t>Day 2</t>
        </is>
      </c>
      <c r="C31" s="175" t="inlineStr">
        <is>
          <t>Fall 2026</t>
        </is>
      </c>
      <c r="D31" s="175" t="inlineStr">
        <is>
          <t>Buhler</t>
        </is>
      </c>
      <c r="E31" s="179" t="n"/>
      <c r="F31" s="175" t="n"/>
      <c r="G31" s="175" t="n"/>
    </row>
    <row r="32" ht="15.75" customHeight="1" s="149">
      <c r="A32" s="171" t="inlineStr">
        <is>
          <t>Module 14</t>
        </is>
      </c>
      <c r="B32" s="171" t="inlineStr">
        <is>
          <t>Day 1</t>
        </is>
      </c>
      <c r="C32" s="172" t="inlineStr">
        <is>
          <t>Fall 2026</t>
        </is>
      </c>
      <c r="D32" s="172" t="inlineStr">
        <is>
          <t>Buhler</t>
        </is>
      </c>
      <c r="E32" s="180" t="n"/>
      <c r="F32" s="172" t="n"/>
      <c r="G32" s="172" t="n"/>
    </row>
    <row r="33" ht="15.75" customHeight="1" s="149">
      <c r="A33" s="174" t="inlineStr">
        <is>
          <t>Module 14</t>
        </is>
      </c>
      <c r="B33" s="174" t="inlineStr">
        <is>
          <t>Day 2</t>
        </is>
      </c>
      <c r="C33" s="175" t="inlineStr">
        <is>
          <t>Fall 2026</t>
        </is>
      </c>
      <c r="D33" s="175" t="inlineStr">
        <is>
          <t>Buhler</t>
        </is>
      </c>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178" t="n"/>
      <c r="B42" s="178" t="n"/>
      <c r="C42" s="178" t="n"/>
      <c r="D42" s="178" t="n"/>
      <c r="E42" s="178" t="n"/>
      <c r="F42" s="178" t="n"/>
      <c r="G42" s="178"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3"/>
    <col width="17.86" customWidth="1" style="149" min="4" max="4"/>
    <col width="20" customWidth="1" style="149" min="5" max="5"/>
    <col hidden="1" width="28" customWidth="1" style="149" min="6" max="6"/>
    <col width="44" customWidth="1" style="149" min="7" max="7"/>
  </cols>
  <sheetData>
    <row r="1">
      <c r="A1" s="168" t="inlineStr">
        <is>
          <t>NUR234  ·  Glesner</t>
        </is>
      </c>
    </row>
    <row r="2">
      <c r="A2" s="10" t="inlineStr">
        <is>
          <t>NUR234</t>
        </is>
      </c>
      <c r="B2" s="12" t="inlineStr">
        <is>
          <t>NUR235</t>
        </is>
      </c>
      <c r="C2" s="12" t="inlineStr">
        <is>
          <t>NUR258</t>
        </is>
      </c>
      <c r="D2" s="13" t="inlineStr">
        <is>
          <t>🏠 START HERE</t>
        </is>
      </c>
      <c r="E2" s="15" t="inlineStr">
        <is>
          <t>📥 Sort me</t>
        </is>
      </c>
      <c r="F2" s="16" t="n"/>
      <c r="G2" s="16" t="n"/>
    </row>
    <row r="3">
      <c r="A3" s="19" t="inlineStr">
        <is>
          <t>Kaiser</t>
        </is>
      </c>
      <c r="B3" s="21" t="inlineStr">
        <is>
          <t>Buhler</t>
        </is>
      </c>
      <c r="C3" s="19" t="inlineStr">
        <is>
          <t>Glesner</t>
        </is>
      </c>
      <c r="D3" s="27" t="inlineStr">
        <is>
          <t>Exams</t>
        </is>
      </c>
      <c r="E3" s="27">
        <f>HYPERLINK('START HERE'!$B$36,"Zoom")</f>
        <v/>
      </c>
      <c r="F3" s="19" t="inlineStr">
        <is>
          <t>Review videos</t>
        </is>
      </c>
      <c r="G3" s="16" t="n"/>
    </row>
    <row r="4">
      <c r="A4" s="16" t="n"/>
      <c r="B4" s="16" t="n"/>
      <c r="C4" s="16" t="n"/>
      <c r="D4" s="16" t="n"/>
      <c r="E4" s="16" t="n"/>
      <c r="F4" s="16" t="n"/>
      <c r="G4" s="16"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1</t>
        </is>
      </c>
      <c r="B6" s="171" t="inlineStr">
        <is>
          <t>Day 1</t>
        </is>
      </c>
      <c r="C6" s="172" t="inlineStr">
        <is>
          <t>Fall 2026</t>
        </is>
      </c>
      <c r="D6" s="172" t="inlineStr">
        <is>
          <t>Glesner</t>
        </is>
      </c>
      <c r="E6" s="173">
        <f>HYPERLINK("https://drive.google.com/file/d/15RBwcq_izjKd8bkaA19fLfSTZWiWQdIY/view","▶  Watch")</f>
        <v/>
      </c>
      <c r="F6" s="172" t="inlineStr">
        <is>
          <t>Glesner Wk 1.mp4</t>
        </is>
      </c>
      <c r="G6" s="172" t="inlineStr">
        <is>
          <t>Topic: Reproductive Life Planning &amp; Contraception</t>
        </is>
      </c>
    </row>
    <row r="7">
      <c r="A7" s="174" t="inlineStr">
        <is>
          <t>Module 1</t>
        </is>
      </c>
      <c r="B7" s="174" t="inlineStr">
        <is>
          <t>Day 2</t>
        </is>
      </c>
      <c r="C7" s="175" t="inlineStr">
        <is>
          <t>Fall 2026</t>
        </is>
      </c>
      <c r="D7" s="175" t="inlineStr">
        <is>
          <t>Glesner</t>
        </is>
      </c>
      <c r="E7" s="179" t="n"/>
      <c r="F7" s="175" t="n"/>
      <c r="G7" s="175" t="n"/>
    </row>
    <row r="8">
      <c r="A8" s="171" t="inlineStr">
        <is>
          <t>Module 2</t>
        </is>
      </c>
      <c r="B8" s="171" t="inlineStr">
        <is>
          <t>Day 1</t>
        </is>
      </c>
      <c r="C8" s="172" t="inlineStr">
        <is>
          <t>Fall 2026</t>
        </is>
      </c>
      <c r="D8" s="172" t="inlineStr">
        <is>
          <t>Glesner</t>
        </is>
      </c>
      <c r="E8" s="180" t="n"/>
      <c r="F8" s="172" t="n"/>
      <c r="G8" s="172" t="n"/>
    </row>
    <row r="9">
      <c r="A9" s="174" t="inlineStr">
        <is>
          <t>Module 2</t>
        </is>
      </c>
      <c r="B9" s="174" t="inlineStr">
        <is>
          <t>Day 2</t>
        </is>
      </c>
      <c r="C9" s="175" t="inlineStr">
        <is>
          <t>Fall 2026</t>
        </is>
      </c>
      <c r="D9" s="175" t="inlineStr">
        <is>
          <t>Glesner</t>
        </is>
      </c>
      <c r="E9" s="179" t="n"/>
      <c r="F9" s="175" t="n"/>
      <c r="G9" s="175" t="n"/>
    </row>
    <row r="10">
      <c r="A10" s="171" t="inlineStr">
        <is>
          <t>Module 3</t>
        </is>
      </c>
      <c r="B10" s="171" t="inlineStr">
        <is>
          <t>Day 1</t>
        </is>
      </c>
      <c r="C10" s="172" t="inlineStr">
        <is>
          <t>Fall 2026</t>
        </is>
      </c>
      <c r="D10" s="172" t="inlineStr">
        <is>
          <t>Glesner</t>
        </is>
      </c>
      <c r="E10" s="180" t="n"/>
      <c r="F10" s="172" t="n"/>
      <c r="G10" s="172" t="n"/>
    </row>
    <row r="11">
      <c r="A11" s="174" t="inlineStr">
        <is>
          <t>Module 3</t>
        </is>
      </c>
      <c r="B11" s="174" t="inlineStr">
        <is>
          <t>Day 2</t>
        </is>
      </c>
      <c r="C11" s="175" t="inlineStr">
        <is>
          <t>Fall 2026</t>
        </is>
      </c>
      <c r="D11" s="175" t="inlineStr">
        <is>
          <t>Glesner</t>
        </is>
      </c>
      <c r="E11" s="179" t="n"/>
      <c r="F11" s="175" t="n"/>
      <c r="G11" s="175" t="n"/>
    </row>
    <row r="12">
      <c r="A12" s="171" t="inlineStr">
        <is>
          <t>Module 4</t>
        </is>
      </c>
      <c r="B12" s="171" t="inlineStr">
        <is>
          <t>Day 1</t>
        </is>
      </c>
      <c r="C12" s="172" t="inlineStr">
        <is>
          <t>Fall 2026</t>
        </is>
      </c>
      <c r="D12" s="172" t="inlineStr">
        <is>
          <t>Glesner</t>
        </is>
      </c>
      <c r="E12" s="180" t="n"/>
      <c r="F12" s="172" t="n"/>
      <c r="G12" s="172" t="n"/>
    </row>
    <row r="13">
      <c r="A13" s="174" t="inlineStr">
        <is>
          <t>Module 4</t>
        </is>
      </c>
      <c r="B13" s="174" t="inlineStr">
        <is>
          <t>Day 2</t>
        </is>
      </c>
      <c r="C13" s="175" t="inlineStr">
        <is>
          <t>Fall 2026</t>
        </is>
      </c>
      <c r="D13" s="175" t="inlineStr">
        <is>
          <t>Glesner</t>
        </is>
      </c>
      <c r="E13" s="179" t="n"/>
      <c r="F13" s="175" t="n"/>
      <c r="G13" s="175" t="n"/>
    </row>
    <row r="14">
      <c r="A14" s="171" t="inlineStr">
        <is>
          <t>Module 5</t>
        </is>
      </c>
      <c r="B14" s="171" t="inlineStr">
        <is>
          <t>Day 1</t>
        </is>
      </c>
      <c r="C14" s="172" t="inlineStr">
        <is>
          <t>Fall 2026</t>
        </is>
      </c>
      <c r="D14" s="172" t="inlineStr">
        <is>
          <t>Glesner</t>
        </is>
      </c>
      <c r="E14" s="173">
        <f>HYPERLINK("https://drive.google.com/file/d/1qQg4ce98-3BjaaD-n_tYcdZosElOcHq0/view","▶  Watch")</f>
        <v/>
      </c>
      <c r="F14" s="172" t="inlineStr">
        <is>
          <t>NUR234_Fall2026_Glesner_Wk05_DayNA_Module 5 - Nutrition and health promotion in pregnancy (topic from the module number).mp4</t>
        </is>
      </c>
      <c r="G14" s="172" t="inlineStr">
        <is>
          <t>Topic: Nutrition &amp; Health Promotion in Pregnancy</t>
        </is>
      </c>
    </row>
    <row r="15">
      <c r="A15" s="174" t="inlineStr">
        <is>
          <t>Module 5</t>
        </is>
      </c>
      <c r="B15" s="174" t="inlineStr">
        <is>
          <t>Day 2</t>
        </is>
      </c>
      <c r="C15" s="175" t="inlineStr">
        <is>
          <t>Fall 2026</t>
        </is>
      </c>
      <c r="D15" s="175" t="inlineStr">
        <is>
          <t>Glesner</t>
        </is>
      </c>
      <c r="E15" s="179" t="n"/>
      <c r="F15" s="175" t="n"/>
      <c r="G15" s="175" t="n"/>
    </row>
    <row r="16">
      <c r="A16" s="171" t="inlineStr">
        <is>
          <t>Module 6</t>
        </is>
      </c>
      <c r="B16" s="171" t="inlineStr">
        <is>
          <t>Day 1</t>
        </is>
      </c>
      <c r="C16" s="172" t="inlineStr">
        <is>
          <t>Fall 2026</t>
        </is>
      </c>
      <c r="D16" s="172" t="inlineStr">
        <is>
          <t>Glesner</t>
        </is>
      </c>
      <c r="E16" s="180" t="n"/>
      <c r="F16" s="172" t="n"/>
      <c r="G16" s="172" t="n"/>
    </row>
    <row r="17">
      <c r="A17" s="174" t="inlineStr">
        <is>
          <t>Module 6</t>
        </is>
      </c>
      <c r="B17" s="174" t="inlineStr">
        <is>
          <t>Day 2</t>
        </is>
      </c>
      <c r="C17" s="175" t="inlineStr">
        <is>
          <t>Fall 2026</t>
        </is>
      </c>
      <c r="D17" s="175" t="inlineStr">
        <is>
          <t>Glesner</t>
        </is>
      </c>
      <c r="E17" s="179" t="n"/>
      <c r="F17" s="175" t="n"/>
      <c r="G17" s="175" t="n"/>
    </row>
    <row r="18">
      <c r="A18" s="171" t="inlineStr">
        <is>
          <t>Module 7</t>
        </is>
      </c>
      <c r="B18" s="171" t="inlineStr">
        <is>
          <t>Day 1</t>
        </is>
      </c>
      <c r="C18" s="172" t="inlineStr">
        <is>
          <t>Fall 2026</t>
        </is>
      </c>
      <c r="D18" s="172" t="inlineStr">
        <is>
          <t>Glesner</t>
        </is>
      </c>
      <c r="E18" s="180" t="n"/>
      <c r="F18" s="172" t="n"/>
      <c r="G18" s="172" t="n"/>
    </row>
    <row r="19">
      <c r="A19" s="174" t="inlineStr">
        <is>
          <t>Module 7</t>
        </is>
      </c>
      <c r="B19" s="174" t="inlineStr">
        <is>
          <t>Day 2</t>
        </is>
      </c>
      <c r="C19" s="175" t="inlineStr">
        <is>
          <t>Fall 2026</t>
        </is>
      </c>
      <c r="D19" s="175" t="inlineStr">
        <is>
          <t>Glesner</t>
        </is>
      </c>
      <c r="E19" s="179" t="n"/>
      <c r="F19" s="175" t="n"/>
      <c r="G19" s="175" t="n"/>
    </row>
    <row r="20">
      <c r="A20" s="171" t="inlineStr">
        <is>
          <t>Module 8</t>
        </is>
      </c>
      <c r="B20" s="171" t="inlineStr">
        <is>
          <t>Day 1</t>
        </is>
      </c>
      <c r="C20" s="172" t="inlineStr">
        <is>
          <t>Fall 2026</t>
        </is>
      </c>
      <c r="D20" s="172" t="inlineStr">
        <is>
          <t>Glesner</t>
        </is>
      </c>
      <c r="E20" s="180" t="n"/>
      <c r="F20" s="172" t="n"/>
      <c r="G20" s="172" t="n"/>
    </row>
    <row r="21" ht="15.75" customHeight="1" s="149">
      <c r="A21" s="174" t="inlineStr">
        <is>
          <t>Module 8</t>
        </is>
      </c>
      <c r="B21" s="174" t="inlineStr">
        <is>
          <t>Day 2</t>
        </is>
      </c>
      <c r="C21" s="175" t="inlineStr">
        <is>
          <t>Fall 2026</t>
        </is>
      </c>
      <c r="D21" s="175" t="inlineStr">
        <is>
          <t>Glesner</t>
        </is>
      </c>
      <c r="E21" s="179" t="n"/>
      <c r="F21" s="175" t="n"/>
      <c r="G21" s="175" t="n"/>
    </row>
    <row r="22" ht="15.75" customHeight="1" s="149">
      <c r="A22" s="171" t="inlineStr">
        <is>
          <t>Module 9</t>
        </is>
      </c>
      <c r="B22" s="171" t="inlineStr">
        <is>
          <t>Day 1</t>
        </is>
      </c>
      <c r="C22" s="172" t="inlineStr">
        <is>
          <t>Fall 2026</t>
        </is>
      </c>
      <c r="D22" s="172" t="inlineStr">
        <is>
          <t>Glesner</t>
        </is>
      </c>
      <c r="E22" s="180" t="n"/>
      <c r="F22" s="172" t="n"/>
      <c r="G22" s="172" t="n"/>
    </row>
    <row r="23" ht="15.75" customHeight="1" s="149">
      <c r="A23" s="174" t="inlineStr">
        <is>
          <t>Module 9</t>
        </is>
      </c>
      <c r="B23" s="174" t="inlineStr">
        <is>
          <t>Day 2</t>
        </is>
      </c>
      <c r="C23" s="175" t="inlineStr">
        <is>
          <t>Fall 2026</t>
        </is>
      </c>
      <c r="D23" s="175" t="inlineStr">
        <is>
          <t>Glesner</t>
        </is>
      </c>
      <c r="E23" s="179" t="n"/>
      <c r="F23" s="175" t="n"/>
      <c r="G23" s="175" t="n"/>
    </row>
    <row r="24" ht="15.75" customHeight="1" s="149">
      <c r="A24" s="171" t="inlineStr">
        <is>
          <t>Module 10</t>
        </is>
      </c>
      <c r="B24" s="171" t="inlineStr">
        <is>
          <t>Day 1</t>
        </is>
      </c>
      <c r="C24" s="172" t="inlineStr">
        <is>
          <t>Fall 2026</t>
        </is>
      </c>
      <c r="D24" s="172" t="inlineStr">
        <is>
          <t>Glesner</t>
        </is>
      </c>
      <c r="E24" s="180" t="n"/>
      <c r="F24" s="172" t="n"/>
      <c r="G24" s="172" t="n"/>
    </row>
    <row r="25" ht="15.75" customHeight="1" s="149">
      <c r="A25" s="174" t="inlineStr">
        <is>
          <t>Module 10</t>
        </is>
      </c>
      <c r="B25" s="174" t="inlineStr">
        <is>
          <t>Day 2</t>
        </is>
      </c>
      <c r="C25" s="175" t="inlineStr">
        <is>
          <t>Fall 2026</t>
        </is>
      </c>
      <c r="D25" s="175" t="inlineStr">
        <is>
          <t>Glesner</t>
        </is>
      </c>
      <c r="E25" s="179" t="n"/>
      <c r="F25" s="175" t="n"/>
      <c r="G25" s="175" t="n"/>
    </row>
    <row r="26" ht="15.75" customHeight="1" s="149">
      <c r="A26" s="171" t="inlineStr">
        <is>
          <t>Module 11</t>
        </is>
      </c>
      <c r="B26" s="171" t="inlineStr">
        <is>
          <t>Day 1</t>
        </is>
      </c>
      <c r="C26" s="172" t="inlineStr">
        <is>
          <t>Fall 2026</t>
        </is>
      </c>
      <c r="D26" s="172" t="inlineStr">
        <is>
          <t>Glesner</t>
        </is>
      </c>
      <c r="E26" s="180" t="n"/>
      <c r="F26" s="172" t="n"/>
      <c r="G26" s="172" t="n"/>
    </row>
    <row r="27" ht="15.75" customHeight="1" s="149">
      <c r="A27" s="174" t="inlineStr">
        <is>
          <t>Module 11</t>
        </is>
      </c>
      <c r="B27" s="174" t="inlineStr">
        <is>
          <t>Day 2</t>
        </is>
      </c>
      <c r="C27" s="175" t="inlineStr">
        <is>
          <t>Fall 2026</t>
        </is>
      </c>
      <c r="D27" s="175" t="inlineStr">
        <is>
          <t>Glesner</t>
        </is>
      </c>
      <c r="E27" s="179" t="n"/>
      <c r="F27" s="175" t="n"/>
      <c r="G27" s="175" t="n"/>
    </row>
    <row r="28" ht="15.75" customHeight="1" s="149">
      <c r="A28" s="171" t="inlineStr">
        <is>
          <t>Module 12</t>
        </is>
      </c>
      <c r="B28" s="171" t="inlineStr">
        <is>
          <t>Day 1</t>
        </is>
      </c>
      <c r="C28" s="172" t="inlineStr">
        <is>
          <t>Fall 2026</t>
        </is>
      </c>
      <c r="D28" s="172" t="inlineStr">
        <is>
          <t>Glesner</t>
        </is>
      </c>
      <c r="E28" s="180" t="n"/>
      <c r="F28" s="172" t="n"/>
      <c r="G28" s="172" t="n"/>
    </row>
    <row r="29" ht="15.75" customHeight="1" s="149">
      <c r="A29" s="174" t="inlineStr">
        <is>
          <t>Module 12</t>
        </is>
      </c>
      <c r="B29" s="174" t="inlineStr">
        <is>
          <t>Day 2</t>
        </is>
      </c>
      <c r="C29" s="175" t="inlineStr">
        <is>
          <t>Fall 2026</t>
        </is>
      </c>
      <c r="D29" s="175" t="inlineStr">
        <is>
          <t>Glesner</t>
        </is>
      </c>
      <c r="E29" s="179" t="n"/>
      <c r="F29" s="175" t="n"/>
      <c r="G29" s="175" t="n"/>
    </row>
    <row r="30" ht="15.75" customHeight="1" s="149">
      <c r="A30" s="171" t="inlineStr">
        <is>
          <t>Module 13</t>
        </is>
      </c>
      <c r="B30" s="171" t="inlineStr">
        <is>
          <t>Day 1</t>
        </is>
      </c>
      <c r="C30" s="172" t="inlineStr">
        <is>
          <t>Fall 2026</t>
        </is>
      </c>
      <c r="D30" s="172" t="inlineStr">
        <is>
          <t>Glesner</t>
        </is>
      </c>
      <c r="E30" s="180" t="n"/>
      <c r="F30" s="172" t="n"/>
      <c r="G30" s="172" t="n"/>
    </row>
    <row r="31" ht="15.75" customHeight="1" s="149">
      <c r="A31" s="174" t="inlineStr">
        <is>
          <t>Module 13</t>
        </is>
      </c>
      <c r="B31" s="174" t="inlineStr">
        <is>
          <t>Day 2</t>
        </is>
      </c>
      <c r="C31" s="175" t="inlineStr">
        <is>
          <t>Fall 2026</t>
        </is>
      </c>
      <c r="D31" s="175" t="inlineStr">
        <is>
          <t>Glesner</t>
        </is>
      </c>
      <c r="E31" s="179" t="n"/>
      <c r="F31" s="175" t="n"/>
      <c r="G31" s="175" t="n"/>
    </row>
    <row r="32" ht="15.75" customHeight="1" s="149">
      <c r="A32" s="171" t="inlineStr">
        <is>
          <t>Module 14</t>
        </is>
      </c>
      <c r="B32" s="171" t="inlineStr">
        <is>
          <t>Day 1</t>
        </is>
      </c>
      <c r="C32" s="172" t="inlineStr">
        <is>
          <t>Fall 2026</t>
        </is>
      </c>
      <c r="D32" s="172" t="inlineStr">
        <is>
          <t>Glesner</t>
        </is>
      </c>
      <c r="E32" s="180" t="n"/>
      <c r="F32" s="172" t="n"/>
      <c r="G32" s="172" t="n"/>
    </row>
    <row r="33" ht="15.75" customHeight="1" s="149">
      <c r="A33" s="174" t="inlineStr">
        <is>
          <t>Module 14</t>
        </is>
      </c>
      <c r="B33" s="174" t="inlineStr">
        <is>
          <t>Day 2</t>
        </is>
      </c>
      <c r="C33" s="175" t="inlineStr">
        <is>
          <t>Fall 2026</t>
        </is>
      </c>
      <c r="D33" s="175" t="inlineStr">
        <is>
          <t>Glesner</t>
        </is>
      </c>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175" t="n"/>
      <c r="B39" s="175" t="n"/>
      <c r="C39" s="175" t="n"/>
      <c r="D39" s="175" t="n"/>
      <c r="E39" s="175" t="n"/>
      <c r="F39" s="175" t="n"/>
      <c r="G39" s="175"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178" t="n"/>
      <c r="B42" s="178" t="n"/>
      <c r="C42" s="178" t="n"/>
      <c r="D42" s="178" t="n"/>
      <c r="E42" s="178" t="n"/>
      <c r="F42" s="178" t="n"/>
      <c r="G42" s="178" t="n"/>
    </row>
    <row r="43" ht="15.75" customHeight="1" s="149">
      <c r="A43" s="177" t="n"/>
      <c r="B43" s="177" t="n"/>
      <c r="C43" s="177" t="n"/>
      <c r="D43" s="177" t="n"/>
      <c r="E43" s="177" t="n"/>
      <c r="F43" s="177" t="n"/>
      <c r="G43" s="177" t="n"/>
    </row>
    <row r="44" ht="15.75" customHeight="1" s="149">
      <c r="A44" s="178" t="n"/>
      <c r="B44" s="178" t="n"/>
      <c r="C44" s="178" t="n"/>
      <c r="D44" s="178" t="n"/>
      <c r="E44" s="178" t="n"/>
      <c r="F44" s="178" t="n"/>
      <c r="G44" s="178" t="n"/>
    </row>
    <row r="45" ht="15.75" customHeight="1" s="149">
      <c r="A45" s="177" t="n"/>
      <c r="B45" s="177" t="n"/>
      <c r="C45" s="177" t="n"/>
      <c r="D45" s="177" t="n"/>
      <c r="E45" s="177" t="n"/>
      <c r="F45" s="177" t="n"/>
      <c r="G45" s="177" t="n"/>
    </row>
    <row r="46" ht="15.75" customHeight="1" s="149">
      <c r="A46" s="178" t="n"/>
      <c r="B46" s="178" t="n"/>
      <c r="C46" s="178" t="n"/>
      <c r="D46" s="178" t="n"/>
      <c r="E46" s="178" t="n"/>
      <c r="F46" s="178" t="n"/>
      <c r="G46" s="178" t="n"/>
    </row>
    <row r="47" ht="15.75" customHeight="1" s="149">
      <c r="A47" s="177" t="n"/>
      <c r="B47" s="177" t="n"/>
      <c r="C47" s="177" t="n"/>
      <c r="D47" s="177" t="n"/>
      <c r="E47" s="177" t="n"/>
      <c r="F47" s="177" t="n"/>
      <c r="G47" s="177" t="n"/>
    </row>
    <row r="48" ht="15.75" customHeight="1" s="149">
      <c r="A48" s="178" t="n"/>
      <c r="B48" s="178" t="n"/>
      <c r="C48" s="178" t="n"/>
      <c r="D48" s="178" t="n"/>
      <c r="E48" s="178" t="n"/>
      <c r="F48" s="178" t="n"/>
      <c r="G48" s="178"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226"/>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68.29000000000001" customWidth="1" style="149" min="3" max="3"/>
    <col width="16" customWidth="1" style="149" min="4" max="4"/>
    <col width="18" customWidth="1" style="149" min="5" max="5"/>
    <col width="20" customWidth="1" style="149" min="6" max="6"/>
    <col width="58.57" customWidth="1" style="149" min="7" max="7"/>
  </cols>
  <sheetData>
    <row r="1">
      <c r="A1" s="168" t="inlineStr">
        <is>
          <t>NUR234  ·  Exam Reviews</t>
        </is>
      </c>
    </row>
    <row r="2">
      <c r="A2" s="8" t="inlineStr">
        <is>
          <t>NUR234</t>
        </is>
      </c>
      <c r="B2" s="9" t="inlineStr">
        <is>
          <t>NUR235</t>
        </is>
      </c>
      <c r="C2" s="9" t="inlineStr">
        <is>
          <t>NUR258</t>
        </is>
      </c>
      <c r="D2" s="17" t="inlineStr">
        <is>
          <t>🏠 START HERE</t>
        </is>
      </c>
      <c r="E2" s="15" t="inlineStr">
        <is>
          <t>📥 Sort me</t>
        </is>
      </c>
      <c r="F2" s="75" t="n"/>
      <c r="G2" s="75" t="n"/>
    </row>
    <row r="3">
      <c r="A3" s="19" t="inlineStr">
        <is>
          <t>Kaiser</t>
        </is>
      </c>
      <c r="B3" s="19" t="inlineStr">
        <is>
          <t>Buhler</t>
        </is>
      </c>
      <c r="C3" s="19" t="inlineStr">
        <is>
          <t>Glesner</t>
        </is>
      </c>
      <c r="D3" s="76" t="inlineStr">
        <is>
          <t>Exams</t>
        </is>
      </c>
      <c r="E3" s="27">
        <f>HYPERLINK('START HERE'!$B$36,"Zoom")</f>
        <v/>
      </c>
      <c r="F3" s="19" t="inlineStr">
        <is>
          <t>Review videos</t>
        </is>
      </c>
      <c r="G3" s="16" t="n"/>
    </row>
    <row r="4">
      <c r="A4" s="16" t="n"/>
      <c r="B4" s="16" t="n"/>
      <c r="C4" s="16" t="n"/>
      <c r="D4" s="16" t="n"/>
      <c r="E4" s="16" t="n"/>
      <c r="F4" s="75" t="n"/>
      <c r="G4" s="16" t="n"/>
    </row>
    <row r="5">
      <c r="A5" s="181" t="inlineStr">
        <is>
          <t>Exam</t>
        </is>
      </c>
      <c r="B5" s="181" t="inlineStr">
        <is>
          <t>Date</t>
        </is>
      </c>
      <c r="C5" s="181" t="inlineStr">
        <is>
          <t>Item</t>
        </is>
      </c>
      <c r="D5" s="181" t="inlineStr">
        <is>
          <t>Lecturer</t>
        </is>
      </c>
      <c r="E5" s="181" t="inlineStr">
        <is>
          <t>Type</t>
        </is>
      </c>
      <c r="F5" s="181" t="inlineStr">
        <is>
          <t>Link</t>
        </is>
      </c>
      <c r="G5" s="181" t="inlineStr">
        <is>
          <t>Notes</t>
        </is>
      </c>
    </row>
    <row r="6">
      <c r="A6" s="171" t="inlineStr">
        <is>
          <t>Exam 1</t>
        </is>
      </c>
      <c r="B6" s="171" t="n"/>
      <c r="C6" s="172" t="inlineStr">
        <is>
          <t>Study guide</t>
        </is>
      </c>
      <c r="D6" s="172" t="inlineStr">
        <is>
          <t>Course handout</t>
        </is>
      </c>
      <c r="E6" s="172" t="inlineStr">
        <is>
          <t>PDF</t>
        </is>
      </c>
      <c r="F6" s="182">
        <f>HYPERLINK("https://drive.google.com/file/d/1G-isAusr4xSiEajdswjxRKPg2ZXah-E9/view","📄  Open")</f>
        <v/>
      </c>
      <c r="G6" s="172" t="inlineStr">
        <is>
          <t>Maternal study guide</t>
        </is>
      </c>
    </row>
    <row r="7">
      <c r="A7" s="174" t="inlineStr">
        <is>
          <t>Exam 1</t>
        </is>
      </c>
      <c r="B7" s="174" t="n"/>
      <c r="C7" s="175" t="inlineStr">
        <is>
          <t>Practice questions</t>
        </is>
      </c>
      <c r="D7" s="175" t="inlineStr">
        <is>
          <t>Dr. Renee Hansen</t>
        </is>
      </c>
      <c r="E7" s="175" t="inlineStr">
        <is>
          <t>PDF</t>
        </is>
      </c>
      <c r="F7" s="183">
        <f>HYPERLINK("https://drive.google.com/file/d/18sXhH2IZ8qhFlQThhjENr3rB-P8La9BX/view","📄  Open")</f>
        <v/>
      </c>
      <c r="G7" s="175" t="inlineStr">
        <is>
          <t>Exam prep sessions hosted by Hansen (Student Success Coach)</t>
        </is>
      </c>
    </row>
    <row r="8">
      <c r="A8" s="171" t="inlineStr">
        <is>
          <t>Exam 1</t>
        </is>
      </c>
      <c r="B8" s="171" t="n"/>
      <c r="C8" s="172" t="inlineStr">
        <is>
          <t>Module 1 - Reproductive Life Planning</t>
        </is>
      </c>
      <c r="D8" s="172" t="inlineStr">
        <is>
          <t>Exam prep (LSC)</t>
        </is>
      </c>
      <c r="E8" s="172" t="n"/>
      <c r="F8" s="182">
        <f>HYPERLINK("https://drive.google.com/file/d/1BzJX0H7asjyK1qzOoVAj85MSXLDimJYx/view","▶  Watch")</f>
        <v/>
      </c>
      <c r="G8" s="172" t="inlineStr">
        <is>
          <t>Topic: Module 1 - Reproductive Life Planning</t>
        </is>
      </c>
    </row>
    <row r="9">
      <c r="A9" s="174" t="inlineStr">
        <is>
          <t>Exam 1</t>
        </is>
      </c>
      <c r="B9" s="174" t="n"/>
      <c r="C9" s="175" t="inlineStr">
        <is>
          <t>Module 2 - Normal Pregnancy and Care of the Growing Fetus</t>
        </is>
      </c>
      <c r="D9" s="175" t="inlineStr">
        <is>
          <t>Exam prep (LSC)</t>
        </is>
      </c>
      <c r="E9" s="175" t="n"/>
      <c r="F9" s="183">
        <f>HYPERLINK("https://drive.google.com/file/d/1Bk0lxp-seYQORXcarpIuO88Viox4fuOZ/view","▶  Watch")</f>
        <v/>
      </c>
      <c r="G9" s="175" t="inlineStr">
        <is>
          <t>Topic: Module 2 - Normal Pregnancy and Care of the Growing Fetus</t>
        </is>
      </c>
    </row>
    <row r="10">
      <c r="A10" s="171" t="inlineStr">
        <is>
          <t>Exam 1</t>
        </is>
      </c>
      <c r="B10" s="171" t="n"/>
      <c r="C10" s="172" t="inlineStr">
        <is>
          <t>Module 3 - Physiologic Changes of Pregnancy</t>
        </is>
      </c>
      <c r="D10" s="172" t="inlineStr">
        <is>
          <t>Exam prep (LSC)</t>
        </is>
      </c>
      <c r="E10" s="172" t="n"/>
      <c r="F10" s="182">
        <f>HYPERLINK("https://drive.google.com/file/d/1B4wu9ddK2huKEVy10lawIK1_YhYzO6bS/view","▶  Watch")</f>
        <v/>
      </c>
      <c r="G10" s="172" t="inlineStr">
        <is>
          <t>Topic: Module 3 - Physiologic Changes of Pregnancy</t>
        </is>
      </c>
    </row>
    <row r="11">
      <c r="A11" s="174" t="inlineStr">
        <is>
          <t>Exam 1</t>
        </is>
      </c>
      <c r="B11" s="174" t="n"/>
      <c r="C11" s="175" t="inlineStr">
        <is>
          <t>Module 3 - Psychological Changes of Pregnancy</t>
        </is>
      </c>
      <c r="D11" s="175" t="inlineStr">
        <is>
          <t>Exam prep (LSC)</t>
        </is>
      </c>
      <c r="E11" s="175" t="n"/>
      <c r="F11" s="183">
        <f>HYPERLINK("https://drive.google.com/file/d/15AJVaRpwi7uCi97zYj2Cd01PrGjJ5xTs/view","▶  Watch")</f>
        <v/>
      </c>
      <c r="G11" s="175" t="inlineStr">
        <is>
          <t>Topic: Module 3 - Psychological Changes of Pregnancy</t>
        </is>
      </c>
    </row>
    <row r="12">
      <c r="A12" s="171" t="inlineStr">
        <is>
          <t>Exam 1</t>
        </is>
      </c>
      <c r="B12" s="171" t="n"/>
      <c r="C12" s="172" t="inlineStr">
        <is>
          <t>Module 4 - Assessment of a Pregnant Family</t>
        </is>
      </c>
      <c r="D12" s="172" t="inlineStr">
        <is>
          <t>Exam prep (LSC)</t>
        </is>
      </c>
      <c r="E12" s="172" t="n"/>
      <c r="F12" s="182">
        <f>HYPERLINK("https://drive.google.com/file/d/1IQCgJ3dr5ipTv2VGO7t_8Vd16_cwFRKK/view","▶  Watch")</f>
        <v/>
      </c>
      <c r="G12" s="172" t="inlineStr">
        <is>
          <t>Topic: Module 4 - Assessment of a Pregnant Family</t>
        </is>
      </c>
    </row>
    <row r="13">
      <c r="A13" s="174" t="inlineStr">
        <is>
          <t>Exam 2</t>
        </is>
      </c>
      <c r="B13" s="174" t="n"/>
      <c r="C13" s="175" t="inlineStr">
        <is>
          <t>Module 5 - Prenatal</t>
        </is>
      </c>
      <c r="D13" s="175" t="inlineStr">
        <is>
          <t>Exam prep (LSC)</t>
        </is>
      </c>
      <c r="E13" s="175" t="n"/>
      <c r="F13" s="183">
        <f>HYPERLINK("https://drive.google.com/file/d/1C00mJ7cLrMjmrEFDRQPwrgq8w56Bjj3_/view","▶  Watch")</f>
        <v/>
      </c>
      <c r="G13" s="175" t="inlineStr">
        <is>
          <t>NUR234_Fall2026_LSC_Wk05_DayNA_Prenatal.mp4</t>
        </is>
      </c>
    </row>
    <row r="14">
      <c r="A14" s="171" t="inlineStr">
        <is>
          <t>Exam 2</t>
        </is>
      </c>
      <c r="B14" s="171" t="n"/>
      <c r="C14" s="172" t="inlineStr">
        <is>
          <t>Module 5 - Promoting Maternal Health</t>
        </is>
      </c>
      <c r="D14" s="172" t="inlineStr">
        <is>
          <t>Exam prep (LSC)</t>
        </is>
      </c>
      <c r="E14" s="172" t="n"/>
      <c r="F14" s="182">
        <f>HYPERLINK("https://drive.google.com/file/d/1LCdbszibb4W0yRbF9nLhKKKFeIHTmtug/view","▶  Watch")</f>
        <v/>
      </c>
      <c r="G14" s="172" t="inlineStr">
        <is>
          <t>NUR234_Fall2026_LSC_Wk05_DayNA_Promoting Maternal Health.mp4</t>
        </is>
      </c>
    </row>
    <row r="15">
      <c r="A15" s="174" t="inlineStr">
        <is>
          <t>Exam 2</t>
        </is>
      </c>
      <c r="B15" s="174" t="n"/>
      <c r="C15" s="175" t="inlineStr">
        <is>
          <t>Module 5 - Promoting Fetal Health</t>
        </is>
      </c>
      <c r="D15" s="175" t="inlineStr">
        <is>
          <t>Exam prep (LSC)</t>
        </is>
      </c>
      <c r="E15" s="175" t="n"/>
      <c r="F15" s="183">
        <f>HYPERLINK("https://drive.google.com/file/d/1ZizDdJyPX2SIYbCaVpnN9ncjhNtft7ii/view","▶  Watch")</f>
        <v/>
      </c>
      <c r="G15" s="175" t="inlineStr">
        <is>
          <t>NUR234_Fall2026_LSC_Wk05_DayNA_Promoting Fetal Health.mp4</t>
        </is>
      </c>
    </row>
    <row r="16">
      <c r="A16" s="171" t="inlineStr">
        <is>
          <t>Exam 2</t>
        </is>
      </c>
      <c r="B16" s="171" t="inlineStr">
        <is>
          <t>Fall 2026</t>
        </is>
      </c>
      <c r="C16" s="172" t="inlineStr">
        <is>
          <t>Module 6 - Care of a Family During Labor and Birth</t>
        </is>
      </c>
      <c r="D16" s="172" t="inlineStr">
        <is>
          <t>Exam prep (LSC)</t>
        </is>
      </c>
      <c r="E16" s="172" t="n"/>
      <c r="F16" s="182">
        <f>HYPERLINK("https://drive.google.com/file/d/1upYrXBwo5fWpYW8jlqTg8mS_DqrR1RrN/view","▶  Watch")</f>
        <v/>
      </c>
      <c r="G16" s="172" t="inlineStr">
        <is>
          <t>LSC exam prep, 76:16 on Canvas. Your phone capture of 5 Oct 11:01 PM (545 MB). NUR234_Fall2026_LSC_Wk06_DayNA_Module 6 - Care of a Family During Labor and Birth (exam prep, phone capture 5 Oct).mp4</t>
        </is>
      </c>
    </row>
    <row r="17">
      <c r="A17" s="174" t="inlineStr">
        <is>
          <t>Exam 2</t>
        </is>
      </c>
      <c r="B17" s="174" t="inlineStr">
        <is>
          <t>Fall 2026</t>
        </is>
      </c>
      <c r="C17" s="175" t="inlineStr">
        <is>
          <t>My materials - Tue 6 Oct 2:40 PM labor and birth (PC screen recording, 2.3 GB)</t>
        </is>
      </c>
      <c r="D17" s="175" t="inlineStr">
        <is>
          <t>Not named</t>
        </is>
      </c>
      <c r="E17" s="175" t="n"/>
      <c r="F17" s="183">
        <f>HYPERLINK("https://drive.google.com/file/d/15lwQeA3CG1kxZ3EC8HVENaR9QRodgD4Y/view","▶  Watch")</f>
        <v/>
      </c>
      <c r="G17" s="175" t="inlineStr">
        <is>
          <t>Topic from the speech index (labor, contractions, cervix, oxytocin, decelerations, newborn). Could be a second capture of the Module 6 exam prep or a class lecture - open it and tell me.</t>
        </is>
      </c>
    </row>
    <row r="18">
      <c r="A18" s="171" t="inlineStr">
        <is>
          <t>Exam 3</t>
        </is>
      </c>
      <c r="B18" s="171" t="n"/>
      <c r="C18" s="172" t="n"/>
      <c r="D18" s="172" t="n"/>
      <c r="E18" s="172" t="n"/>
      <c r="F18" s="172" t="n"/>
      <c r="G18" s="172" t="n"/>
    </row>
    <row r="19">
      <c r="A19" s="174" t="inlineStr">
        <is>
          <t>Exam 3</t>
        </is>
      </c>
      <c r="B19" s="174" t="n"/>
      <c r="C19" s="175" t="n"/>
      <c r="D19" s="175" t="n"/>
      <c r="E19" s="175" t="n"/>
      <c r="F19" s="175" t="n"/>
      <c r="G19" s="175" t="n"/>
    </row>
    <row r="20" ht="15.75" customHeight="1" s="149">
      <c r="A20" s="171" t="inlineStr">
        <is>
          <t>FINAL</t>
        </is>
      </c>
      <c r="B20" s="171" t="n"/>
      <c r="C20" s="172" t="n"/>
      <c r="D20" s="172" t="n"/>
      <c r="E20" s="172" t="n"/>
      <c r="F20" s="172" t="n"/>
      <c r="G20" s="172" t="n"/>
    </row>
    <row r="21" ht="15.75" customHeight="1" s="149">
      <c r="A21" s="174" t="inlineStr">
        <is>
          <t>FINAL</t>
        </is>
      </c>
      <c r="B21" s="174" t="n"/>
      <c r="C21" s="175" t="n"/>
      <c r="D21" s="175" t="n"/>
      <c r="E21" s="175" t="n"/>
      <c r="F21" s="175" t="n"/>
      <c r="G21" s="175" t="n"/>
    </row>
    <row r="22" ht="15.75" customHeight="1" s="149">
      <c r="A22" s="171" t="inlineStr">
        <is>
          <t>FINAL</t>
        </is>
      </c>
      <c r="B22" s="171" t="n"/>
      <c r="C22" s="172" t="n"/>
      <c r="D22" s="172" t="inlineStr">
        <is>
          <t>Kaiser</t>
        </is>
      </c>
      <c r="E22" s="172" t="inlineStr">
        <is>
          <t>Video</t>
        </is>
      </c>
      <c r="F22" s="173">
        <f>HYPERLINK("https://drive.google.com/file/d/1osViOBDNkX1DvBYY87Q6e9YPmC2yXvWZ/view","▶  Watch")</f>
        <v/>
      </c>
      <c r="G22" s="172" t="inlineStr">
        <is>
          <t>Kaiser final review.mp4</t>
        </is>
      </c>
    </row>
    <row r="23" ht="15.75" customHeight="1" s="149">
      <c r="A23" s="174" t="inlineStr">
        <is>
          <t>FINAL</t>
        </is>
      </c>
      <c r="B23" s="174" t="n"/>
      <c r="C23" s="175" t="n"/>
      <c r="D23" s="175" t="inlineStr">
        <is>
          <t>Kaiser</t>
        </is>
      </c>
      <c r="E23" s="175" t="inlineStr">
        <is>
          <t>Video</t>
        </is>
      </c>
      <c r="F23" s="176">
        <f>HYPERLINK("https://drive.google.com/file/d/1o5rlqxPFoHyGm38nNnVlNWZFdmCAcwJg/view","▶  Watch")</f>
        <v/>
      </c>
      <c r="G23" s="175" t="inlineStr">
        <is>
          <t>Kaiser final review 2.mp4</t>
        </is>
      </c>
    </row>
    <row r="24" ht="15.75" customHeight="1" s="149">
      <c r="A24" s="171" t="inlineStr">
        <is>
          <t>FINAL</t>
        </is>
      </c>
      <c r="B24" s="172" t="inlineStr">
        <is>
          <t>Summer 2026</t>
        </is>
      </c>
      <c r="C24" s="172" t="inlineStr">
        <is>
          <t>Final exam review - fetal heart rate monitoring and decelerations (6 Aug)</t>
        </is>
      </c>
      <c r="D24" s="172" t="inlineStr">
        <is>
          <t>Kaiser</t>
        </is>
      </c>
      <c r="E24" s="172" t="inlineStr">
        <is>
          <t>Video</t>
        </is>
      </c>
      <c r="F24" s="173">
        <f>HYPERLINK("https://drive.google.com/file/d/1AF4APNVK1nUVKVsDeOE_Mepqj-en-ldM/view","▶  Watch")</f>
        <v/>
      </c>
      <c r="G24" s="172" t="inlineStr">
        <is>
          <t>190 MB. The duplicate copy this row linked before was trashed on 6 Oct.</t>
        </is>
      </c>
    </row>
    <row r="25" ht="15.75" customHeight="1" s="149">
      <c r="A25" s="174" t="inlineStr">
        <is>
          <t>FINAL</t>
        </is>
      </c>
      <c r="B25" s="175" t="inlineStr">
        <is>
          <t>Summer 2026</t>
        </is>
      </c>
      <c r="C25" s="175" t="inlineStr">
        <is>
          <t>Final exam review day 2 - obstetric concepts and exam logistics (7 Aug)</t>
        </is>
      </c>
      <c r="D25" s="175" t="inlineStr">
        <is>
          <t>Kaiser</t>
        </is>
      </c>
      <c r="E25" s="175" t="inlineStr">
        <is>
          <t>Video</t>
        </is>
      </c>
      <c r="F25" s="176">
        <f>HYPERLINK("https://drive.google.com/file/d/10tLIx65hCfOM86q3mZgMt6S33lH0fiIs/view","▶  Watch")</f>
        <v/>
      </c>
      <c r="G25" s="175" t="inlineStr">
        <is>
          <t>237 MB. The duplicate copy this row linked before was trashed on 6 Oct.</t>
        </is>
      </c>
    </row>
    <row r="26" ht="15.75" customHeight="1" s="149">
      <c r="A26" s="171" t="inlineStr">
        <is>
          <t>Exam 2</t>
        </is>
      </c>
      <c r="B26" s="172" t="inlineStr">
        <is>
          <t>Fall 2026</t>
        </is>
      </c>
      <c r="C26" s="172" t="inlineStr">
        <is>
          <t>Module 7 - Providing Comfort During Labor and Birth</t>
        </is>
      </c>
      <c r="D26" s="172" t="inlineStr">
        <is>
          <t>Exam prep (LSC)</t>
        </is>
      </c>
      <c r="E26" s="172" t="inlineStr">
        <is>
          <t>Video</t>
        </is>
      </c>
      <c r="F26" s="173">
        <f>HYPERLINK("https://drive.google.com/file/d/1OND6CFsBlaoVjdanIfzFOYAFrFHlu4qQ/view","▶  Watch")</f>
        <v/>
      </c>
      <c r="G26" s="172" t="inlineStr">
        <is>
          <t>LSC exam prep, 30 Sep session (date on the title slide). Screen recording uploaded 12 Oct.</t>
        </is>
      </c>
    </row>
    <row r="27" ht="15.75" customHeight="1" s="149">
      <c r="A27" s="175" t="n"/>
      <c r="B27" s="175" t="n"/>
      <c r="C27" s="175" t="n"/>
      <c r="D27" s="175" t="n"/>
      <c r="E27" s="175" t="n"/>
      <c r="F27" s="175" t="n"/>
      <c r="G27" s="175" t="n"/>
    </row>
    <row r="28" ht="15.75" customHeight="1" s="149">
      <c r="A28" s="172" t="n"/>
      <c r="B28" s="172" t="n"/>
      <c r="C28" s="172" t="n"/>
      <c r="D28" s="172" t="n"/>
      <c r="E28" s="172" t="n"/>
      <c r="F28" s="172" t="n"/>
      <c r="G28" s="172" t="n"/>
    </row>
    <row r="29" ht="15.75" customHeight="1" s="149">
      <c r="A29" s="175" t="n"/>
      <c r="B29" s="175" t="n"/>
      <c r="C29" s="175" t="n"/>
      <c r="D29" s="175" t="n"/>
      <c r="E29" s="175" t="n"/>
      <c r="F29" s="175" t="n"/>
      <c r="G29" s="175" t="n"/>
    </row>
    <row r="30" ht="15.75" customHeight="1" s="149">
      <c r="A30" s="172" t="n"/>
      <c r="B30" s="172" t="n"/>
      <c r="C30" s="172" t="n"/>
      <c r="D30" s="172" t="n"/>
      <c r="E30" s="172" t="n"/>
      <c r="F30" s="172" t="n"/>
      <c r="G30" s="172" t="n"/>
    </row>
    <row r="31" ht="15.75" customHeight="1" s="149">
      <c r="A31" s="175" t="n"/>
      <c r="B31" s="175" t="n"/>
      <c r="C31" s="175" t="n"/>
      <c r="D31" s="175" t="n"/>
      <c r="E31" s="175" t="n"/>
      <c r="F31" s="175" t="n"/>
      <c r="G31" s="175" t="n"/>
    </row>
    <row r="32" ht="15.75" customHeight="1" s="149">
      <c r="A32" s="178" t="n"/>
      <c r="B32" s="178" t="n"/>
      <c r="C32" s="178" t="n"/>
      <c r="D32" s="178" t="n"/>
      <c r="E32" s="178" t="n"/>
      <c r="F32" s="178" t="n"/>
      <c r="G32" s="178" t="n"/>
    </row>
    <row r="33" ht="15.75" customHeight="1" s="149">
      <c r="A33" s="177" t="n"/>
      <c r="B33" s="177" t="n"/>
      <c r="C33" s="177" t="n"/>
      <c r="D33" s="177" t="n"/>
      <c r="E33" s="177" t="n"/>
      <c r="F33" s="177" t="n"/>
      <c r="G33" s="177" t="n"/>
    </row>
    <row r="34" ht="15.75" customHeight="1" s="149">
      <c r="A34" s="178" t="n"/>
      <c r="B34" s="178" t="n"/>
      <c r="C34" s="178" t="n"/>
      <c r="D34" s="178" t="n"/>
      <c r="E34" s="178" t="n"/>
      <c r="F34" s="178" t="n"/>
      <c r="G34" s="178" t="n"/>
    </row>
    <row r="35" ht="15.75" customHeight="1" s="149">
      <c r="A35" s="177" t="n"/>
      <c r="B35" s="177" t="n"/>
      <c r="C35" s="177" t="n"/>
      <c r="D35" s="177" t="n"/>
      <c r="E35" s="177" t="n"/>
      <c r="F35" s="177" t="n"/>
      <c r="G35" s="177" t="n"/>
    </row>
    <row r="36" ht="15.75" customHeight="1" s="149">
      <c r="A36" s="178" t="n"/>
      <c r="B36" s="178" t="n"/>
      <c r="C36" s="178" t="n"/>
      <c r="D36" s="178" t="n"/>
      <c r="E36" s="178" t="n"/>
      <c r="F36" s="178" t="n"/>
      <c r="G36" s="178" t="n"/>
    </row>
    <row r="37" ht="15.75" customHeight="1" s="149">
      <c r="A37" s="177" t="n"/>
      <c r="B37" s="177" t="n"/>
      <c r="C37" s="177" t="n"/>
      <c r="D37" s="177" t="n"/>
      <c r="E37" s="177" t="n"/>
      <c r="F37" s="177" t="n"/>
      <c r="G37" s="177" t="n"/>
    </row>
    <row r="38" ht="15.75" customHeight="1" s="149">
      <c r="A38" s="178" t="n"/>
      <c r="B38" s="178" t="n"/>
      <c r="C38" s="178" t="n"/>
      <c r="D38" s="178" t="n"/>
      <c r="E38" s="178" t="n"/>
      <c r="F38" s="178" t="n"/>
      <c r="G38" s="178" t="n"/>
    </row>
    <row r="39" ht="15.75" customHeight="1" s="149">
      <c r="A39" s="177" t="n"/>
      <c r="B39" s="177" t="n"/>
      <c r="C39" s="177" t="n"/>
      <c r="D39" s="177" t="n"/>
      <c r="E39" s="177" t="n"/>
      <c r="F39" s="177" t="n"/>
      <c r="G39" s="177" t="n"/>
    </row>
    <row r="40" ht="15.75" customHeight="1" s="149">
      <c r="A40" s="178" t="n"/>
      <c r="B40" s="178" t="n"/>
      <c r="C40" s="178" t="n"/>
      <c r="D40" s="178" t="n"/>
      <c r="E40" s="178" t="n"/>
      <c r="F40" s="178" t="n"/>
      <c r="G40" s="178" t="n"/>
    </row>
    <row r="41" ht="15.75" customHeight="1" s="149">
      <c r="A41" s="177" t="n"/>
      <c r="B41" s="177" t="n"/>
      <c r="C41" s="177" t="n"/>
      <c r="D41" s="177" t="n"/>
      <c r="E41" s="177" t="n"/>
      <c r="F41" s="177" t="n"/>
      <c r="G41" s="177" t="n"/>
    </row>
    <row r="42" ht="15.75" customHeight="1" s="149">
      <c r="A42" s="5" t="n"/>
      <c r="B42" s="5" t="n"/>
      <c r="C42" s="5" t="n"/>
      <c r="D42" s="5" t="n"/>
      <c r="E42" s="5" t="n"/>
      <c r="F42" s="82" t="n"/>
      <c r="G42" s="5" t="n"/>
    </row>
    <row r="43" ht="15.75" customHeight="1" s="149">
      <c r="A43" s="5" t="n"/>
      <c r="B43" s="5" t="n"/>
      <c r="C43" s="5" t="n"/>
      <c r="D43" s="5" t="n"/>
      <c r="E43" s="5" t="n"/>
      <c r="F43" s="82" t="n"/>
      <c r="G43" s="5" t="n"/>
    </row>
    <row r="44" ht="15.75" customHeight="1" s="149">
      <c r="A44" s="5" t="n"/>
      <c r="B44" s="5" t="n"/>
      <c r="C44" s="5" t="n"/>
      <c r="D44" s="5" t="n"/>
      <c r="E44" s="5" t="n"/>
      <c r="F44" s="82" t="n"/>
      <c r="G44" s="5" t="n"/>
    </row>
    <row r="45" ht="15.75" customHeight="1" s="149">
      <c r="A45" s="5" t="n"/>
      <c r="B45" s="5" t="n"/>
      <c r="C45" s="5" t="n"/>
      <c r="D45" s="5" t="n"/>
      <c r="E45" s="5" t="n"/>
      <c r="F45" s="82" t="n"/>
      <c r="G45" s="5" t="n"/>
    </row>
    <row r="46" ht="15.75" customHeight="1" s="149">
      <c r="A46" s="5" t="n"/>
      <c r="B46" s="5" t="n"/>
      <c r="C46" s="5" t="n"/>
      <c r="D46" s="5" t="n"/>
      <c r="E46" s="5" t="n"/>
      <c r="F46" s="82" t="n"/>
      <c r="G46" s="5" t="n"/>
    </row>
    <row r="47" ht="15.75" customHeight="1" s="149">
      <c r="A47" s="5" t="n"/>
      <c r="B47" s="5" t="n"/>
      <c r="C47" s="5" t="n"/>
      <c r="D47" s="5" t="n"/>
      <c r="E47" s="5" t="n"/>
      <c r="F47" s="82" t="n"/>
      <c r="G47" s="5" t="n"/>
    </row>
    <row r="48" ht="15.75" customHeight="1" s="149">
      <c r="A48" s="5" t="n"/>
      <c r="B48" s="5" t="n"/>
      <c r="C48" s="5" t="n"/>
      <c r="D48" s="5" t="n"/>
      <c r="E48" s="5" t="n"/>
      <c r="F48" s="82" t="n"/>
      <c r="G48" s="5" t="n"/>
    </row>
    <row r="49" ht="15.75" customHeight="1" s="149">
      <c r="A49" s="5" t="n"/>
      <c r="B49" s="5" t="n"/>
      <c r="C49" s="5" t="n"/>
      <c r="D49" s="5" t="n"/>
      <c r="E49" s="5" t="n"/>
      <c r="F49" s="82" t="n"/>
      <c r="G49" s="5" t="n"/>
    </row>
    <row r="50" ht="15.75" customHeight="1" s="149">
      <c r="A50" s="5" t="n"/>
      <c r="B50" s="5" t="n"/>
      <c r="C50" s="5" t="n"/>
      <c r="D50" s="5" t="n"/>
      <c r="E50" s="5" t="n"/>
      <c r="F50" s="82" t="n"/>
      <c r="G50" s="5" t="n"/>
    </row>
    <row r="51" ht="15.75" customHeight="1" s="149">
      <c r="A51" s="5" t="n"/>
      <c r="B51" s="5" t="n"/>
      <c r="C51" s="5" t="n"/>
      <c r="D51" s="5" t="n"/>
      <c r="E51" s="5" t="n"/>
      <c r="F51" s="82" t="n"/>
      <c r="G51" s="5" t="n"/>
    </row>
    <row r="52" ht="15.75" customHeight="1" s="149">
      <c r="A52" s="5" t="n"/>
      <c r="B52" s="5" t="n"/>
      <c r="C52" s="5" t="n"/>
      <c r="D52" s="5" t="n"/>
      <c r="E52" s="5" t="n"/>
      <c r="F52" s="82" t="n"/>
      <c r="G52" s="5" t="n"/>
    </row>
    <row r="53" ht="15.75" customHeight="1" s="149">
      <c r="A53" s="5" t="n"/>
      <c r="B53" s="5" t="n"/>
      <c r="C53" s="5" t="n"/>
      <c r="D53" s="5" t="n"/>
      <c r="E53" s="5" t="n"/>
      <c r="F53" s="82" t="n"/>
      <c r="G53" s="5" t="n"/>
    </row>
    <row r="54" ht="15.75" customHeight="1" s="149">
      <c r="A54" s="5" t="n"/>
      <c r="B54" s="5" t="n"/>
      <c r="C54" s="5" t="n"/>
      <c r="D54" s="5" t="n"/>
      <c r="E54" s="5" t="n"/>
      <c r="F54" s="82" t="n"/>
      <c r="G54" s="5" t="n"/>
    </row>
    <row r="55" ht="15.75" customHeight="1" s="149">
      <c r="A55" s="5" t="n"/>
      <c r="B55" s="5" t="n"/>
      <c r="C55" s="5" t="n"/>
      <c r="D55" s="5" t="n"/>
      <c r="E55" s="5" t="n"/>
      <c r="F55" s="82" t="n"/>
      <c r="G55" s="5" t="n"/>
    </row>
    <row r="56" ht="15.75" customHeight="1" s="149">
      <c r="A56" s="5" t="n"/>
      <c r="B56" s="5" t="n"/>
      <c r="C56" s="5" t="n"/>
      <c r="D56" s="5" t="n"/>
      <c r="E56" s="5" t="n"/>
      <c r="F56" s="82" t="n"/>
      <c r="G56" s="5" t="n"/>
    </row>
    <row r="57" ht="15.75" customHeight="1" s="149">
      <c r="A57" s="5" t="n"/>
      <c r="B57" s="5" t="n"/>
      <c r="C57" s="5" t="n"/>
      <c r="D57" s="5" t="n"/>
      <c r="E57" s="5" t="n"/>
      <c r="F57" s="82" t="n"/>
      <c r="G57" s="5" t="n"/>
    </row>
    <row r="58" ht="15.75" customHeight="1" s="149">
      <c r="A58" s="5" t="n"/>
      <c r="B58" s="5" t="n"/>
      <c r="C58" s="5" t="n"/>
      <c r="D58" s="5" t="n"/>
      <c r="E58" s="5" t="n"/>
      <c r="F58" s="82" t="n"/>
      <c r="G58" s="5" t="n"/>
    </row>
    <row r="59" ht="15.75" customHeight="1" s="149">
      <c r="A59" s="5" t="n"/>
      <c r="B59" s="5" t="n"/>
      <c r="C59" s="5" t="n"/>
      <c r="D59" s="5" t="n"/>
      <c r="E59" s="5" t="n"/>
      <c r="F59" s="82" t="n"/>
      <c r="G59" s="5" t="n"/>
    </row>
    <row r="60" ht="15.75" customHeight="1" s="149">
      <c r="A60" s="5" t="n"/>
      <c r="B60" s="5" t="n"/>
      <c r="C60" s="5" t="n"/>
      <c r="D60" s="5" t="n"/>
      <c r="E60" s="5" t="n"/>
      <c r="F60" s="82" t="n"/>
      <c r="G60" s="5" t="n"/>
    </row>
    <row r="61" ht="15.75" customHeight="1" s="149">
      <c r="A61" s="5" t="n"/>
      <c r="B61" s="5" t="n"/>
      <c r="C61" s="5" t="n"/>
      <c r="D61" s="5" t="n"/>
      <c r="E61" s="5" t="n"/>
      <c r="F61" s="82" t="n"/>
      <c r="G61" s="5" t="n"/>
    </row>
    <row r="62" ht="15.75" customHeight="1" s="149">
      <c r="A62" s="5" t="n"/>
      <c r="B62" s="5" t="n"/>
      <c r="C62" s="5" t="n"/>
      <c r="D62" s="5" t="n"/>
      <c r="E62" s="5" t="n"/>
      <c r="F62" s="82" t="n"/>
      <c r="G62" s="5" t="n"/>
    </row>
    <row r="63" ht="15.75" customHeight="1" s="149">
      <c r="A63" s="5" t="n"/>
      <c r="B63" s="5" t="n"/>
      <c r="C63" s="5" t="n"/>
      <c r="D63" s="5" t="n"/>
      <c r="E63" s="5" t="n"/>
      <c r="F63" s="82" t="n"/>
      <c r="G63" s="5" t="n"/>
    </row>
    <row r="64" ht="15.75" customHeight="1" s="149">
      <c r="A64" s="5" t="n"/>
      <c r="B64" s="5" t="n"/>
      <c r="C64" s="5" t="n"/>
      <c r="D64" s="5" t="n"/>
      <c r="E64" s="5" t="n"/>
      <c r="F64" s="82" t="n"/>
      <c r="G64" s="5" t="n"/>
    </row>
    <row r="65" ht="15.75" customHeight="1" s="149">
      <c r="A65" s="5" t="n"/>
      <c r="B65" s="5" t="n"/>
      <c r="C65" s="5" t="n"/>
      <c r="D65" s="5" t="n"/>
      <c r="E65" s="5" t="n"/>
      <c r="F65" s="82" t="n"/>
      <c r="G65" s="5" t="n"/>
    </row>
    <row r="66" ht="15.75" customHeight="1" s="149">
      <c r="A66" s="5" t="n"/>
      <c r="B66" s="5" t="n"/>
      <c r="C66" s="5" t="n"/>
      <c r="D66" s="5" t="n"/>
      <c r="E66" s="5" t="n"/>
      <c r="F66" s="82" t="n"/>
      <c r="G66" s="5" t="n"/>
    </row>
    <row r="67" ht="15.75" customHeight="1" s="149">
      <c r="A67" s="5" t="n"/>
      <c r="B67" s="5" t="n"/>
      <c r="C67" s="5" t="n"/>
      <c r="D67" s="5" t="n"/>
      <c r="E67" s="5" t="n"/>
      <c r="F67" s="82" t="n"/>
      <c r="G67" s="5" t="n"/>
    </row>
    <row r="68" ht="15.75" customHeight="1" s="149">
      <c r="A68" s="5" t="n"/>
      <c r="B68" s="5" t="n"/>
      <c r="C68" s="5" t="n"/>
      <c r="D68" s="5" t="n"/>
      <c r="E68" s="5" t="n"/>
      <c r="F68" s="82" t="n"/>
      <c r="G68" s="5" t="n"/>
    </row>
    <row r="69" ht="15.75" customHeight="1" s="149">
      <c r="A69" s="5" t="n"/>
      <c r="B69" s="5" t="n"/>
      <c r="C69" s="5" t="n"/>
      <c r="D69" s="5" t="n"/>
      <c r="E69" s="5" t="n"/>
      <c r="F69" s="82" t="n"/>
      <c r="G69" s="5" t="n"/>
    </row>
    <row r="70" ht="15.75" customHeight="1" s="149">
      <c r="A70" s="5" t="n"/>
      <c r="B70" s="5" t="n"/>
      <c r="C70" s="5" t="n"/>
      <c r="D70" s="5" t="n"/>
      <c r="E70" s="5" t="n"/>
      <c r="F70" s="82" t="n"/>
      <c r="G70" s="5" t="n"/>
    </row>
    <row r="71" ht="15.75" customHeight="1" s="149">
      <c r="A71" s="5" t="n"/>
      <c r="B71" s="5" t="n"/>
      <c r="C71" s="5" t="n"/>
      <c r="D71" s="5" t="n"/>
      <c r="E71" s="5" t="n"/>
      <c r="F71" s="82" t="n"/>
      <c r="G71" s="5" t="n"/>
    </row>
    <row r="72" ht="15.75" customHeight="1" s="149">
      <c r="A72" s="5" t="n"/>
      <c r="B72" s="5" t="n"/>
      <c r="C72" s="5" t="n"/>
      <c r="D72" s="5" t="n"/>
      <c r="E72" s="5" t="n"/>
      <c r="F72" s="82" t="n"/>
      <c r="G72" s="5" t="n"/>
    </row>
    <row r="73" ht="15.75" customHeight="1" s="149">
      <c r="A73" s="5" t="n"/>
      <c r="B73" s="5" t="n"/>
      <c r="C73" s="5" t="n"/>
      <c r="D73" s="5" t="n"/>
      <c r="E73" s="5" t="n"/>
      <c r="F73" s="82" t="n"/>
      <c r="G73" s="5" t="n"/>
    </row>
    <row r="74" ht="15.75" customHeight="1" s="149">
      <c r="A74" s="5" t="n"/>
      <c r="B74" s="5" t="n"/>
      <c r="C74" s="5" t="n"/>
      <c r="D74" s="5" t="n"/>
      <c r="E74" s="5" t="n"/>
      <c r="F74" s="82" t="n"/>
      <c r="G74" s="5" t="n"/>
    </row>
    <row r="75" ht="15.75" customHeight="1" s="149">
      <c r="A75" s="5" t="n"/>
      <c r="B75" s="5" t="n"/>
      <c r="C75" s="5" t="n"/>
      <c r="D75" s="5" t="n"/>
      <c r="E75" s="5" t="n"/>
      <c r="F75" s="82" t="n"/>
      <c r="G75" s="5" t="n"/>
    </row>
    <row r="76" ht="15.75" customHeight="1" s="149">
      <c r="A76" s="5" t="n"/>
      <c r="B76" s="5" t="n"/>
      <c r="C76" s="5" t="n"/>
      <c r="D76" s="5" t="n"/>
      <c r="E76" s="5" t="n"/>
      <c r="F76" s="82" t="n"/>
      <c r="G76" s="5" t="n"/>
    </row>
    <row r="77" ht="15.75" customHeight="1" s="149">
      <c r="A77" s="5" t="n"/>
      <c r="B77" s="5" t="n"/>
      <c r="C77" s="5" t="n"/>
      <c r="D77" s="5" t="n"/>
      <c r="E77" s="5" t="n"/>
      <c r="F77" s="82" t="n"/>
      <c r="G77" s="5" t="n"/>
    </row>
    <row r="78" ht="15.75" customHeight="1" s="149">
      <c r="A78" s="5" t="n"/>
      <c r="B78" s="5" t="n"/>
      <c r="C78" s="5" t="n"/>
      <c r="D78" s="5" t="n"/>
      <c r="E78" s="5" t="n"/>
      <c r="F78" s="82" t="n"/>
      <c r="G78" s="5" t="n"/>
    </row>
    <row r="79" ht="15.75" customHeight="1" s="149">
      <c r="A79" s="5" t="n"/>
      <c r="B79" s="5" t="n"/>
      <c r="C79" s="5" t="n"/>
      <c r="D79" s="5" t="n"/>
      <c r="E79" s="5" t="n"/>
      <c r="F79" s="82" t="n"/>
      <c r="G79" s="5" t="n"/>
    </row>
    <row r="80" ht="15.75" customHeight="1" s="149">
      <c r="A80" s="5" t="n"/>
      <c r="B80" s="5" t="n"/>
      <c r="C80" s="5" t="n"/>
      <c r="D80" s="5" t="n"/>
      <c r="E80" s="5" t="n"/>
      <c r="F80" s="82" t="n"/>
      <c r="G80" s="5" t="n"/>
    </row>
    <row r="81" ht="15.75" customHeight="1" s="149">
      <c r="A81" s="5" t="n"/>
      <c r="B81" s="5" t="n"/>
      <c r="C81" s="5" t="n"/>
      <c r="D81" s="5" t="n"/>
      <c r="E81" s="5" t="n"/>
      <c r="F81" s="82" t="n"/>
      <c r="G81" s="5" t="n"/>
    </row>
    <row r="82" ht="15.75" customHeight="1" s="149">
      <c r="A82" s="5" t="n"/>
      <c r="B82" s="5" t="n"/>
      <c r="C82" s="5" t="n"/>
      <c r="D82" s="5" t="n"/>
      <c r="E82" s="5" t="n"/>
      <c r="F82" s="82" t="n"/>
      <c r="G82" s="5" t="n"/>
    </row>
    <row r="83" ht="15.75" customHeight="1" s="149">
      <c r="A83" s="5" t="n"/>
      <c r="B83" s="5" t="n"/>
      <c r="C83" s="5" t="n"/>
      <c r="D83" s="5" t="n"/>
      <c r="E83" s="5" t="n"/>
      <c r="F83" s="82" t="n"/>
      <c r="G83" s="5" t="n"/>
    </row>
    <row r="84" ht="15.75" customHeight="1" s="149">
      <c r="A84" s="5" t="n"/>
      <c r="B84" s="5" t="n"/>
      <c r="C84" s="5" t="n"/>
      <c r="D84" s="5" t="n"/>
      <c r="E84" s="5" t="n"/>
      <c r="F84" s="82" t="n"/>
      <c r="G84" s="5" t="n"/>
    </row>
    <row r="85" ht="15.75" customHeight="1" s="149">
      <c r="A85" s="5" t="n"/>
      <c r="B85" s="5" t="n"/>
      <c r="C85" s="5" t="n"/>
      <c r="D85" s="5" t="n"/>
      <c r="E85" s="5" t="n"/>
      <c r="F85" s="82" t="n"/>
      <c r="G85" s="5" t="n"/>
    </row>
    <row r="86" ht="15.75" customHeight="1" s="149">
      <c r="A86" s="5" t="n"/>
      <c r="B86" s="5" t="n"/>
      <c r="C86" s="5" t="n"/>
      <c r="D86" s="5" t="n"/>
      <c r="E86" s="5" t="n"/>
      <c r="F86" s="82" t="n"/>
      <c r="G86" s="5" t="n"/>
    </row>
    <row r="87" ht="15.75" customHeight="1" s="149">
      <c r="A87" s="5" t="n"/>
      <c r="B87" s="5" t="n"/>
      <c r="C87" s="5" t="n"/>
      <c r="D87" s="5" t="n"/>
      <c r="E87" s="5" t="n"/>
      <c r="F87" s="82" t="n"/>
      <c r="G87" s="5" t="n"/>
    </row>
    <row r="88" ht="15.75" customHeight="1" s="149">
      <c r="A88" s="5" t="n"/>
      <c r="B88" s="5" t="n"/>
      <c r="C88" s="5" t="n"/>
      <c r="D88" s="5" t="n"/>
      <c r="E88" s="5" t="n"/>
      <c r="F88" s="82" t="n"/>
      <c r="G88" s="5" t="n"/>
    </row>
    <row r="89" ht="15.75" customHeight="1" s="149">
      <c r="A89" s="5" t="n"/>
      <c r="B89" s="5" t="n"/>
      <c r="C89" s="5" t="n"/>
      <c r="D89" s="5" t="n"/>
      <c r="E89" s="5" t="n"/>
      <c r="F89" s="82" t="n"/>
      <c r="G89" s="5" t="n"/>
    </row>
    <row r="90" ht="15.75" customHeight="1" s="149">
      <c r="A90" s="5" t="n"/>
      <c r="B90" s="5" t="n"/>
      <c r="C90" s="5" t="n"/>
      <c r="D90" s="5" t="n"/>
      <c r="E90" s="5" t="n"/>
      <c r="F90" s="82" t="n"/>
      <c r="G90" s="5" t="n"/>
    </row>
    <row r="91" ht="15.75" customHeight="1" s="149">
      <c r="A91" s="5" t="n"/>
      <c r="B91" s="5" t="n"/>
      <c r="C91" s="5" t="n"/>
      <c r="D91" s="5" t="n"/>
      <c r="E91" s="5" t="n"/>
      <c r="F91" s="82" t="n"/>
      <c r="G91" s="5" t="n"/>
    </row>
    <row r="92" ht="15.75" customHeight="1" s="149">
      <c r="A92" s="5" t="n"/>
      <c r="B92" s="5" t="n"/>
      <c r="C92" s="5" t="n"/>
      <c r="D92" s="5" t="n"/>
      <c r="E92" s="5" t="n"/>
      <c r="F92" s="82" t="n"/>
      <c r="G92" s="5" t="n"/>
    </row>
    <row r="93" ht="15.75" customHeight="1" s="149">
      <c r="A93" s="5" t="n"/>
      <c r="B93" s="5" t="n"/>
      <c r="C93" s="5" t="n"/>
      <c r="D93" s="5" t="n"/>
      <c r="E93" s="5" t="n"/>
      <c r="F93" s="82" t="n"/>
      <c r="G93" s="5" t="n"/>
    </row>
    <row r="94" ht="15.75" customHeight="1" s="149">
      <c r="A94" s="5" t="n"/>
      <c r="B94" s="5" t="n"/>
      <c r="C94" s="5" t="n"/>
      <c r="D94" s="5" t="n"/>
      <c r="E94" s="5" t="n"/>
      <c r="F94" s="82" t="n"/>
      <c r="G94" s="5" t="n"/>
    </row>
    <row r="95" ht="15.75" customHeight="1" s="149">
      <c r="A95" s="5" t="n"/>
      <c r="B95" s="5" t="n"/>
      <c r="C95" s="5" t="n"/>
      <c r="D95" s="5" t="n"/>
      <c r="E95" s="5" t="n"/>
      <c r="F95" s="82" t="n"/>
      <c r="G95" s="5" t="n"/>
    </row>
    <row r="96" ht="15.75" customHeight="1" s="149">
      <c r="A96" s="5" t="n"/>
      <c r="B96" s="5" t="n"/>
      <c r="C96" s="5" t="n"/>
      <c r="D96" s="5" t="n"/>
      <c r="E96" s="5" t="n"/>
      <c r="F96" s="82" t="n"/>
      <c r="G96" s="5" t="n"/>
    </row>
    <row r="97" ht="15.75" customHeight="1" s="149">
      <c r="A97" s="5" t="n"/>
      <c r="B97" s="5" t="n"/>
      <c r="C97" s="5" t="n"/>
      <c r="D97" s="5" t="n"/>
      <c r="E97" s="5" t="n"/>
      <c r="F97" s="82" t="n"/>
      <c r="G97" s="5" t="n"/>
    </row>
    <row r="98" ht="15.75" customHeight="1" s="149">
      <c r="A98" s="5" t="n"/>
      <c r="B98" s="5" t="n"/>
      <c r="C98" s="5" t="n"/>
      <c r="D98" s="5" t="n"/>
      <c r="E98" s="5" t="n"/>
      <c r="F98" s="82" t="n"/>
      <c r="G98" s="5" t="n"/>
    </row>
    <row r="99" ht="15.75" customHeight="1" s="149">
      <c r="A99" s="5" t="n"/>
      <c r="B99" s="5" t="n"/>
      <c r="C99" s="5" t="n"/>
      <c r="D99" s="5" t="n"/>
      <c r="E99" s="5" t="n"/>
      <c r="F99" s="82" t="n"/>
      <c r="G99" s="5" t="n"/>
    </row>
    <row r="100" ht="15.75" customHeight="1" s="149">
      <c r="A100" s="5" t="n"/>
      <c r="B100" s="5" t="n"/>
      <c r="C100" s="5" t="n"/>
      <c r="D100" s="5" t="n"/>
      <c r="E100" s="5" t="n"/>
      <c r="F100" s="82" t="n"/>
      <c r="G100" s="5" t="n"/>
    </row>
    <row r="101" ht="15.75" customHeight="1" s="149">
      <c r="A101" s="5" t="n"/>
      <c r="B101" s="5" t="n"/>
      <c r="C101" s="5" t="n"/>
      <c r="D101" s="5" t="n"/>
      <c r="E101" s="5" t="n"/>
      <c r="F101" s="82" t="n"/>
      <c r="G101" s="5" t="n"/>
    </row>
    <row r="102" ht="15.75" customHeight="1" s="149">
      <c r="A102" s="5" t="n"/>
      <c r="B102" s="5" t="n"/>
      <c r="C102" s="5" t="n"/>
      <c r="D102" s="5" t="n"/>
      <c r="E102" s="5" t="n"/>
      <c r="F102" s="82" t="n"/>
      <c r="G102" s="5" t="n"/>
    </row>
    <row r="103" ht="15.75" customHeight="1" s="149">
      <c r="A103" s="5" t="n"/>
      <c r="B103" s="5" t="n"/>
      <c r="C103" s="5" t="n"/>
      <c r="D103" s="5" t="n"/>
      <c r="E103" s="5" t="n"/>
      <c r="F103" s="82" t="n"/>
      <c r="G103" s="5" t="n"/>
    </row>
    <row r="104" ht="15.75" customHeight="1" s="149">
      <c r="A104" s="5" t="n"/>
      <c r="B104" s="5" t="n"/>
      <c r="C104" s="5" t="n"/>
      <c r="D104" s="5" t="n"/>
      <c r="E104" s="5" t="n"/>
      <c r="F104" s="82" t="n"/>
      <c r="G104" s="5" t="n"/>
    </row>
    <row r="105" ht="15.75" customHeight="1" s="149">
      <c r="A105" s="5" t="n"/>
      <c r="B105" s="5" t="n"/>
      <c r="C105" s="5" t="n"/>
      <c r="D105" s="5" t="n"/>
      <c r="E105" s="5" t="n"/>
      <c r="F105" s="82" t="n"/>
      <c r="G105" s="5" t="n"/>
    </row>
    <row r="106" ht="15.75" customHeight="1" s="149">
      <c r="A106" s="5" t="n"/>
      <c r="B106" s="5" t="n"/>
      <c r="C106" s="5" t="n"/>
      <c r="D106" s="5" t="n"/>
      <c r="E106" s="5" t="n"/>
      <c r="F106" s="82" t="n"/>
      <c r="G106" s="5" t="n"/>
    </row>
    <row r="107" ht="15.75" customHeight="1" s="149">
      <c r="A107" s="5" t="n"/>
      <c r="B107" s="5" t="n"/>
      <c r="C107" s="5" t="n"/>
      <c r="D107" s="5" t="n"/>
      <c r="E107" s="5" t="n"/>
      <c r="F107" s="82" t="n"/>
      <c r="G107" s="5" t="n"/>
    </row>
    <row r="108" ht="15.75" customHeight="1" s="149">
      <c r="A108" s="5" t="n"/>
      <c r="B108" s="5" t="n"/>
      <c r="C108" s="5" t="n"/>
      <c r="D108" s="5" t="n"/>
      <c r="E108" s="5" t="n"/>
      <c r="F108" s="82" t="n"/>
      <c r="G108" s="5" t="n"/>
    </row>
    <row r="109" ht="15.75" customHeight="1" s="149">
      <c r="A109" s="5" t="n"/>
      <c r="B109" s="5" t="n"/>
      <c r="C109" s="5" t="n"/>
      <c r="D109" s="5" t="n"/>
      <c r="E109" s="5" t="n"/>
      <c r="F109" s="82" t="n"/>
      <c r="G109" s="5" t="n"/>
    </row>
    <row r="110" ht="15.75" customHeight="1" s="149">
      <c r="A110" s="5" t="n"/>
      <c r="B110" s="5" t="n"/>
      <c r="C110" s="5" t="n"/>
      <c r="D110" s="5" t="n"/>
      <c r="E110" s="5" t="n"/>
      <c r="F110" s="82" t="n"/>
      <c r="G110" s="5" t="n"/>
    </row>
    <row r="111" ht="15.75" customHeight="1" s="149">
      <c r="A111" s="5" t="n"/>
      <c r="B111" s="5" t="n"/>
      <c r="C111" s="5" t="n"/>
      <c r="D111" s="5" t="n"/>
      <c r="E111" s="5" t="n"/>
      <c r="F111" s="82" t="n"/>
      <c r="G111" s="5" t="n"/>
    </row>
    <row r="112" ht="15.75" customHeight="1" s="149">
      <c r="A112" s="5" t="n"/>
      <c r="B112" s="5" t="n"/>
      <c r="C112" s="5" t="n"/>
      <c r="D112" s="5" t="n"/>
      <c r="E112" s="5" t="n"/>
      <c r="F112" s="82" t="n"/>
      <c r="G112" s="5" t="n"/>
    </row>
    <row r="113" ht="15.75" customHeight="1" s="149">
      <c r="A113" s="5" t="n"/>
      <c r="B113" s="5" t="n"/>
      <c r="C113" s="5" t="n"/>
      <c r="D113" s="5" t="n"/>
      <c r="E113" s="5" t="n"/>
      <c r="F113" s="82" t="n"/>
      <c r="G113" s="5" t="n"/>
    </row>
    <row r="114" ht="15.75" customHeight="1" s="149">
      <c r="A114" s="5" t="n"/>
      <c r="B114" s="5" t="n"/>
      <c r="C114" s="5" t="n"/>
      <c r="D114" s="5" t="n"/>
      <c r="E114" s="5" t="n"/>
      <c r="F114" s="82" t="n"/>
      <c r="G114" s="5" t="n"/>
    </row>
    <row r="115" ht="15.75" customHeight="1" s="149">
      <c r="A115" s="5" t="n"/>
      <c r="B115" s="5" t="n"/>
      <c r="C115" s="5" t="n"/>
      <c r="D115" s="5" t="n"/>
      <c r="E115" s="5" t="n"/>
      <c r="F115" s="82" t="n"/>
      <c r="G115" s="5" t="n"/>
    </row>
    <row r="116" ht="15.75" customHeight="1" s="149">
      <c r="A116" s="5" t="n"/>
      <c r="B116" s="5" t="n"/>
      <c r="C116" s="5" t="n"/>
      <c r="D116" s="5" t="n"/>
      <c r="E116" s="5" t="n"/>
      <c r="F116" s="82" t="n"/>
      <c r="G116" s="5" t="n"/>
    </row>
    <row r="117" ht="15.75" customHeight="1" s="149">
      <c r="A117" s="5" t="n"/>
      <c r="B117" s="5" t="n"/>
      <c r="C117" s="5" t="n"/>
      <c r="D117" s="5" t="n"/>
      <c r="E117" s="5" t="n"/>
      <c r="F117" s="82" t="n"/>
      <c r="G117" s="5" t="n"/>
    </row>
    <row r="118" ht="15.75" customHeight="1" s="149">
      <c r="A118" s="5" t="n"/>
      <c r="B118" s="5" t="n"/>
      <c r="C118" s="5" t="n"/>
      <c r="D118" s="5" t="n"/>
      <c r="E118" s="5" t="n"/>
      <c r="F118" s="82" t="n"/>
      <c r="G118" s="5" t="n"/>
    </row>
    <row r="119" ht="15.75" customHeight="1" s="149">
      <c r="A119" s="5" t="n"/>
      <c r="B119" s="5" t="n"/>
      <c r="C119" s="5" t="n"/>
      <c r="D119" s="5" t="n"/>
      <c r="E119" s="5" t="n"/>
      <c r="F119" s="82" t="n"/>
      <c r="G119" s="5" t="n"/>
    </row>
    <row r="120" ht="15.75" customHeight="1" s="149">
      <c r="A120" s="5" t="n"/>
      <c r="B120" s="5" t="n"/>
      <c r="C120" s="5" t="n"/>
      <c r="D120" s="5" t="n"/>
      <c r="E120" s="5" t="n"/>
      <c r="F120" s="82" t="n"/>
      <c r="G120" s="5" t="n"/>
    </row>
    <row r="121" ht="15.75" customHeight="1" s="149">
      <c r="A121" s="5" t="n"/>
      <c r="B121" s="5" t="n"/>
      <c r="C121" s="5" t="n"/>
      <c r="D121" s="5" t="n"/>
      <c r="E121" s="5" t="n"/>
      <c r="F121" s="82" t="n"/>
      <c r="G121" s="5" t="n"/>
    </row>
    <row r="122" ht="15.75" customHeight="1" s="149">
      <c r="A122" s="5" t="n"/>
      <c r="B122" s="5" t="n"/>
      <c r="C122" s="5" t="n"/>
      <c r="D122" s="5" t="n"/>
      <c r="E122" s="5" t="n"/>
      <c r="F122" s="82" t="n"/>
      <c r="G122" s="5" t="n"/>
    </row>
    <row r="123" ht="15.75" customHeight="1" s="149">
      <c r="A123" s="5" t="n"/>
      <c r="B123" s="5" t="n"/>
      <c r="C123" s="5" t="n"/>
      <c r="D123" s="5" t="n"/>
      <c r="E123" s="5" t="n"/>
      <c r="F123" s="82" t="n"/>
      <c r="G123" s="5" t="n"/>
    </row>
    <row r="124" ht="15.75" customHeight="1" s="149">
      <c r="A124" s="5" t="n"/>
      <c r="B124" s="5" t="n"/>
      <c r="C124" s="5" t="n"/>
      <c r="D124" s="5" t="n"/>
      <c r="E124" s="5" t="n"/>
      <c r="F124" s="82" t="n"/>
      <c r="G124" s="5" t="n"/>
    </row>
    <row r="125" ht="15.75" customHeight="1" s="149">
      <c r="A125" s="5" t="n"/>
      <c r="B125" s="5" t="n"/>
      <c r="C125" s="5" t="n"/>
      <c r="D125" s="5" t="n"/>
      <c r="E125" s="5" t="n"/>
      <c r="F125" s="82" t="n"/>
      <c r="G125" s="5" t="n"/>
    </row>
    <row r="126" ht="15.75" customHeight="1" s="149">
      <c r="A126" s="5" t="n"/>
      <c r="B126" s="5" t="n"/>
      <c r="C126" s="5" t="n"/>
      <c r="D126" s="5" t="n"/>
      <c r="E126" s="5" t="n"/>
      <c r="F126" s="82" t="n"/>
      <c r="G126" s="5" t="n"/>
    </row>
    <row r="127" ht="15.75" customHeight="1" s="149">
      <c r="A127" s="5" t="n"/>
      <c r="B127" s="5" t="n"/>
      <c r="C127" s="5" t="n"/>
      <c r="D127" s="5" t="n"/>
      <c r="E127" s="5" t="n"/>
      <c r="F127" s="82" t="n"/>
      <c r="G127" s="5" t="n"/>
    </row>
    <row r="128" ht="15.75" customHeight="1" s="149">
      <c r="A128" s="5" t="n"/>
      <c r="B128" s="5" t="n"/>
      <c r="C128" s="5" t="n"/>
      <c r="D128" s="5" t="n"/>
      <c r="E128" s="5" t="n"/>
      <c r="F128" s="82" t="n"/>
      <c r="G128" s="5" t="n"/>
    </row>
    <row r="129" ht="15.75" customHeight="1" s="149">
      <c r="A129" s="5" t="n"/>
      <c r="B129" s="5" t="n"/>
      <c r="C129" s="5" t="n"/>
      <c r="D129" s="5" t="n"/>
      <c r="E129" s="5" t="n"/>
      <c r="F129" s="82" t="n"/>
      <c r="G129" s="5" t="n"/>
    </row>
    <row r="130" ht="15.75" customHeight="1" s="149">
      <c r="A130" s="5" t="n"/>
      <c r="B130" s="5" t="n"/>
      <c r="C130" s="5" t="n"/>
      <c r="D130" s="5" t="n"/>
      <c r="E130" s="5" t="n"/>
      <c r="F130" s="82" t="n"/>
      <c r="G130" s="5" t="n"/>
    </row>
    <row r="131" ht="15.75" customHeight="1" s="149">
      <c r="A131" s="5" t="n"/>
      <c r="B131" s="5" t="n"/>
      <c r="C131" s="5" t="n"/>
      <c r="D131" s="5" t="n"/>
      <c r="E131" s="5" t="n"/>
      <c r="F131" s="82" t="n"/>
      <c r="G131" s="5" t="n"/>
    </row>
    <row r="132" ht="15.75" customHeight="1" s="149">
      <c r="A132" s="5" t="n"/>
      <c r="B132" s="5" t="n"/>
      <c r="C132" s="5" t="n"/>
      <c r="D132" s="5" t="n"/>
      <c r="E132" s="5" t="n"/>
      <c r="F132" s="82" t="n"/>
      <c r="G132" s="5" t="n"/>
    </row>
    <row r="133" ht="15.75" customHeight="1" s="149">
      <c r="A133" s="5" t="n"/>
      <c r="B133" s="5" t="n"/>
      <c r="C133" s="5" t="n"/>
      <c r="D133" s="5" t="n"/>
      <c r="E133" s="5" t="n"/>
      <c r="F133" s="82" t="n"/>
      <c r="G133" s="5" t="n"/>
    </row>
    <row r="134" ht="15.75" customHeight="1" s="149">
      <c r="A134" s="5" t="n"/>
      <c r="B134" s="5" t="n"/>
      <c r="C134" s="5" t="n"/>
      <c r="D134" s="5" t="n"/>
      <c r="E134" s="5" t="n"/>
      <c r="F134" s="82" t="n"/>
      <c r="G134" s="5" t="n"/>
    </row>
    <row r="135" ht="15.75" customHeight="1" s="149">
      <c r="A135" s="5" t="n"/>
      <c r="B135" s="5" t="n"/>
      <c r="C135" s="5" t="n"/>
      <c r="D135" s="5" t="n"/>
      <c r="E135" s="5" t="n"/>
      <c r="F135" s="82" t="n"/>
      <c r="G135" s="5" t="n"/>
    </row>
    <row r="136" ht="15.75" customHeight="1" s="149">
      <c r="A136" s="5" t="n"/>
      <c r="B136" s="5" t="n"/>
      <c r="C136" s="5" t="n"/>
      <c r="D136" s="5" t="n"/>
      <c r="E136" s="5" t="n"/>
      <c r="F136" s="82" t="n"/>
      <c r="G136" s="5" t="n"/>
    </row>
    <row r="137" ht="15.75" customHeight="1" s="149">
      <c r="A137" s="5" t="n"/>
      <c r="B137" s="5" t="n"/>
      <c r="C137" s="5" t="n"/>
      <c r="D137" s="5" t="n"/>
      <c r="E137" s="5" t="n"/>
      <c r="F137" s="82" t="n"/>
      <c r="G137" s="5" t="n"/>
    </row>
    <row r="138" ht="15.75" customHeight="1" s="149">
      <c r="A138" s="5" t="n"/>
      <c r="B138" s="5" t="n"/>
      <c r="C138" s="5" t="n"/>
      <c r="D138" s="5" t="n"/>
      <c r="E138" s="5" t="n"/>
      <c r="F138" s="82" t="n"/>
      <c r="G138" s="5" t="n"/>
    </row>
    <row r="139" ht="15.75" customHeight="1" s="149">
      <c r="A139" s="5" t="n"/>
      <c r="B139" s="5" t="n"/>
      <c r="C139" s="5" t="n"/>
      <c r="D139" s="5" t="n"/>
      <c r="E139" s="5" t="n"/>
      <c r="F139" s="82" t="n"/>
      <c r="G139" s="5" t="n"/>
    </row>
    <row r="140" ht="15.75" customHeight="1" s="149">
      <c r="A140" s="5" t="n"/>
      <c r="B140" s="5" t="n"/>
      <c r="C140" s="5" t="n"/>
      <c r="D140" s="5" t="n"/>
      <c r="E140" s="5" t="n"/>
      <c r="F140" s="82" t="n"/>
      <c r="G140" s="5" t="n"/>
    </row>
    <row r="141" ht="15.75" customHeight="1" s="149">
      <c r="A141" s="5" t="n"/>
      <c r="B141" s="5" t="n"/>
      <c r="C141" s="5" t="n"/>
      <c r="D141" s="5" t="n"/>
      <c r="E141" s="5" t="n"/>
      <c r="F141" s="82" t="n"/>
      <c r="G141" s="5" t="n"/>
    </row>
    <row r="142" ht="15.75" customHeight="1" s="149">
      <c r="A142" s="5" t="n"/>
      <c r="B142" s="5" t="n"/>
      <c r="C142" s="5" t="n"/>
      <c r="D142" s="5" t="n"/>
      <c r="E142" s="5" t="n"/>
      <c r="F142" s="82" t="n"/>
      <c r="G142" s="5" t="n"/>
    </row>
    <row r="143" ht="15.75" customHeight="1" s="149">
      <c r="A143" s="5" t="n"/>
      <c r="B143" s="5" t="n"/>
      <c r="C143" s="5" t="n"/>
      <c r="D143" s="5" t="n"/>
      <c r="E143" s="5" t="n"/>
      <c r="F143" s="82" t="n"/>
      <c r="G143" s="5" t="n"/>
    </row>
    <row r="144" ht="15.75" customHeight="1" s="149">
      <c r="A144" s="5" t="n"/>
      <c r="B144" s="5" t="n"/>
      <c r="C144" s="5" t="n"/>
      <c r="D144" s="5" t="n"/>
      <c r="E144" s="5" t="n"/>
      <c r="F144" s="82" t="n"/>
      <c r="G144" s="5" t="n"/>
    </row>
    <row r="145" ht="15.75" customHeight="1" s="149">
      <c r="A145" s="5" t="n"/>
      <c r="B145" s="5" t="n"/>
      <c r="C145" s="5" t="n"/>
      <c r="D145" s="5" t="n"/>
      <c r="E145" s="5" t="n"/>
      <c r="F145" s="82" t="n"/>
      <c r="G145" s="5" t="n"/>
    </row>
    <row r="146" ht="15.75" customHeight="1" s="149">
      <c r="A146" s="5" t="n"/>
      <c r="B146" s="5" t="n"/>
      <c r="C146" s="5" t="n"/>
      <c r="D146" s="5" t="n"/>
      <c r="E146" s="5" t="n"/>
      <c r="F146" s="82" t="n"/>
      <c r="G146" s="5" t="n"/>
    </row>
    <row r="147" ht="15.75" customHeight="1" s="149">
      <c r="A147" s="5" t="n"/>
      <c r="B147" s="5" t="n"/>
      <c r="C147" s="5" t="n"/>
      <c r="D147" s="5" t="n"/>
      <c r="E147" s="5" t="n"/>
      <c r="F147" s="82" t="n"/>
      <c r="G147" s="5" t="n"/>
    </row>
    <row r="148" ht="15.75" customHeight="1" s="149">
      <c r="A148" s="5" t="n"/>
      <c r="B148" s="5" t="n"/>
      <c r="C148" s="5" t="n"/>
      <c r="D148" s="5" t="n"/>
      <c r="E148" s="5" t="n"/>
      <c r="F148" s="82" t="n"/>
      <c r="G148" s="5" t="n"/>
    </row>
    <row r="149" ht="15.75" customHeight="1" s="149">
      <c r="A149" s="5" t="n"/>
      <c r="B149" s="5" t="n"/>
      <c r="C149" s="5" t="n"/>
      <c r="D149" s="5" t="n"/>
      <c r="E149" s="5" t="n"/>
      <c r="F149" s="82" t="n"/>
      <c r="G149" s="5" t="n"/>
    </row>
    <row r="150" ht="15.75" customHeight="1" s="149">
      <c r="A150" s="5" t="n"/>
      <c r="B150" s="5" t="n"/>
      <c r="C150" s="5" t="n"/>
      <c r="D150" s="5" t="n"/>
      <c r="E150" s="5" t="n"/>
      <c r="F150" s="82" t="n"/>
      <c r="G150" s="5" t="n"/>
    </row>
    <row r="151" ht="15.75" customHeight="1" s="149">
      <c r="A151" s="5" t="n"/>
      <c r="B151" s="5" t="n"/>
      <c r="C151" s="5" t="n"/>
      <c r="D151" s="5" t="n"/>
      <c r="E151" s="5" t="n"/>
      <c r="F151" s="82" t="n"/>
      <c r="G151" s="5" t="n"/>
    </row>
    <row r="152" ht="15.75" customHeight="1" s="149">
      <c r="A152" s="5" t="n"/>
      <c r="B152" s="5" t="n"/>
      <c r="C152" s="5" t="n"/>
      <c r="D152" s="5" t="n"/>
      <c r="E152" s="5" t="n"/>
      <c r="F152" s="82" t="n"/>
      <c r="G152" s="5" t="n"/>
    </row>
    <row r="153" ht="15.75" customHeight="1" s="149">
      <c r="A153" s="5" t="n"/>
      <c r="B153" s="5" t="n"/>
      <c r="C153" s="5" t="n"/>
      <c r="D153" s="5" t="n"/>
      <c r="E153" s="5" t="n"/>
      <c r="F153" s="82" t="n"/>
      <c r="G153" s="5" t="n"/>
    </row>
    <row r="154" ht="15.75" customHeight="1" s="149">
      <c r="A154" s="5" t="n"/>
      <c r="B154" s="5" t="n"/>
      <c r="C154" s="5" t="n"/>
      <c r="D154" s="5" t="n"/>
      <c r="E154" s="5" t="n"/>
      <c r="F154" s="82" t="n"/>
      <c r="G154" s="5" t="n"/>
    </row>
    <row r="155" ht="15.75" customHeight="1" s="149">
      <c r="A155" s="5" t="n"/>
      <c r="B155" s="5" t="n"/>
      <c r="C155" s="5" t="n"/>
      <c r="D155" s="5" t="n"/>
      <c r="E155" s="5" t="n"/>
      <c r="F155" s="82" t="n"/>
      <c r="G155" s="5" t="n"/>
    </row>
    <row r="156" ht="15.75" customHeight="1" s="149">
      <c r="A156" s="5" t="n"/>
      <c r="B156" s="5" t="n"/>
      <c r="C156" s="5" t="n"/>
      <c r="D156" s="5" t="n"/>
      <c r="E156" s="5" t="n"/>
      <c r="F156" s="82" t="n"/>
      <c r="G156" s="5" t="n"/>
    </row>
    <row r="157" ht="15.75" customHeight="1" s="149">
      <c r="A157" s="5" t="n"/>
      <c r="B157" s="5" t="n"/>
      <c r="C157" s="5" t="n"/>
      <c r="D157" s="5" t="n"/>
      <c r="E157" s="5" t="n"/>
      <c r="F157" s="82" t="n"/>
      <c r="G157" s="5" t="n"/>
    </row>
    <row r="158" ht="15.75" customHeight="1" s="149">
      <c r="A158" s="5" t="n"/>
      <c r="B158" s="5" t="n"/>
      <c r="C158" s="5" t="n"/>
      <c r="D158" s="5" t="n"/>
      <c r="E158" s="5" t="n"/>
      <c r="F158" s="82" t="n"/>
      <c r="G158" s="5" t="n"/>
    </row>
    <row r="159" ht="15.75" customHeight="1" s="149">
      <c r="A159" s="5" t="n"/>
      <c r="B159" s="5" t="n"/>
      <c r="C159" s="5" t="n"/>
      <c r="D159" s="5" t="n"/>
      <c r="E159" s="5" t="n"/>
      <c r="F159" s="82" t="n"/>
      <c r="G159" s="5" t="n"/>
    </row>
    <row r="160" ht="15.75" customHeight="1" s="149">
      <c r="A160" s="5" t="n"/>
      <c r="B160" s="5" t="n"/>
      <c r="C160" s="5" t="n"/>
      <c r="D160" s="5" t="n"/>
      <c r="E160" s="5" t="n"/>
      <c r="F160" s="82" t="n"/>
      <c r="G160" s="5" t="n"/>
    </row>
    <row r="161" ht="15.75" customHeight="1" s="149">
      <c r="A161" s="5" t="n"/>
      <c r="B161" s="5" t="n"/>
      <c r="C161" s="5" t="n"/>
      <c r="D161" s="5" t="n"/>
      <c r="E161" s="5" t="n"/>
      <c r="F161" s="82" t="n"/>
      <c r="G161" s="5" t="n"/>
    </row>
    <row r="162" ht="15.75" customHeight="1" s="149">
      <c r="A162" s="5" t="n"/>
      <c r="B162" s="5" t="n"/>
      <c r="C162" s="5" t="n"/>
      <c r="D162" s="5" t="n"/>
      <c r="E162" s="5" t="n"/>
      <c r="F162" s="82" t="n"/>
      <c r="G162" s="5" t="n"/>
    </row>
    <row r="163" ht="15.75" customHeight="1" s="149">
      <c r="A163" s="5" t="n"/>
      <c r="B163" s="5" t="n"/>
      <c r="C163" s="5" t="n"/>
      <c r="D163" s="5" t="n"/>
      <c r="E163" s="5" t="n"/>
      <c r="F163" s="82" t="n"/>
      <c r="G163" s="5" t="n"/>
    </row>
    <row r="164" ht="15.75" customHeight="1" s="149">
      <c r="A164" s="5" t="n"/>
      <c r="B164" s="5" t="n"/>
      <c r="C164" s="5" t="n"/>
      <c r="D164" s="5" t="n"/>
      <c r="E164" s="5" t="n"/>
      <c r="F164" s="82" t="n"/>
      <c r="G164" s="5" t="n"/>
    </row>
    <row r="165" ht="15.75" customHeight="1" s="149">
      <c r="A165" s="5" t="n"/>
      <c r="B165" s="5" t="n"/>
      <c r="C165" s="5" t="n"/>
      <c r="D165" s="5" t="n"/>
      <c r="E165" s="5" t="n"/>
      <c r="F165" s="82" t="n"/>
      <c r="G165" s="5" t="n"/>
    </row>
    <row r="166" ht="15.75" customHeight="1" s="149">
      <c r="A166" s="5" t="n"/>
      <c r="B166" s="5" t="n"/>
      <c r="C166" s="5" t="n"/>
      <c r="D166" s="5" t="n"/>
      <c r="E166" s="5" t="n"/>
      <c r="F166" s="82" t="n"/>
      <c r="G166" s="5" t="n"/>
    </row>
    <row r="167" ht="15.75" customHeight="1" s="149">
      <c r="A167" s="5" t="n"/>
      <c r="B167" s="5" t="n"/>
      <c r="C167" s="5" t="n"/>
      <c r="D167" s="5" t="n"/>
      <c r="E167" s="5" t="n"/>
      <c r="F167" s="82" t="n"/>
      <c r="G167" s="5" t="n"/>
    </row>
    <row r="168" ht="15.75" customHeight="1" s="149">
      <c r="A168" s="5" t="n"/>
      <c r="B168" s="5" t="n"/>
      <c r="C168" s="5" t="n"/>
      <c r="D168" s="5" t="n"/>
      <c r="E168" s="5" t="n"/>
      <c r="F168" s="82" t="n"/>
      <c r="G168" s="5" t="n"/>
    </row>
    <row r="169" ht="15.75" customHeight="1" s="149">
      <c r="A169" s="5" t="n"/>
      <c r="B169" s="5" t="n"/>
      <c r="C169" s="5" t="n"/>
      <c r="D169" s="5" t="n"/>
      <c r="E169" s="5" t="n"/>
      <c r="F169" s="82" t="n"/>
      <c r="G169" s="5" t="n"/>
    </row>
    <row r="170" ht="15.75" customHeight="1" s="149">
      <c r="A170" s="5" t="n"/>
      <c r="B170" s="5" t="n"/>
      <c r="C170" s="5" t="n"/>
      <c r="D170" s="5" t="n"/>
      <c r="E170" s="5" t="n"/>
      <c r="F170" s="82" t="n"/>
      <c r="G170" s="5" t="n"/>
    </row>
    <row r="171" ht="15.75" customHeight="1" s="149">
      <c r="A171" s="5" t="n"/>
      <c r="B171" s="5" t="n"/>
      <c r="C171" s="5" t="n"/>
      <c r="D171" s="5" t="n"/>
      <c r="E171" s="5" t="n"/>
      <c r="F171" s="82" t="n"/>
      <c r="G171" s="5" t="n"/>
    </row>
    <row r="172" ht="15.75" customHeight="1" s="149">
      <c r="A172" s="5" t="n"/>
      <c r="B172" s="5" t="n"/>
      <c r="C172" s="5" t="n"/>
      <c r="D172" s="5" t="n"/>
      <c r="E172" s="5" t="n"/>
      <c r="F172" s="82" t="n"/>
      <c r="G172" s="5" t="n"/>
    </row>
    <row r="173" ht="15.75" customHeight="1" s="149">
      <c r="A173" s="5" t="n"/>
      <c r="B173" s="5" t="n"/>
      <c r="C173" s="5" t="n"/>
      <c r="D173" s="5" t="n"/>
      <c r="E173" s="5" t="n"/>
      <c r="F173" s="82" t="n"/>
      <c r="G173" s="5" t="n"/>
    </row>
    <row r="174" ht="15.75" customHeight="1" s="149">
      <c r="A174" s="5" t="n"/>
      <c r="B174" s="5" t="n"/>
      <c r="C174" s="5" t="n"/>
      <c r="D174" s="5" t="n"/>
      <c r="E174" s="5" t="n"/>
      <c r="F174" s="82" t="n"/>
      <c r="G174" s="5" t="n"/>
    </row>
    <row r="175" ht="15.75" customHeight="1" s="149">
      <c r="A175" s="5" t="n"/>
      <c r="B175" s="5" t="n"/>
      <c r="C175" s="5" t="n"/>
      <c r="D175" s="5" t="n"/>
      <c r="E175" s="5" t="n"/>
      <c r="F175" s="82" t="n"/>
      <c r="G175" s="5" t="n"/>
    </row>
    <row r="176" ht="15.75" customHeight="1" s="149">
      <c r="A176" s="5" t="n"/>
      <c r="B176" s="5" t="n"/>
      <c r="C176" s="5" t="n"/>
      <c r="D176" s="5" t="n"/>
      <c r="E176" s="5" t="n"/>
      <c r="F176" s="82" t="n"/>
      <c r="G176" s="5" t="n"/>
    </row>
    <row r="177" ht="15.75" customHeight="1" s="149">
      <c r="A177" s="5" t="n"/>
      <c r="B177" s="5" t="n"/>
      <c r="C177" s="5" t="n"/>
      <c r="D177" s="5" t="n"/>
      <c r="E177" s="5" t="n"/>
      <c r="F177" s="82" t="n"/>
      <c r="G177" s="5" t="n"/>
    </row>
    <row r="178" ht="15.75" customHeight="1" s="149">
      <c r="A178" s="5" t="n"/>
      <c r="B178" s="5" t="n"/>
      <c r="C178" s="5" t="n"/>
      <c r="D178" s="5" t="n"/>
      <c r="E178" s="5" t="n"/>
      <c r="F178" s="82" t="n"/>
      <c r="G178" s="5" t="n"/>
    </row>
    <row r="179" ht="15.75" customHeight="1" s="149">
      <c r="A179" s="5" t="n"/>
      <c r="B179" s="5" t="n"/>
      <c r="C179" s="5" t="n"/>
      <c r="D179" s="5" t="n"/>
      <c r="E179" s="5" t="n"/>
      <c r="F179" s="82" t="n"/>
      <c r="G179" s="5" t="n"/>
    </row>
    <row r="180" ht="15.75" customHeight="1" s="149">
      <c r="A180" s="5" t="n"/>
      <c r="B180" s="5" t="n"/>
      <c r="C180" s="5" t="n"/>
      <c r="D180" s="5" t="n"/>
      <c r="E180" s="5" t="n"/>
      <c r="F180" s="82" t="n"/>
      <c r="G180" s="5" t="n"/>
    </row>
    <row r="181" ht="15.75" customHeight="1" s="149">
      <c r="A181" s="5" t="n"/>
      <c r="B181" s="5" t="n"/>
      <c r="C181" s="5" t="n"/>
      <c r="D181" s="5" t="n"/>
      <c r="E181" s="5" t="n"/>
      <c r="F181" s="82" t="n"/>
      <c r="G181" s="5" t="n"/>
    </row>
    <row r="182" ht="15.75" customHeight="1" s="149">
      <c r="A182" s="5" t="n"/>
      <c r="B182" s="5" t="n"/>
      <c r="C182" s="5" t="n"/>
      <c r="D182" s="5" t="n"/>
      <c r="E182" s="5" t="n"/>
      <c r="F182" s="82" t="n"/>
      <c r="G182" s="5" t="n"/>
    </row>
    <row r="183" ht="15.75" customHeight="1" s="149">
      <c r="A183" s="5" t="n"/>
      <c r="B183" s="5" t="n"/>
      <c r="C183" s="5" t="n"/>
      <c r="D183" s="5" t="n"/>
      <c r="E183" s="5" t="n"/>
      <c r="F183" s="82" t="n"/>
      <c r="G183" s="5" t="n"/>
    </row>
    <row r="184" ht="15.75" customHeight="1" s="149">
      <c r="A184" s="5" t="n"/>
      <c r="B184" s="5" t="n"/>
      <c r="C184" s="5" t="n"/>
      <c r="D184" s="5" t="n"/>
      <c r="E184" s="5" t="n"/>
      <c r="F184" s="82" t="n"/>
      <c r="G184" s="5" t="n"/>
    </row>
    <row r="185" ht="15.75" customHeight="1" s="149">
      <c r="A185" s="5" t="n"/>
      <c r="B185" s="5" t="n"/>
      <c r="C185" s="5" t="n"/>
      <c r="D185" s="5" t="n"/>
      <c r="E185" s="5" t="n"/>
      <c r="F185" s="82" t="n"/>
      <c r="G185" s="5" t="n"/>
    </row>
    <row r="186" ht="15.75" customHeight="1" s="149">
      <c r="A186" s="5" t="n"/>
      <c r="B186" s="5" t="n"/>
      <c r="C186" s="5" t="n"/>
      <c r="D186" s="5" t="n"/>
      <c r="E186" s="5" t="n"/>
      <c r="F186" s="82" t="n"/>
      <c r="G186" s="5" t="n"/>
    </row>
    <row r="187" ht="15.75" customHeight="1" s="149">
      <c r="A187" s="5" t="n"/>
      <c r="B187" s="5" t="n"/>
      <c r="C187" s="5" t="n"/>
      <c r="D187" s="5" t="n"/>
      <c r="E187" s="5" t="n"/>
      <c r="F187" s="82" t="n"/>
      <c r="G187" s="5" t="n"/>
    </row>
    <row r="188" ht="15.75" customHeight="1" s="149">
      <c r="A188" s="5" t="n"/>
      <c r="B188" s="5" t="n"/>
      <c r="C188" s="5" t="n"/>
      <c r="D188" s="5" t="n"/>
      <c r="E188" s="5" t="n"/>
      <c r="F188" s="82" t="n"/>
      <c r="G188" s="5" t="n"/>
    </row>
    <row r="189" ht="15.75" customHeight="1" s="149">
      <c r="A189" s="5" t="n"/>
      <c r="B189" s="5" t="n"/>
      <c r="C189" s="5" t="n"/>
      <c r="D189" s="5" t="n"/>
      <c r="E189" s="5" t="n"/>
      <c r="F189" s="82" t="n"/>
      <c r="G189" s="5" t="n"/>
    </row>
    <row r="190" ht="15.75" customHeight="1" s="149">
      <c r="A190" s="5" t="n"/>
      <c r="B190" s="5" t="n"/>
      <c r="C190" s="5" t="n"/>
      <c r="D190" s="5" t="n"/>
      <c r="E190" s="5" t="n"/>
      <c r="F190" s="82" t="n"/>
      <c r="G190" s="5" t="n"/>
    </row>
    <row r="191" ht="15.75" customHeight="1" s="149">
      <c r="A191" s="5" t="n"/>
      <c r="B191" s="5" t="n"/>
      <c r="C191" s="5" t="n"/>
      <c r="D191" s="5" t="n"/>
      <c r="E191" s="5" t="n"/>
      <c r="F191" s="82" t="n"/>
      <c r="G191" s="5" t="n"/>
    </row>
    <row r="192" ht="15.75" customHeight="1" s="149">
      <c r="A192" s="5" t="n"/>
      <c r="B192" s="5" t="n"/>
      <c r="C192" s="5" t="n"/>
      <c r="D192" s="5" t="n"/>
      <c r="E192" s="5" t="n"/>
      <c r="F192" s="82" t="n"/>
      <c r="G192" s="5" t="n"/>
    </row>
    <row r="193" ht="15.75" customHeight="1" s="149">
      <c r="A193" s="5" t="n"/>
      <c r="B193" s="5" t="n"/>
      <c r="C193" s="5" t="n"/>
      <c r="D193" s="5" t="n"/>
      <c r="E193" s="5" t="n"/>
      <c r="F193" s="82" t="n"/>
      <c r="G193" s="5" t="n"/>
    </row>
    <row r="194" ht="15.75" customHeight="1" s="149">
      <c r="A194" s="5" t="n"/>
      <c r="B194" s="5" t="n"/>
      <c r="C194" s="5" t="n"/>
      <c r="D194" s="5" t="n"/>
      <c r="E194" s="5" t="n"/>
      <c r="F194" s="82" t="n"/>
      <c r="G194" s="5" t="n"/>
    </row>
    <row r="195" ht="15.75" customHeight="1" s="149">
      <c r="A195" s="5" t="n"/>
      <c r="B195" s="5" t="n"/>
      <c r="C195" s="5" t="n"/>
      <c r="D195" s="5" t="n"/>
      <c r="E195" s="5" t="n"/>
      <c r="F195" s="82" t="n"/>
      <c r="G195" s="5" t="n"/>
    </row>
    <row r="196" ht="15.75" customHeight="1" s="149">
      <c r="A196" s="5" t="n"/>
      <c r="B196" s="5" t="n"/>
      <c r="C196" s="5" t="n"/>
      <c r="D196" s="5" t="n"/>
      <c r="E196" s="5" t="n"/>
      <c r="F196" s="82" t="n"/>
      <c r="G196" s="5" t="n"/>
    </row>
    <row r="197" ht="15.75" customHeight="1" s="149">
      <c r="A197" s="5" t="n"/>
      <c r="B197" s="5" t="n"/>
      <c r="C197" s="5" t="n"/>
      <c r="D197" s="5" t="n"/>
      <c r="E197" s="5" t="n"/>
      <c r="F197" s="82" t="n"/>
      <c r="G197" s="5" t="n"/>
    </row>
    <row r="198" ht="15.75" customHeight="1" s="149">
      <c r="A198" s="5" t="n"/>
      <c r="B198" s="5" t="n"/>
      <c r="C198" s="5" t="n"/>
      <c r="D198" s="5" t="n"/>
      <c r="E198" s="5" t="n"/>
      <c r="F198" s="82" t="n"/>
      <c r="G198" s="5" t="n"/>
    </row>
    <row r="199" ht="15.75" customHeight="1" s="149">
      <c r="A199" s="5" t="n"/>
      <c r="B199" s="5" t="n"/>
      <c r="C199" s="5" t="n"/>
      <c r="D199" s="5" t="n"/>
      <c r="E199" s="5" t="n"/>
      <c r="F199" s="82" t="n"/>
      <c r="G199" s="5" t="n"/>
    </row>
    <row r="200" ht="15.75" customHeight="1" s="149">
      <c r="A200" s="5" t="n"/>
      <c r="B200" s="5" t="n"/>
      <c r="C200" s="5" t="n"/>
      <c r="D200" s="5" t="n"/>
      <c r="E200" s="5" t="n"/>
      <c r="F200" s="82" t="n"/>
      <c r="G200" s="5" t="n"/>
    </row>
    <row r="201" ht="15.75" customHeight="1" s="149">
      <c r="A201" s="5" t="n"/>
      <c r="B201" s="5" t="n"/>
      <c r="C201" s="5" t="n"/>
      <c r="D201" s="5" t="n"/>
      <c r="E201" s="5" t="n"/>
      <c r="F201" s="82" t="n"/>
      <c r="G201" s="5" t="n"/>
    </row>
    <row r="202" ht="15.75" customHeight="1" s="149">
      <c r="A202" s="5" t="n"/>
      <c r="B202" s="5" t="n"/>
      <c r="C202" s="5" t="n"/>
      <c r="D202" s="5" t="n"/>
      <c r="E202" s="5" t="n"/>
      <c r="F202" s="82" t="n"/>
      <c r="G202" s="5" t="n"/>
    </row>
    <row r="203" ht="15.75" customHeight="1" s="149">
      <c r="A203" s="5" t="n"/>
      <c r="B203" s="5" t="n"/>
      <c r="C203" s="5" t="n"/>
      <c r="D203" s="5" t="n"/>
      <c r="E203" s="5" t="n"/>
      <c r="F203" s="82" t="n"/>
      <c r="G203" s="5" t="n"/>
    </row>
    <row r="204" ht="15.75" customHeight="1" s="149">
      <c r="A204" s="5" t="n"/>
      <c r="B204" s="5" t="n"/>
      <c r="C204" s="5" t="n"/>
      <c r="D204" s="5" t="n"/>
      <c r="E204" s="5" t="n"/>
      <c r="F204" s="82" t="n"/>
      <c r="G204" s="5" t="n"/>
    </row>
    <row r="205" ht="15.75" customHeight="1" s="149">
      <c r="A205" s="5" t="n"/>
      <c r="B205" s="5" t="n"/>
      <c r="C205" s="5" t="n"/>
      <c r="D205" s="5" t="n"/>
      <c r="E205" s="5" t="n"/>
      <c r="F205" s="82" t="n"/>
      <c r="G205" s="5" t="n"/>
    </row>
    <row r="206" ht="15.75" customHeight="1" s="149">
      <c r="A206" s="5" t="n"/>
      <c r="B206" s="5" t="n"/>
      <c r="C206" s="5" t="n"/>
      <c r="D206" s="5" t="n"/>
      <c r="E206" s="5" t="n"/>
      <c r="F206" s="82" t="n"/>
      <c r="G206" s="5" t="n"/>
    </row>
    <row r="207" ht="15.75" customHeight="1" s="149">
      <c r="A207" s="5" t="n"/>
      <c r="B207" s="5" t="n"/>
      <c r="C207" s="5" t="n"/>
      <c r="D207" s="5" t="n"/>
      <c r="E207" s="5" t="n"/>
      <c r="F207" s="82" t="n"/>
      <c r="G207" s="5" t="n"/>
    </row>
    <row r="208" ht="15.75" customHeight="1" s="149">
      <c r="A208" s="5" t="n"/>
      <c r="B208" s="5" t="n"/>
      <c r="C208" s="5" t="n"/>
      <c r="D208" s="5" t="n"/>
      <c r="E208" s="5" t="n"/>
      <c r="F208" s="82" t="n"/>
      <c r="G208" s="5" t="n"/>
    </row>
    <row r="209" ht="15.75" customHeight="1" s="149">
      <c r="A209" s="5" t="n"/>
      <c r="B209" s="5" t="n"/>
      <c r="C209" s="5" t="n"/>
      <c r="D209" s="5" t="n"/>
      <c r="E209" s="5" t="n"/>
      <c r="F209" s="82" t="n"/>
      <c r="G209" s="5" t="n"/>
    </row>
    <row r="210" ht="15.75" customHeight="1" s="149">
      <c r="A210" s="5" t="n"/>
      <c r="B210" s="5" t="n"/>
      <c r="C210" s="5" t="n"/>
      <c r="D210" s="5" t="n"/>
      <c r="E210" s="5" t="n"/>
      <c r="F210" s="82" t="n"/>
      <c r="G210" s="5" t="n"/>
    </row>
    <row r="211" ht="15.75" customHeight="1" s="149">
      <c r="A211" s="5" t="n"/>
      <c r="B211" s="5" t="n"/>
      <c r="C211" s="5" t="n"/>
      <c r="D211" s="5" t="n"/>
      <c r="E211" s="5" t="n"/>
      <c r="F211" s="82" t="n"/>
      <c r="G211" s="5" t="n"/>
    </row>
    <row r="212" ht="15.75" customHeight="1" s="149">
      <c r="A212" s="5" t="n"/>
      <c r="B212" s="5" t="n"/>
      <c r="C212" s="5" t="n"/>
      <c r="D212" s="5" t="n"/>
      <c r="E212" s="5" t="n"/>
      <c r="F212" s="82" t="n"/>
      <c r="G212" s="5" t="n"/>
    </row>
    <row r="213" ht="15.75" customHeight="1" s="149">
      <c r="A213" s="5" t="n"/>
      <c r="B213" s="5" t="n"/>
      <c r="C213" s="5" t="n"/>
      <c r="D213" s="5" t="n"/>
      <c r="E213" s="5" t="n"/>
      <c r="F213" s="82" t="n"/>
      <c r="G213" s="5" t="n"/>
    </row>
    <row r="214" ht="15.75" customHeight="1" s="149">
      <c r="A214" s="5" t="n"/>
      <c r="B214" s="5" t="n"/>
      <c r="C214" s="5" t="n"/>
      <c r="D214" s="5" t="n"/>
      <c r="E214" s="5" t="n"/>
      <c r="F214" s="82" t="n"/>
      <c r="G214" s="5" t="n"/>
    </row>
    <row r="215" ht="15.75" customHeight="1" s="149">
      <c r="A215" s="5" t="n"/>
      <c r="B215" s="5" t="n"/>
      <c r="C215" s="5" t="n"/>
      <c r="D215" s="5" t="n"/>
      <c r="E215" s="5" t="n"/>
      <c r="F215" s="82" t="n"/>
      <c r="G215" s="5" t="n"/>
    </row>
    <row r="216" ht="15.75" customHeight="1" s="149">
      <c r="A216" s="5" t="n"/>
      <c r="B216" s="5" t="n"/>
      <c r="C216" s="5" t="n"/>
      <c r="D216" s="5" t="n"/>
      <c r="E216" s="5" t="n"/>
      <c r="F216" s="82" t="n"/>
      <c r="G216" s="5" t="n"/>
    </row>
    <row r="217" ht="15.75" customHeight="1" s="149">
      <c r="A217" s="5" t="n"/>
      <c r="B217" s="5" t="n"/>
      <c r="C217" s="5" t="n"/>
      <c r="D217" s="5" t="n"/>
      <c r="E217" s="5" t="n"/>
      <c r="F217" s="82" t="n"/>
      <c r="G217" s="5" t="n"/>
    </row>
    <row r="218" ht="15.75" customHeight="1" s="149">
      <c r="A218" s="5" t="n"/>
      <c r="B218" s="5" t="n"/>
      <c r="C218" s="5" t="n"/>
      <c r="D218" s="5" t="n"/>
      <c r="E218" s="5" t="n"/>
      <c r="F218" s="82" t="n"/>
      <c r="G218" s="5" t="n"/>
    </row>
    <row r="219" ht="15.75" customHeight="1" s="149">
      <c r="A219" s="5" t="n"/>
      <c r="B219" s="5" t="n"/>
      <c r="C219" s="5" t="n"/>
      <c r="D219" s="5" t="n"/>
      <c r="E219" s="5" t="n"/>
      <c r="F219" s="82" t="n"/>
      <c r="G219" s="5" t="n"/>
    </row>
    <row r="220" ht="15.75" customHeight="1" s="149">
      <c r="A220" s="5" t="n"/>
      <c r="B220" s="5" t="n"/>
      <c r="C220" s="5" t="n"/>
      <c r="D220" s="5" t="n"/>
      <c r="E220" s="5" t="n"/>
      <c r="F220" s="82" t="n"/>
      <c r="G220" s="5" t="n"/>
    </row>
    <row r="221" ht="15.75" customHeight="1" s="149">
      <c r="A221" s="5" t="n"/>
      <c r="B221" s="5" t="n"/>
      <c r="C221" s="5" t="n"/>
      <c r="D221" s="5" t="n"/>
      <c r="E221" s="5" t="n"/>
      <c r="F221" s="82" t="n"/>
      <c r="G221" s="5" t="n"/>
    </row>
    <row r="222" ht="15.75" customHeight="1" s="149">
      <c r="A222" s="5" t="n"/>
      <c r="B222" s="5" t="n"/>
      <c r="C222" s="5" t="n"/>
      <c r="D222" s="5" t="n"/>
      <c r="E222" s="5" t="n"/>
      <c r="F222" s="82" t="n"/>
      <c r="G222" s="5" t="n"/>
    </row>
    <row r="223" ht="15.75" customHeight="1" s="149">
      <c r="A223" s="5" t="n"/>
      <c r="B223" s="5" t="n"/>
      <c r="C223" s="5" t="n"/>
      <c r="D223" s="5" t="n"/>
      <c r="E223" s="5" t="n"/>
      <c r="F223" s="82" t="n"/>
      <c r="G223" s="5" t="n"/>
    </row>
    <row r="224" ht="15.75" customHeight="1" s="149">
      <c r="A224" s="5" t="n"/>
      <c r="B224" s="5" t="n"/>
      <c r="C224" s="5" t="n"/>
      <c r="D224" s="5" t="n"/>
      <c r="E224" s="5" t="n"/>
      <c r="F224" s="82" t="n"/>
      <c r="G224" s="5" t="n"/>
    </row>
    <row r="225" ht="15.75" customHeight="1" s="149">
      <c r="A225" s="5" t="n"/>
      <c r="B225" s="5" t="n"/>
      <c r="C225" s="5" t="n"/>
      <c r="D225" s="5" t="n"/>
      <c r="E225" s="5" t="n"/>
      <c r="F225" s="82" t="n"/>
      <c r="G225" s="5" t="n"/>
    </row>
    <row r="226" ht="15.75" customHeight="1" s="149">
      <c r="A226" s="5" t="n"/>
      <c r="B226" s="5" t="n"/>
      <c r="C226" s="5" t="n"/>
      <c r="D226" s="5" t="n"/>
      <c r="E226" s="5" t="n"/>
      <c r="F226" s="5" t="n"/>
      <c r="G226" s="5" t="n"/>
    </row>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22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3"/>
    <col width="31.14" customWidth="1" style="149" min="4" max="4"/>
    <col width="20" customWidth="1" style="149" min="5" max="5"/>
    <col hidden="1" width="28" customWidth="1" style="149" min="6" max="6"/>
    <col width="44" customWidth="1" style="149" min="7" max="7"/>
  </cols>
  <sheetData>
    <row r="1">
      <c r="A1" s="168" t="inlineStr">
        <is>
          <t>NUR234  ·  Review videos (SimpleNursing, LevelUpRN)</t>
        </is>
      </c>
    </row>
    <row r="2">
      <c r="A2" s="10" t="inlineStr">
        <is>
          <t>NUR234</t>
        </is>
      </c>
      <c r="B2" s="12" t="inlineStr">
        <is>
          <t>NUR235</t>
        </is>
      </c>
      <c r="C2" s="12" t="inlineStr">
        <is>
          <t>NUR258</t>
        </is>
      </c>
      <c r="D2" s="13" t="inlineStr">
        <is>
          <t>🏠 START HERE</t>
        </is>
      </c>
      <c r="E2" s="15" t="inlineStr">
        <is>
          <t>📥 Sort me</t>
        </is>
      </c>
      <c r="F2" s="16" t="n"/>
      <c r="G2" s="16" t="n"/>
    </row>
    <row r="3">
      <c r="A3" s="19" t="inlineStr">
        <is>
          <t>Kaiser</t>
        </is>
      </c>
      <c r="B3" s="19" t="inlineStr">
        <is>
          <t>Buhler</t>
        </is>
      </c>
      <c r="C3" s="19" t="inlineStr">
        <is>
          <t>Glesner</t>
        </is>
      </c>
      <c r="D3" s="19" t="inlineStr">
        <is>
          <t>Exams</t>
        </is>
      </c>
      <c r="E3" s="19">
        <f>HYPERLINK('START HERE'!$B$36,"Zoom")</f>
        <v/>
      </c>
      <c r="F3" s="21" t="inlineStr">
        <is>
          <t>Review videos</t>
        </is>
      </c>
      <c r="G3" s="16" t="n"/>
    </row>
    <row r="4">
      <c r="A4" s="16" t="n"/>
      <c r="B4" s="16" t="n"/>
      <c r="C4" s="16" t="n"/>
      <c r="D4" s="16" t="n"/>
      <c r="E4" s="16" t="n"/>
      <c r="F4" s="16" t="n"/>
      <c r="G4" s="16" t="n"/>
    </row>
    <row r="5">
      <c r="A5" s="170" t="inlineStr">
        <is>
          <t>Module</t>
        </is>
      </c>
      <c r="B5" s="170" t="inlineStr">
        <is>
          <t>Day</t>
        </is>
      </c>
      <c r="C5" s="170" t="inlineStr">
        <is>
          <t>Date</t>
        </is>
      </c>
      <c r="D5" s="170" t="inlineStr">
        <is>
          <t>Lecturer</t>
        </is>
      </c>
      <c r="E5" s="170" t="inlineStr">
        <is>
          <t>Recording</t>
        </is>
      </c>
      <c r="F5" s="170" t="inlineStr">
        <is>
          <t>File</t>
        </is>
      </c>
      <c r="G5" s="170" t="inlineStr">
        <is>
          <t>Notes</t>
        </is>
      </c>
    </row>
    <row r="6">
      <c r="A6" s="171" t="inlineStr">
        <is>
          <t>Module 4</t>
        </is>
      </c>
      <c r="B6" s="171" t="n"/>
      <c r="C6" s="172" t="inlineStr">
        <is>
          <t>Fall 2026</t>
        </is>
      </c>
      <c r="D6" s="172" t="inlineStr">
        <is>
          <t>SimpleNursing</t>
        </is>
      </c>
      <c r="E6" s="173">
        <f>HYPERLINK("https://drive.google.com/file/d/1pgU5LoYTYvekWGEAVDc_FM2V9a9vZt3R/view","▶  Watch")</f>
        <v/>
      </c>
      <c r="F6" s="172" t="inlineStr">
        <is>
          <t>NUR234_Fall2026_SimpleNursing_Wk04_DayNA_Prenatal.mp4</t>
        </is>
      </c>
      <c r="G6" s="172" t="inlineStr">
        <is>
          <t>Prenatal</t>
        </is>
      </c>
    </row>
    <row r="7">
      <c r="A7" s="174" t="inlineStr">
        <is>
          <t>Module 4</t>
        </is>
      </c>
      <c r="B7" s="174" t="n"/>
      <c r="C7" s="175" t="inlineStr">
        <is>
          <t>Fall 2026</t>
        </is>
      </c>
      <c r="D7" s="175" t="inlineStr">
        <is>
          <t>LevelUpRN</t>
        </is>
      </c>
      <c r="E7" s="176">
        <f>HYPERLINK("https://drive.google.com/file/d/15yBK_X6MeGMRWjqwMyAbB5HKeTWhp6HD/view","▶  Watch")</f>
        <v/>
      </c>
      <c r="F7" s="175" t="inlineStr">
        <is>
          <t>NUR234_Fall2026_LevelUpRN_Wk04_DayNA_Pregnancy assessment.mp4</t>
        </is>
      </c>
      <c r="G7" s="175" t="inlineStr">
        <is>
          <t>Pregnancy assessment (signs of pregnancy), 16 min</t>
        </is>
      </c>
    </row>
    <row r="8">
      <c r="A8" s="171" t="inlineStr">
        <is>
          <t>Module 6</t>
        </is>
      </c>
      <c r="B8" s="171" t="n"/>
      <c r="C8" s="172" t="inlineStr">
        <is>
          <t>Fall 2026</t>
        </is>
      </c>
      <c r="D8" s="172" t="inlineStr">
        <is>
          <t>SimpleNursing</t>
        </is>
      </c>
      <c r="E8" s="173">
        <f>HYPERLINK("https://drive.google.com/file/d/1Dwm50ylx3yz3EJ0-N0SvmogUF0yAlUqQ/view","▶  Watch")</f>
        <v/>
      </c>
      <c r="F8" s="172" t="inlineStr">
        <is>
          <t>NUR234_Fall2026_SimpleNursing_Wk06_DayNA_Labor and stages of labor.mp4</t>
        </is>
      </c>
      <c r="G8" s="172" t="inlineStr">
        <is>
          <t>Labor and stages of labor</t>
        </is>
      </c>
    </row>
    <row r="9">
      <c r="A9" s="174" t="inlineStr">
        <is>
          <t>Module 6</t>
        </is>
      </c>
      <c r="B9" s="174" t="n"/>
      <c r="C9" s="175" t="inlineStr">
        <is>
          <t>Fall 2026</t>
        </is>
      </c>
      <c r="D9" s="175" t="inlineStr">
        <is>
          <t>SimpleNursing</t>
        </is>
      </c>
      <c r="E9" s="176">
        <f>HYPERLINK("https://drive.google.com/file/d/1Xp6_wp80JrWMVY9e_xGbJXNq6Z3MxWJE/view","▶  Watch")</f>
        <v/>
      </c>
      <c r="F9" s="175" t="inlineStr">
        <is>
          <t>NUR234_Fall2026_SimpleNursing_Wk06_DayNA_Five Ps of labor.mp4</t>
        </is>
      </c>
      <c r="G9" s="175" t="inlineStr">
        <is>
          <t>Five Ps of labor</t>
        </is>
      </c>
    </row>
    <row r="10">
      <c r="A10" s="171" t="inlineStr">
        <is>
          <t>Module 7</t>
        </is>
      </c>
      <c r="B10" s="171" t="n"/>
      <c r="C10" s="172" t="inlineStr">
        <is>
          <t>Fall 2026</t>
        </is>
      </c>
      <c r="D10" s="172" t="inlineStr">
        <is>
          <t>SimpleNursing</t>
        </is>
      </c>
      <c r="E10" s="173">
        <f>HYPERLINK("https://drive.google.com/file/d/1IoL267vfSN-P_Qj-gcKphpQjz0xIdieX/view","▶  Watch")</f>
        <v/>
      </c>
      <c r="F10" s="172" t="inlineStr">
        <is>
          <t>NUR234_Fall2026_SimpleNursing_Wk07_DayNA_Labor pain relief - non-drug, epidural, spinal, opioids.mp4</t>
        </is>
      </c>
      <c r="G10" s="172" t="inlineStr">
        <is>
          <t>Labor pain relief - non-drug, epidural, spinal, opioids</t>
        </is>
      </c>
    </row>
    <row r="11">
      <c r="A11" s="174" t="inlineStr">
        <is>
          <t>Module 7</t>
        </is>
      </c>
      <c r="B11" s="174" t="n"/>
      <c r="C11" s="175" t="inlineStr">
        <is>
          <t>Fall 2026</t>
        </is>
      </c>
      <c r="D11" s="175" t="inlineStr">
        <is>
          <t>SimpleNursing</t>
        </is>
      </c>
      <c r="E11" s="176">
        <f>HYPERLINK("https://drive.google.com/file/d/1cLgtL-Hul0dvxCPtgG9ZpQVjaBNqoIP9/view","▶  Watch")</f>
        <v/>
      </c>
      <c r="F11" s="175" t="inlineStr">
        <is>
          <t>NUR234_Fall2026_SimpleNursing_Wk07_DayNA_Fetal heart rate monitoring (long capture - the middle may repeat).mp4</t>
        </is>
      </c>
      <c r="G11" s="175" t="inlineStr">
        <is>
          <t>Fetal heart rate monitoring - long capture; from about 10 to 34 min the transcript repeats one line, and it ends with 3 min of silence</t>
        </is>
      </c>
    </row>
    <row r="12">
      <c r="A12" s="171" t="inlineStr">
        <is>
          <t>Module 10</t>
        </is>
      </c>
      <c r="B12" s="171" t="n"/>
      <c r="C12" s="172" t="inlineStr">
        <is>
          <t>Fall 2026</t>
        </is>
      </c>
      <c r="D12" s="172" t="inlineStr">
        <is>
          <t>SimpleNursing</t>
        </is>
      </c>
      <c r="E12" s="173">
        <f>HYPERLINK("https://drive.google.com/file/d/13OolTf_iJ-_ALn0BVFwxRFac838sZsTB/view","▶  Watch")</f>
        <v/>
      </c>
      <c r="F12" s="172" t="inlineStr">
        <is>
          <t>NUR234_Fall2026_SimpleNursing_Wk10_DayNA_Labor drugs, amniotomy, forceps and vacuum, Bishop score.mp4</t>
        </is>
      </c>
      <c r="G12" s="172" t="inlineStr">
        <is>
          <t>Labor drugs, amniotomy, forceps and vacuum, Bishop score</t>
        </is>
      </c>
    </row>
    <row r="13">
      <c r="A13" s="174" t="inlineStr">
        <is>
          <t>Module 10</t>
        </is>
      </c>
      <c r="B13" s="174" t="n"/>
      <c r="C13" s="175" t="inlineStr">
        <is>
          <t>Fall 2026</t>
        </is>
      </c>
      <c r="D13" s="175" t="inlineStr">
        <is>
          <t>SimpleNursing</t>
        </is>
      </c>
      <c r="E13" s="176">
        <f>HYPERLINK("https://drive.google.com/file/d/1j6dNqG8xues184G5jE2QUj5tCIHQzknT/view","▶  Watch")</f>
        <v/>
      </c>
      <c r="F13" s="175" t="inlineStr">
        <is>
          <t>NUR234_Fall2026_SimpleNursing_Wk10_DayNA_Cesarean birth.mp4</t>
        </is>
      </c>
      <c r="G13" s="175" t="inlineStr">
        <is>
          <t>Cesarean birth</t>
        </is>
      </c>
    </row>
    <row r="14">
      <c r="A14" s="171" t="inlineStr">
        <is>
          <t>Module 10</t>
        </is>
      </c>
      <c r="B14" s="171" t="n"/>
      <c r="C14" s="172" t="inlineStr">
        <is>
          <t>Fall 2026</t>
        </is>
      </c>
      <c r="D14" s="172" t="inlineStr">
        <is>
          <t>SimpleNursing</t>
        </is>
      </c>
      <c r="E14" s="173">
        <f>HYPERLINK("https://drive.google.com/file/d/1lHL8EV4Begdl4Zqngs3okBa-97ZJobZr/view","▶  Watch")</f>
        <v/>
      </c>
      <c r="F14" s="172" t="inlineStr">
        <is>
          <t>NUR234_Fall2026_SimpleNursing_Wk10_DayNA_Preterm labor - cerclage, tocolytics, betamethasone, magnesium.mp4</t>
        </is>
      </c>
      <c r="G14" s="172" t="inlineStr">
        <is>
          <t>Preterm labor - cerclage, tocolytics, betamethasone, magnesium</t>
        </is>
      </c>
    </row>
    <row r="15">
      <c r="A15" s="174" t="inlineStr">
        <is>
          <t>Module 10</t>
        </is>
      </c>
      <c r="B15" s="174" t="n"/>
      <c r="C15" s="175" t="inlineStr">
        <is>
          <t>Fall 2026</t>
        </is>
      </c>
      <c r="D15" s="175" t="inlineStr">
        <is>
          <t>SimpleNursing</t>
        </is>
      </c>
      <c r="E15" s="176">
        <f>HYPERLINK("https://drive.google.com/file/d/15j79_TUzZoaDp-Ag766C-0crr7W7jLJ_/view","▶  Watch")</f>
        <v/>
      </c>
      <c r="F15" s="175" t="inlineStr">
        <is>
          <t>NUR234_Fall2026_SimpleNursing_Wk10_DayNA_PROM and amniotomy.mp4</t>
        </is>
      </c>
      <c r="G15" s="175" t="inlineStr">
        <is>
          <t>PROM and amniotomy</t>
        </is>
      </c>
    </row>
    <row r="16">
      <c r="A16" s="171" t="inlineStr">
        <is>
          <t>Module 10</t>
        </is>
      </c>
      <c r="B16" s="171" t="n"/>
      <c r="C16" s="172" t="inlineStr">
        <is>
          <t>Fall 2026</t>
        </is>
      </c>
      <c r="D16" s="172" t="inlineStr">
        <is>
          <t>SimpleNursing</t>
        </is>
      </c>
      <c r="E16" s="173">
        <f>HYPERLINK("https://drive.google.com/file/d/1lCViTFE-CQHkPl_uGvYD8wetuimhHK_H/view","▶  Watch")</f>
        <v/>
      </c>
      <c r="F16" s="172" t="inlineStr">
        <is>
          <t>NUR234_Fall2026_SimpleNursing_Wk10_DayNA_Labor complications - amniotic fluid embolism, dystocia, uterine inversion, cord prolapse, DIC.mp4</t>
        </is>
      </c>
      <c r="G16" s="172" t="inlineStr">
        <is>
          <t>Labor complications - amniotic fluid embolism, dystocia, uterine inversion, cord prolapse, DIC</t>
        </is>
      </c>
    </row>
    <row r="17">
      <c r="A17" s="174" t="inlineStr">
        <is>
          <t>Module 11</t>
        </is>
      </c>
      <c r="B17" s="174" t="n"/>
      <c r="C17" s="175" t="inlineStr">
        <is>
          <t>Fall 2026</t>
        </is>
      </c>
      <c r="D17" s="175" t="inlineStr">
        <is>
          <t>SimpleNursing</t>
        </is>
      </c>
      <c r="E17" s="176">
        <f>HYPERLINK("https://drive.google.com/file/d/1hqFdx6DfX1FNsug1FdXKFebdLC4zZTrb/view","▶  Watch")</f>
        <v/>
      </c>
      <c r="F17" s="175" t="inlineStr">
        <is>
          <t>NUR234_Fall2026_SimpleNursing_Wk11_DayNA_Postpartum.mp4</t>
        </is>
      </c>
      <c r="G17" s="175" t="inlineStr">
        <is>
          <t>Postpartum</t>
        </is>
      </c>
    </row>
    <row r="18">
      <c r="A18" s="171" t="inlineStr">
        <is>
          <t>Module 12</t>
        </is>
      </c>
      <c r="B18" s="171" t="n"/>
      <c r="C18" s="172" t="inlineStr">
        <is>
          <t>Fall 2026</t>
        </is>
      </c>
      <c r="D18" s="172" t="inlineStr">
        <is>
          <t>SimpleNursing</t>
        </is>
      </c>
      <c r="E18" s="173">
        <f>HYPERLINK("https://drive.google.com/file/d/1l5inYotFOxhEOwvsRSncGTmku7GByYKv/view","▶  Watch")</f>
        <v/>
      </c>
      <c r="F18" s="172" t="inlineStr">
        <is>
          <t>NUR234_Fall2026_SimpleNursing_Wk12_DayNA_Apgar score.mp4</t>
        </is>
      </c>
      <c r="G18" s="172" t="inlineStr">
        <is>
          <t>Apgar score</t>
        </is>
      </c>
    </row>
    <row r="19">
      <c r="A19" s="174" t="inlineStr">
        <is>
          <t>Module 12</t>
        </is>
      </c>
      <c r="B19" s="174" t="n"/>
      <c r="C19" s="175" t="inlineStr">
        <is>
          <t>Fall 2026</t>
        </is>
      </c>
      <c r="D19" s="175" t="inlineStr">
        <is>
          <t>SimpleNursing</t>
        </is>
      </c>
      <c r="E19" s="176">
        <f>HYPERLINK("https://drive.google.com/file/d/1Y_1xWzwdinS7RCrfBEEs47yUyj7_AZfF/view","▶  Watch")</f>
        <v/>
      </c>
      <c r="F19" s="175" t="inlineStr">
        <is>
          <t>NUR234_Fall2026_SimpleNursing_Wk12_DayNA_Newborn circumcision care.mp4</t>
        </is>
      </c>
      <c r="G19" s="175" t="inlineStr">
        <is>
          <t>Newborn circumcision care</t>
        </is>
      </c>
    </row>
    <row r="20">
      <c r="A20" s="171" t="inlineStr">
        <is>
          <t>Module 12</t>
        </is>
      </c>
      <c r="B20" s="171" t="n"/>
      <c r="C20" s="172" t="inlineStr">
        <is>
          <t>Fall 2026</t>
        </is>
      </c>
      <c r="D20" s="172" t="inlineStr">
        <is>
          <t>SimpleNursing</t>
        </is>
      </c>
      <c r="E20" s="173">
        <f>HYPERLINK("https://drive.google.com/file/d/1Xw8W4M3TOLJimC7O_70LIj_6B2lxNPvn/view","▶  Watch")</f>
        <v/>
      </c>
      <c r="F20" s="172" t="inlineStr">
        <is>
          <t>NUR234_Fall2026_SimpleNursing_Wk12_DayNA_Neonatal resuscitation (NRP) and infant CPR.mp4</t>
        </is>
      </c>
      <c r="G20" s="172" t="inlineStr">
        <is>
          <t>Neonatal resuscitation (NRP) and infant CPR</t>
        </is>
      </c>
    </row>
    <row r="21" ht="15.75" customHeight="1" s="149">
      <c r="A21" s="174" t="inlineStr">
        <is>
          <t>Module 12</t>
        </is>
      </c>
      <c r="B21" s="174" t="n"/>
      <c r="C21" s="175" t="inlineStr">
        <is>
          <t>Fall 2026</t>
        </is>
      </c>
      <c r="D21" s="175" t="inlineStr">
        <is>
          <t>SimpleNursing</t>
        </is>
      </c>
      <c r="E21" s="176">
        <f>HYPERLINK("https://drive.google.com/file/d/1PYtV-0SRsk62ByK-ISfXw_F4zn4m6vvm/view","▶  Watch")</f>
        <v/>
      </c>
      <c r="F21" s="175" t="inlineStr">
        <is>
          <t>NUR234_Fall2026_SimpleNursing_Wk12_DayNA_Newborn assessment - head to toe, vital signs, reflexes.mp4</t>
        </is>
      </c>
      <c r="G21" s="175" t="inlineStr">
        <is>
          <t>Newborn assessment - head to toe, vital signs, reflexes</t>
        </is>
      </c>
    </row>
    <row r="22" ht="15.75" customHeight="1" s="149">
      <c r="A22" s="171" t="inlineStr">
        <is>
          <t>Module 13</t>
        </is>
      </c>
      <c r="B22" s="171" t="n"/>
      <c r="C22" s="172" t="inlineStr">
        <is>
          <t>Fall 2026</t>
        </is>
      </c>
      <c r="D22" s="172" t="inlineStr">
        <is>
          <t>SimpleNursing</t>
        </is>
      </c>
      <c r="E22" s="173">
        <f>HYPERLINK("https://drive.google.com/file/d/1QtlaEToar2eiKv3807xb1JJySdHOwLDF/view","▶  Watch")</f>
        <v/>
      </c>
      <c r="F22" s="172" t="inlineStr">
        <is>
          <t>NUR234_Fall2026_SimpleNursing_Wk13_DayNA_Infant parent teaching - growth, feeding, safety, GERD, cord care.mp4</t>
        </is>
      </c>
      <c r="G22" s="172" t="inlineStr">
        <is>
          <t>Infant parent teaching - growth, feeding, safety, GERD, cord care</t>
        </is>
      </c>
    </row>
    <row r="23" ht="15.75" customHeight="1" s="149">
      <c r="A23" s="174" t="inlineStr">
        <is>
          <t>Module 14</t>
        </is>
      </c>
      <c r="B23" s="174" t="n"/>
      <c r="C23" s="175" t="inlineStr">
        <is>
          <t>Fall 2026</t>
        </is>
      </c>
      <c r="D23" s="175" t="inlineStr">
        <is>
          <t>SimpleNursing</t>
        </is>
      </c>
      <c r="E23" s="176">
        <f>HYPERLINK("https://drive.google.com/file/d/1f_zRVwX1ESPiNw9NP_EnJ0Aua03stm3G/view","▶  Watch")</f>
        <v/>
      </c>
      <c r="F23" s="175" t="inlineStr">
        <is>
          <t>NUR234_Fall2026_SimpleNursing_Wk14_DayNA_High-risk newborn - jaundice, hypothermia, hypoglycemia, preterm, infection.mp4</t>
        </is>
      </c>
      <c r="G23" s="175" t="inlineStr">
        <is>
          <t>High-risk newborn - jaundice, hypothermia, hypoglycemia, preterm, infection</t>
        </is>
      </c>
    </row>
    <row r="24" ht="15.75" customHeight="1" s="149">
      <c r="A24" s="171" t="n"/>
      <c r="B24" s="171" t="n"/>
      <c r="C24" s="172" t="n"/>
      <c r="D24" s="172" t="n"/>
      <c r="E24" s="180" t="n"/>
      <c r="F24" s="172" t="n"/>
      <c r="G24" s="172" t="n"/>
    </row>
    <row r="25" ht="15.75" customHeight="1" s="149">
      <c r="A25" s="174" t="n"/>
      <c r="B25" s="174" t="n"/>
      <c r="C25" s="175" t="n"/>
      <c r="D25" s="175" t="n"/>
      <c r="E25" s="179" t="n"/>
      <c r="F25" s="175" t="n"/>
      <c r="G25" s="175" t="n"/>
    </row>
    <row r="26" ht="15.75" customHeight="1" s="149">
      <c r="A26" s="171" t="n"/>
      <c r="B26" s="171" t="n"/>
      <c r="C26" s="172" t="n"/>
      <c r="D26" s="172" t="n"/>
      <c r="E26" s="180" t="n"/>
      <c r="F26" s="172" t="n"/>
      <c r="G26" s="172" t="n"/>
    </row>
    <row r="27" ht="15.75" customHeight="1" s="149">
      <c r="A27" s="174" t="n"/>
      <c r="B27" s="174" t="n"/>
      <c r="C27" s="175" t="n"/>
      <c r="D27" s="175" t="n"/>
      <c r="E27" s="179" t="n"/>
      <c r="F27" s="175" t="n"/>
      <c r="G27" s="175" t="n"/>
    </row>
    <row r="28" ht="15.75" customHeight="1" s="149">
      <c r="A28" s="171" t="n"/>
      <c r="B28" s="171" t="n"/>
      <c r="C28" s="172" t="n"/>
      <c r="D28" s="172" t="n"/>
      <c r="E28" s="180" t="n"/>
      <c r="F28" s="172" t="n"/>
      <c r="G28" s="172" t="n"/>
    </row>
    <row r="29" ht="15.75" customHeight="1" s="149">
      <c r="A29" s="174" t="n"/>
      <c r="B29" s="174" t="n"/>
      <c r="C29" s="175" t="n"/>
      <c r="D29" s="175" t="n"/>
      <c r="E29" s="179" t="n"/>
      <c r="F29" s="175" t="n"/>
      <c r="G29" s="175" t="n"/>
    </row>
    <row r="30" ht="15.75" customHeight="1" s="149">
      <c r="A30" s="171" t="n"/>
      <c r="B30" s="171" t="n"/>
      <c r="C30" s="172" t="n"/>
      <c r="D30" s="172" t="n"/>
      <c r="E30" s="180" t="n"/>
      <c r="F30" s="172" t="n"/>
      <c r="G30" s="172" t="n"/>
    </row>
    <row r="31" ht="15.75" customHeight="1" s="149">
      <c r="A31" s="174" t="n"/>
      <c r="B31" s="174" t="n"/>
      <c r="C31" s="175" t="n"/>
      <c r="D31" s="175" t="n"/>
      <c r="E31" s="179" t="n"/>
      <c r="F31" s="175" t="n"/>
      <c r="G31" s="175" t="n"/>
    </row>
    <row r="32" ht="15.75" customHeight="1" s="149">
      <c r="A32" s="171" t="n"/>
      <c r="B32" s="171" t="n"/>
      <c r="C32" s="172" t="n"/>
      <c r="D32" s="172" t="n"/>
      <c r="E32" s="180" t="n"/>
      <c r="F32" s="172" t="n"/>
      <c r="G32" s="172" t="n"/>
    </row>
    <row r="33" ht="15.75" customHeight="1" s="149">
      <c r="A33" s="174" t="n"/>
      <c r="B33" s="174" t="n"/>
      <c r="C33" s="175" t="n"/>
      <c r="D33" s="175" t="n"/>
      <c r="E33" s="179" t="n"/>
      <c r="F33" s="175" t="n"/>
      <c r="G33" s="175" t="n"/>
    </row>
    <row r="34" ht="15.75" customHeight="1" s="149">
      <c r="A34" s="172" t="n"/>
      <c r="B34" s="172" t="n"/>
      <c r="C34" s="172" t="n"/>
      <c r="D34" s="172" t="n"/>
      <c r="E34" s="172" t="n"/>
      <c r="F34" s="172" t="n"/>
      <c r="G34" s="172" t="n"/>
    </row>
    <row r="35" ht="15.75" customHeight="1" s="149">
      <c r="A35" s="175" t="n"/>
      <c r="B35" s="175" t="n"/>
      <c r="C35" s="175" t="n"/>
      <c r="D35" s="175" t="n"/>
      <c r="E35" s="175" t="n"/>
      <c r="F35" s="175" t="n"/>
      <c r="G35" s="175" t="n"/>
    </row>
    <row r="36" ht="15.75" customHeight="1" s="149">
      <c r="A36" s="172" t="n"/>
      <c r="B36" s="172" t="n"/>
      <c r="C36" s="172" t="n"/>
      <c r="D36" s="172" t="n"/>
      <c r="E36" s="172" t="n"/>
      <c r="F36" s="172" t="n"/>
      <c r="G36" s="172" t="n"/>
    </row>
    <row r="37" ht="15.75" customHeight="1" s="149">
      <c r="A37" s="175" t="n"/>
      <c r="B37" s="175" t="n"/>
      <c r="C37" s="175" t="n"/>
      <c r="D37" s="175" t="n"/>
      <c r="E37" s="175" t="n"/>
      <c r="F37" s="175" t="n"/>
      <c r="G37" s="175" t="n"/>
    </row>
    <row r="38" ht="15.75" customHeight="1" s="149">
      <c r="A38" s="172" t="n"/>
      <c r="B38" s="172" t="n"/>
      <c r="C38" s="172" t="n"/>
      <c r="D38" s="172" t="n"/>
      <c r="E38" s="172" t="n"/>
      <c r="F38" s="172" t="n"/>
      <c r="G38" s="172" t="n"/>
    </row>
    <row r="39" ht="15.75" customHeight="1" s="149">
      <c r="A39" s="71" t="n"/>
      <c r="B39" s="71" t="n"/>
      <c r="C39" s="71" t="n"/>
      <c r="D39" s="71" t="n"/>
      <c r="E39" s="71" t="n"/>
      <c r="F39" s="71" t="n"/>
      <c r="G39" s="71" t="n"/>
    </row>
    <row r="40" ht="15.75" customHeight="1" s="149">
      <c r="A40" s="5" t="n"/>
      <c r="B40" s="5" t="n"/>
      <c r="C40" s="5" t="n"/>
      <c r="D40" s="5" t="n"/>
      <c r="E40" s="5" t="n"/>
      <c r="F40" s="5" t="n"/>
      <c r="G40" s="5" t="n"/>
    </row>
    <row r="41" ht="15.75" customHeight="1" s="149">
      <c r="A41" s="5" t="n"/>
      <c r="B41" s="5" t="n"/>
      <c r="C41" s="5" t="n"/>
      <c r="D41" s="5" t="n"/>
      <c r="E41" s="5" t="n"/>
      <c r="F41" s="5" t="n"/>
      <c r="G41" s="5" t="n"/>
    </row>
    <row r="42" ht="15.75" customHeight="1" s="149">
      <c r="A42" s="5" t="n"/>
      <c r="B42" s="5" t="n"/>
      <c r="C42" s="5" t="n"/>
      <c r="D42" s="5" t="n"/>
      <c r="E42" s="5" t="n"/>
      <c r="F42" s="5" t="n"/>
      <c r="G42" s="5" t="n"/>
    </row>
    <row r="43" ht="15.75" customHeight="1" s="149">
      <c r="A43" s="5" t="n"/>
      <c r="B43" s="5" t="n"/>
      <c r="C43" s="5" t="n"/>
      <c r="D43" s="5" t="n"/>
      <c r="E43" s="5" t="n"/>
      <c r="F43" s="5" t="n"/>
      <c r="G43" s="5" t="n"/>
    </row>
    <row r="44" ht="15.75" customHeight="1" s="149">
      <c r="A44" s="5" t="n"/>
      <c r="B44" s="5" t="n"/>
      <c r="C44" s="5" t="n"/>
      <c r="D44" s="5" t="n"/>
      <c r="E44" s="5" t="n"/>
      <c r="F44" s="5" t="n"/>
      <c r="G44" s="5" t="n"/>
    </row>
    <row r="45" ht="15.75" customHeight="1" s="149">
      <c r="A45" s="5" t="n"/>
      <c r="B45" s="5" t="n"/>
      <c r="C45" s="5" t="n"/>
      <c r="D45" s="5" t="n"/>
      <c r="E45" s="5" t="n"/>
      <c r="F45" s="5" t="n"/>
      <c r="G45" s="5" t="n"/>
    </row>
    <row r="46" ht="15.75" customHeight="1" s="149">
      <c r="A46" s="5" t="n"/>
      <c r="B46" s="5" t="n"/>
      <c r="C46" s="5" t="n"/>
      <c r="D46" s="5" t="n"/>
      <c r="E46" s="5" t="n"/>
      <c r="F46" s="5" t="n"/>
      <c r="G46" s="5" t="n"/>
    </row>
    <row r="47" ht="15.75" customHeight="1" s="149">
      <c r="A47" s="5" t="n"/>
      <c r="B47" s="5" t="n"/>
      <c r="C47" s="5" t="n"/>
      <c r="D47" s="5" t="n"/>
      <c r="E47" s="5" t="n"/>
      <c r="F47" s="5" t="n"/>
      <c r="G47" s="5" t="n"/>
    </row>
    <row r="48" ht="15.75" customHeight="1" s="149">
      <c r="A48" s="5" t="n"/>
      <c r="B48" s="5" t="n"/>
      <c r="C48" s="5" t="n"/>
      <c r="D48" s="5" t="n"/>
      <c r="E48" s="5" t="n"/>
      <c r="F48" s="5" t="n"/>
      <c r="G48" s="5"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23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3"/>
    <col width="8.710000000000001" customWidth="1" style="149" min="4" max="4"/>
    <col width="20" customWidth="1" style="149" min="5" max="5"/>
    <col width="28" customWidth="1" style="149" min="6" max="6"/>
    <col width="44" customWidth="1" style="149" min="7" max="7"/>
  </cols>
  <sheetData>
    <row r="1">
      <c r="A1" s="83"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7" t="inlineStr">
        <is>
          <t>🏠 START HERE</t>
        </is>
      </c>
      <c r="E2" s="15" t="inlineStr">
        <is>
          <t>📥 Sort me</t>
        </is>
      </c>
      <c r="F2" s="16" t="n"/>
      <c r="G2" s="16"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7">
        <f>HYPERLINK('START HERE'!$B$36,"Zoom")</f>
        <v/>
      </c>
      <c r="F3" s="19" t="inlineStr">
        <is>
          <t>Review videos</t>
        </is>
      </c>
      <c r="G3" s="16"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6" t="n"/>
      <c r="B4" s="16" t="n"/>
      <c r="C4" s="16" t="n"/>
      <c r="D4" s="16" t="n"/>
      <c r="E4" s="16" t="n"/>
      <c r="F4" s="16" t="n"/>
      <c r="G4" s="16" t="n"/>
      <c r="H4" s="5" t="n"/>
      <c r="I4" s="5" t="n"/>
      <c r="J4" s="5" t="n"/>
      <c r="K4" s="5" t="n"/>
      <c r="L4" s="5" t="n"/>
      <c r="M4" s="5" t="n"/>
      <c r="N4" s="5" t="n"/>
      <c r="O4" s="5" t="n"/>
      <c r="P4" s="5" t="n"/>
      <c r="Q4" s="5" t="n"/>
      <c r="R4" s="5" t="n"/>
      <c r="S4" s="5" t="n"/>
      <c r="T4" s="5" t="n"/>
      <c r="U4" s="5" t="n"/>
      <c r="V4" s="5" t="n"/>
      <c r="W4" s="5" t="n"/>
      <c r="X4" s="5" t="n"/>
      <c r="Y4" s="5" t="n"/>
      <c r="Z4" s="5"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c r="H5" s="5" t="n"/>
      <c r="I5" s="5" t="n"/>
      <c r="J5" s="5" t="n"/>
      <c r="K5" s="5" t="n"/>
      <c r="L5" s="5" t="n"/>
      <c r="M5" s="5" t="n"/>
      <c r="N5" s="5" t="n"/>
      <c r="O5" s="5" t="n"/>
      <c r="P5" s="5" t="n"/>
      <c r="Q5" s="5" t="n"/>
      <c r="R5" s="5" t="n"/>
      <c r="S5" s="5" t="n"/>
      <c r="T5" s="5" t="n"/>
      <c r="U5" s="5" t="n"/>
      <c r="V5" s="5" t="n"/>
      <c r="W5" s="5" t="n"/>
      <c r="X5" s="5" t="n"/>
      <c r="Y5" s="5" t="n"/>
      <c r="Z5" s="5" t="n"/>
    </row>
    <row r="6">
      <c r="A6" s="185" t="inlineStr">
        <is>
          <t>Module 1</t>
        </is>
      </c>
      <c r="B6" s="185" t="inlineStr">
        <is>
          <t>Day 1</t>
        </is>
      </c>
      <c r="C6" s="186" t="inlineStr">
        <is>
          <t>Spring 2026</t>
        </is>
      </c>
      <c r="D6" s="186" t="inlineStr">
        <is>
          <t>Fadell</t>
        </is>
      </c>
      <c r="E6" s="187">
        <f>HYPERLINK("https://drive.google.com/file/d/1pdrIxvRlTvmP6KratKznradt22HLDzo1/view","▶  Watch")</f>
        <v/>
      </c>
      <c r="F6" s="186" t="inlineStr">
        <is>
          <t>NUR235 M1d1.mp4</t>
        </is>
      </c>
      <c r="G6" s="186"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188" t="inlineStr">
        <is>
          <t>Module 1</t>
        </is>
      </c>
      <c r="B7" s="188" t="inlineStr">
        <is>
          <t>Day 2</t>
        </is>
      </c>
      <c r="C7" s="189" t="inlineStr">
        <is>
          <t>Spring 2026</t>
        </is>
      </c>
      <c r="D7" s="189" t="inlineStr">
        <is>
          <t>Fadell</t>
        </is>
      </c>
      <c r="E7" s="190">
        <f>HYPERLINK("https://drive.google.com/file/d/16CuSniyXHzQ9ZFqCLcKE3p5Q4Q5oeyxS/view","▶  Watch")</f>
        <v/>
      </c>
      <c r="F7" s="189" t="inlineStr">
        <is>
          <t>NUR235 M1d2.mp4</t>
        </is>
      </c>
      <c r="G7" s="189"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185" t="inlineStr">
        <is>
          <t>Module 2</t>
        </is>
      </c>
      <c r="B8" s="185" t="inlineStr">
        <is>
          <t>Day 1</t>
        </is>
      </c>
      <c r="C8" s="186" t="inlineStr">
        <is>
          <t>Spring 2026</t>
        </is>
      </c>
      <c r="D8" s="186" t="inlineStr">
        <is>
          <t>Fadell</t>
        </is>
      </c>
      <c r="E8" s="187">
        <f>HYPERLINK("https://drive.google.com/file/d/1Q5517-Mrq2k7R3wP0PxYutd5G6FPN9cx/view","▶  Watch")</f>
        <v/>
      </c>
      <c r="F8" s="186" t="inlineStr">
        <is>
          <t>NUR235 M2d1.mp4</t>
        </is>
      </c>
      <c r="G8" s="191"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188" t="inlineStr">
        <is>
          <t>Module 2</t>
        </is>
      </c>
      <c r="B9" s="188" t="inlineStr">
        <is>
          <t>Day 2</t>
        </is>
      </c>
      <c r="C9" s="189" t="inlineStr">
        <is>
          <t>Spring 2026</t>
        </is>
      </c>
      <c r="D9" s="189" t="inlineStr">
        <is>
          <t>Fadell</t>
        </is>
      </c>
      <c r="E9" s="190">
        <f>HYPERLINK("https://drive.google.com/file/d/1QGoHeK_bKBeYzZq4vorX8dX8ZWt03EUh/view","▶  Watch")</f>
        <v/>
      </c>
      <c r="F9" s="189" t="inlineStr">
        <is>
          <t>NUR235 M2d2.mp4</t>
        </is>
      </c>
      <c r="G9" s="189"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185" t="inlineStr">
        <is>
          <t>Module 3</t>
        </is>
      </c>
      <c r="B10" s="185" t="inlineStr">
        <is>
          <t>Day 1</t>
        </is>
      </c>
      <c r="C10" s="186" t="inlineStr">
        <is>
          <t>Spring 2026</t>
        </is>
      </c>
      <c r="D10" s="186" t="inlineStr">
        <is>
          <t>Fadell</t>
        </is>
      </c>
      <c r="E10" s="187">
        <f>HYPERLINK("https://drive.google.com/file/d/14JFpgO_aAbyd7-U8h2MQg0daKpNZ76Zo/view","▶  Watch")</f>
        <v/>
      </c>
      <c r="F10" s="186" t="inlineStr">
        <is>
          <t>NUR235 M3d1.mp4</t>
        </is>
      </c>
      <c r="G10" s="186"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188" t="inlineStr">
        <is>
          <t>Module 3</t>
        </is>
      </c>
      <c r="B11" s="188" t="inlineStr">
        <is>
          <t>Day 2</t>
        </is>
      </c>
      <c r="C11" s="189" t="inlineStr">
        <is>
          <t>Spring 2026</t>
        </is>
      </c>
      <c r="D11" s="189" t="inlineStr">
        <is>
          <t>Fadell</t>
        </is>
      </c>
      <c r="E11" s="190">
        <f>HYPERLINK("https://drive.google.com/file/d/1k1EZ2L6NQIZhAcEQWpdLBFOIhAzVUMuV/view","▶  Watch")</f>
        <v/>
      </c>
      <c r="F11" s="189" t="inlineStr">
        <is>
          <t>NUR235 M3d2.mp4</t>
        </is>
      </c>
      <c r="G11" s="189"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185" t="inlineStr">
        <is>
          <t>Module 4</t>
        </is>
      </c>
      <c r="B12" s="185" t="inlineStr">
        <is>
          <t>Day 1</t>
        </is>
      </c>
      <c r="C12" s="186" t="inlineStr">
        <is>
          <t>Spring 2026</t>
        </is>
      </c>
      <c r="D12" s="186" t="inlineStr">
        <is>
          <t>Fadell</t>
        </is>
      </c>
      <c r="E12" s="187">
        <f>HYPERLINK("https://drive.google.com/file/d/1b5bege6Dfibd8Ep1josxjnccr0sqen9l/view","▶  Watch")</f>
        <v/>
      </c>
      <c r="F12" s="186" t="inlineStr">
        <is>
          <t>NUR235 M4d1.mp4</t>
        </is>
      </c>
      <c r="G12" s="186"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188" t="inlineStr">
        <is>
          <t>Module 4</t>
        </is>
      </c>
      <c r="B13" s="188" t="inlineStr">
        <is>
          <t>Day 2</t>
        </is>
      </c>
      <c r="C13" s="189" t="inlineStr">
        <is>
          <t>Spring 2026</t>
        </is>
      </c>
      <c r="D13" s="189" t="inlineStr">
        <is>
          <t>Fadell</t>
        </is>
      </c>
      <c r="E13" s="190">
        <f>HYPERLINK("https://drive.google.com/file/d/1pbfj4UN1PY9frn9xIKc394A_wJkYLkgq/view","▶  Watch")</f>
        <v/>
      </c>
      <c r="F13" s="189" t="inlineStr">
        <is>
          <t>NUR235 M4d2.mp4</t>
        </is>
      </c>
      <c r="G13" s="189"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185" t="inlineStr">
        <is>
          <t>Module 5</t>
        </is>
      </c>
      <c r="B14" s="185" t="inlineStr">
        <is>
          <t>Day 1</t>
        </is>
      </c>
      <c r="C14" s="186" t="inlineStr">
        <is>
          <t>Spring 2026</t>
        </is>
      </c>
      <c r="D14" s="186" t="inlineStr">
        <is>
          <t>Fadell</t>
        </is>
      </c>
      <c r="E14" s="187">
        <f>HYPERLINK("https://drive.google.com/file/d/1kwB7srewINjZ8iX9yoFK8dBuH3_n41Qz/view","▶  Watch")</f>
        <v/>
      </c>
      <c r="F14" s="186" t="inlineStr">
        <is>
          <t>NUR235 M5d1.mp4</t>
        </is>
      </c>
      <c r="G14" s="186"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188" t="inlineStr">
        <is>
          <t>Module 5</t>
        </is>
      </c>
      <c r="B15" s="188" t="inlineStr">
        <is>
          <t>Day 2</t>
        </is>
      </c>
      <c r="C15" s="189" t="inlineStr">
        <is>
          <t>Spring 2026</t>
        </is>
      </c>
      <c r="D15" s="189" t="inlineStr">
        <is>
          <t>Fadell</t>
        </is>
      </c>
      <c r="E15" s="190">
        <f>HYPERLINK("https://drive.google.com/file/d/1Gm7nRAm5aRuW3FfYXVDtq8acaYaeaadN/view","▶  Watch")</f>
        <v/>
      </c>
      <c r="F15" s="189" t="inlineStr">
        <is>
          <t>NUR235 M5d2.mp4</t>
        </is>
      </c>
      <c r="G15" s="189"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49">
      <c r="A16" s="185" t="inlineStr">
        <is>
          <t>Module 6</t>
        </is>
      </c>
      <c r="B16" s="185" t="inlineStr">
        <is>
          <t>Day 1</t>
        </is>
      </c>
      <c r="C16" s="186" t="inlineStr">
        <is>
          <t>Spring 2026</t>
        </is>
      </c>
      <c r="D16" s="186" t="inlineStr">
        <is>
          <t>Fadell</t>
        </is>
      </c>
      <c r="E16" s="187">
        <f>HYPERLINK("https://drive.google.com/file/d/1oBOb2A9oL_AyWlu27fJovaWgvJ2uh8BP/view","▶  Watch")</f>
        <v/>
      </c>
      <c r="F16" s="186" t="inlineStr">
        <is>
          <t>NUR235 M6d1.mp4</t>
        </is>
      </c>
      <c r="G16" s="186"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49">
      <c r="A17" s="188" t="inlineStr">
        <is>
          <t>Module 6</t>
        </is>
      </c>
      <c r="B17" s="188" t="inlineStr">
        <is>
          <t>Day 2</t>
        </is>
      </c>
      <c r="C17" s="189" t="inlineStr">
        <is>
          <t>Spring 2026</t>
        </is>
      </c>
      <c r="D17" s="189" t="inlineStr">
        <is>
          <t>Fadell</t>
        </is>
      </c>
      <c r="E17" s="190">
        <f>HYPERLINK("https://drive.google.com/file/d/1-cj742kGJJpy4aS0qcDwSAPrgN9b-EBi/view","▶  Watch")</f>
        <v/>
      </c>
      <c r="F17" s="189" t="inlineStr">
        <is>
          <t>NUR235 M6d2.mp4</t>
        </is>
      </c>
      <c r="G17" s="189"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49">
      <c r="A18" s="185" t="inlineStr">
        <is>
          <t>Module 7</t>
        </is>
      </c>
      <c r="B18" s="185" t="inlineStr">
        <is>
          <t>Day 1</t>
        </is>
      </c>
      <c r="C18" s="186" t="inlineStr">
        <is>
          <t>Spring 2026</t>
        </is>
      </c>
      <c r="D18" s="186" t="inlineStr">
        <is>
          <t>Fadell</t>
        </is>
      </c>
      <c r="E18" s="187">
        <f>HYPERLINK("https://drive.google.com/file/d/1qQMvemEiqmBOftgCnu0DbmTReiY9jQ6Z/view","▶  Watch")</f>
        <v/>
      </c>
      <c r="F18" s="186" t="inlineStr">
        <is>
          <t>NUR235 M7d1.mp4</t>
        </is>
      </c>
      <c r="G18" s="186"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49">
      <c r="A19" s="188" t="inlineStr">
        <is>
          <t>Module 7</t>
        </is>
      </c>
      <c r="B19" s="188" t="inlineStr">
        <is>
          <t>Day 2</t>
        </is>
      </c>
      <c r="C19" s="189" t="inlineStr">
        <is>
          <t>Spring 2026</t>
        </is>
      </c>
      <c r="D19" s="189" t="inlineStr">
        <is>
          <t>Fadell</t>
        </is>
      </c>
      <c r="E19" s="190">
        <f>HYPERLINK("https://drive.google.com/file/d/1MyPdbWpWRub7BfbX4l2laIuFgfTbkU1A/view","▶  Watch")</f>
        <v/>
      </c>
      <c r="F19" s="189" t="inlineStr">
        <is>
          <t>NUR235 M7d2.mp4</t>
        </is>
      </c>
      <c r="G19" s="189"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49">
      <c r="A20" s="185" t="inlineStr">
        <is>
          <t>Module 8</t>
        </is>
      </c>
      <c r="B20" s="185" t="inlineStr">
        <is>
          <t>Day 1</t>
        </is>
      </c>
      <c r="C20" s="186" t="inlineStr">
        <is>
          <t>Spring 2026</t>
        </is>
      </c>
      <c r="D20" s="186" t="inlineStr">
        <is>
          <t>Fadell</t>
        </is>
      </c>
      <c r="E20" s="187">
        <f>HYPERLINK("https://drive.google.com/file/d/1r6A_uGiCKxkRitxZHuHmA6zLzKanD4ir/view","▶  Watch")</f>
        <v/>
      </c>
      <c r="F20" s="186" t="inlineStr">
        <is>
          <t>NUR235 M8d1.mp4</t>
        </is>
      </c>
      <c r="G20" s="186"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49">
      <c r="A21" s="188" t="inlineStr">
        <is>
          <t>Module 8</t>
        </is>
      </c>
      <c r="B21" s="188" t="inlineStr">
        <is>
          <t>Day 2</t>
        </is>
      </c>
      <c r="C21" s="189" t="inlineStr">
        <is>
          <t>Spring 2026</t>
        </is>
      </c>
      <c r="D21" s="189" t="inlineStr">
        <is>
          <t>Fadell</t>
        </is>
      </c>
      <c r="E21" s="190">
        <f>HYPERLINK("https://drive.google.com/file/d/1wg2iUowJw1j_3I6HhBUtsWiOp0nEpRfl/view","▶  Watch")</f>
        <v/>
      </c>
      <c r="F21" s="189" t="inlineStr">
        <is>
          <t>NUR235 M8d2.mp4</t>
        </is>
      </c>
      <c r="G21" s="189"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49">
      <c r="A22" s="185" t="inlineStr">
        <is>
          <t>Module 9</t>
        </is>
      </c>
      <c r="B22" s="185" t="inlineStr">
        <is>
          <t>Day 1</t>
        </is>
      </c>
      <c r="C22" s="186" t="inlineStr">
        <is>
          <t>Spring 2026</t>
        </is>
      </c>
      <c r="D22" s="186" t="inlineStr">
        <is>
          <t>Fadell</t>
        </is>
      </c>
      <c r="E22" s="187">
        <f>HYPERLINK("https://drive.google.com/file/d/1tf4BrUHxHQhTZhu8Vf8l4IvIt1PjQvJw/view","▶  Watch")</f>
        <v/>
      </c>
      <c r="F22" s="186" t="inlineStr">
        <is>
          <t>NUR235 M9d1.mp4</t>
        </is>
      </c>
      <c r="G22" s="186"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49">
      <c r="A23" s="188" t="inlineStr">
        <is>
          <t>Module 9</t>
        </is>
      </c>
      <c r="B23" s="188" t="inlineStr">
        <is>
          <t>Day 2</t>
        </is>
      </c>
      <c r="C23" s="189" t="inlineStr">
        <is>
          <t>Spring 2026</t>
        </is>
      </c>
      <c r="D23" s="189" t="inlineStr">
        <is>
          <t>Fadell</t>
        </is>
      </c>
      <c r="E23" s="190">
        <f>HYPERLINK("https://drive.google.com/file/d/1_mWuyKEdd8H2uFXBB6wKuMxXVY_XWxKL/view","▶  Watch")</f>
        <v/>
      </c>
      <c r="F23" s="189" t="inlineStr">
        <is>
          <t>NUR235 M9d2.mp4</t>
        </is>
      </c>
      <c r="G23" s="189"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49">
      <c r="A24" s="185" t="inlineStr">
        <is>
          <t>Module 10</t>
        </is>
      </c>
      <c r="B24" s="185" t="inlineStr">
        <is>
          <t>Day 1</t>
        </is>
      </c>
      <c r="C24" s="186" t="inlineStr">
        <is>
          <t>Spring 2026</t>
        </is>
      </c>
      <c r="D24" s="186" t="inlineStr">
        <is>
          <t>Fadell</t>
        </is>
      </c>
      <c r="E24" s="187">
        <f>HYPERLINK("https://drive.google.com/file/d/1qNKdQOx07nNIYi8b7Xa5Jq-WQHM1m9Dv/view","▶  Watch")</f>
        <v/>
      </c>
      <c r="F24" s="186" t="inlineStr">
        <is>
          <t>NUR235 M10d1.mp4</t>
        </is>
      </c>
      <c r="G24" s="186"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49">
      <c r="A25" s="188" t="inlineStr">
        <is>
          <t>Module 10</t>
        </is>
      </c>
      <c r="B25" s="188" t="inlineStr">
        <is>
          <t>Day 2</t>
        </is>
      </c>
      <c r="C25" s="189" t="inlineStr">
        <is>
          <t>Spring 2026</t>
        </is>
      </c>
      <c r="D25" s="189" t="inlineStr">
        <is>
          <t>Fadell</t>
        </is>
      </c>
      <c r="E25" s="190">
        <f>HYPERLINK("https://drive.google.com/file/d/1rp_QqODgVYxyyc0oRtgYWHDEw_WbZVXp/view","▶  Watch")</f>
        <v/>
      </c>
      <c r="F25" s="189" t="inlineStr">
        <is>
          <t>NUR235 M10d2.mp4</t>
        </is>
      </c>
      <c r="G25" s="189"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49">
      <c r="A26" s="185" t="inlineStr">
        <is>
          <t>Module 11</t>
        </is>
      </c>
      <c r="B26" s="185" t="inlineStr">
        <is>
          <t>Day 1</t>
        </is>
      </c>
      <c r="C26" s="186" t="inlineStr">
        <is>
          <t>Spring 2026</t>
        </is>
      </c>
      <c r="D26" s="186" t="inlineStr">
        <is>
          <t>Fadell</t>
        </is>
      </c>
      <c r="E26" s="187">
        <f>HYPERLINK("https://drive.google.com/file/d/1nNvAV6DNOEi-TYkpk6W6YMbNMdhEThQG/view","▶  Watch")</f>
        <v/>
      </c>
      <c r="F26" s="186" t="inlineStr">
        <is>
          <t>NUR235 M11d1.mp4</t>
        </is>
      </c>
      <c r="G26" s="186"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49">
      <c r="A27" s="188" t="inlineStr">
        <is>
          <t>Module 11</t>
        </is>
      </c>
      <c r="B27" s="188" t="inlineStr">
        <is>
          <t>Day 2</t>
        </is>
      </c>
      <c r="C27" s="189" t="inlineStr">
        <is>
          <t>Spring 2026</t>
        </is>
      </c>
      <c r="D27" s="189" t="inlineStr">
        <is>
          <t>Fadell</t>
        </is>
      </c>
      <c r="E27" s="190">
        <f>HYPERLINK("https://drive.google.com/file/d/1EHnsY3ZF-i5_2B2iQwCfhMnBr9e57G4X/view","▶  Watch")</f>
        <v/>
      </c>
      <c r="F27" s="189" t="inlineStr">
        <is>
          <t>NUR235 M11d2.mp4</t>
        </is>
      </c>
      <c r="G27" s="189"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49">
      <c r="A28" s="185" t="inlineStr">
        <is>
          <t>Module 12</t>
        </is>
      </c>
      <c r="B28" s="185" t="inlineStr">
        <is>
          <t>Day 1</t>
        </is>
      </c>
      <c r="C28" s="186" t="inlineStr">
        <is>
          <t>Spring 2026</t>
        </is>
      </c>
      <c r="D28" s="186" t="inlineStr">
        <is>
          <t>Fadell</t>
        </is>
      </c>
      <c r="E28" s="187">
        <f>HYPERLINK("https://drive.google.com/file/d/1AEBfWcK7bCeZpj11ndmTYUdt9P_0AiuP/view","▶  Watch")</f>
        <v/>
      </c>
      <c r="F28" s="186" t="inlineStr">
        <is>
          <t>NUR235 M12d1.mp4</t>
        </is>
      </c>
      <c r="G28" s="186"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49">
      <c r="A29" s="188" t="inlineStr">
        <is>
          <t>Module 12</t>
        </is>
      </c>
      <c r="B29" s="188" t="inlineStr">
        <is>
          <t>Day 2</t>
        </is>
      </c>
      <c r="C29" s="189" t="inlineStr">
        <is>
          <t>Spring 2026</t>
        </is>
      </c>
      <c r="D29" s="189" t="inlineStr">
        <is>
          <t>Fadell</t>
        </is>
      </c>
      <c r="E29" s="190">
        <f>HYPERLINK("https://drive.google.com/file/d/1gotI7xgoH5xvWNyZfCTLevKg4FZ29tDH/view","▶  Watch")</f>
        <v/>
      </c>
      <c r="F29" s="189" t="inlineStr">
        <is>
          <t>NUR235 M12d2.mp4</t>
        </is>
      </c>
      <c r="G29" s="189"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49">
      <c r="A30" s="185" t="inlineStr">
        <is>
          <t>Module 13</t>
        </is>
      </c>
      <c r="B30" s="185" t="inlineStr">
        <is>
          <t>Day 1</t>
        </is>
      </c>
      <c r="C30" s="186" t="inlineStr">
        <is>
          <t>Spring 2026</t>
        </is>
      </c>
      <c r="D30" s="186" t="inlineStr">
        <is>
          <t>Fadell</t>
        </is>
      </c>
      <c r="E30" s="187">
        <f>HYPERLINK("https://drive.google.com/file/d/1rhpS77OIMEqr6sA63U0xa-HomMkKMa-V/view","▶  Watch")</f>
        <v/>
      </c>
      <c r="F30" s="186" t="inlineStr">
        <is>
          <t>NUR235 M13d1.mp4</t>
        </is>
      </c>
      <c r="G30" s="186"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49">
      <c r="A31" s="188" t="inlineStr">
        <is>
          <t>Module 13</t>
        </is>
      </c>
      <c r="B31" s="188" t="inlineStr">
        <is>
          <t>Day 2</t>
        </is>
      </c>
      <c r="C31" s="189" t="inlineStr">
        <is>
          <t>Spring 2026</t>
        </is>
      </c>
      <c r="D31" s="189" t="inlineStr">
        <is>
          <t>Fadell</t>
        </is>
      </c>
      <c r="E31" s="190">
        <f>HYPERLINK("https://drive.google.com/file/d/11NU0OBr1x-oT03jwejIFgD4mUQ7KhmtM/view","▶  Watch")</f>
        <v/>
      </c>
      <c r="F31" s="189" t="inlineStr">
        <is>
          <t>NUR235 M13d2.mp4</t>
        </is>
      </c>
      <c r="G31" s="189"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49">
      <c r="A32" s="185" t="inlineStr">
        <is>
          <t>Module 14</t>
        </is>
      </c>
      <c r="B32" s="185" t="inlineStr">
        <is>
          <t>Day 1</t>
        </is>
      </c>
      <c r="C32" s="186" t="inlineStr">
        <is>
          <t>Spring 2026</t>
        </is>
      </c>
      <c r="D32" s="186" t="inlineStr">
        <is>
          <t>Fadell</t>
        </is>
      </c>
      <c r="E32" s="187">
        <f>HYPERLINK("https://drive.google.com/file/d/1Xd7riWCGJ-FYd7Jt2c7Q50Hz92ww5hpw/view","▶  Watch")</f>
        <v/>
      </c>
      <c r="F32" s="186" t="n"/>
      <c r="G32" s="1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49">
      <c r="A33" s="188" t="inlineStr">
        <is>
          <t>Module 14</t>
        </is>
      </c>
      <c r="B33" s="188" t="inlineStr">
        <is>
          <t>Day 2</t>
        </is>
      </c>
      <c r="C33" s="189" t="inlineStr">
        <is>
          <t>Spring 2026</t>
        </is>
      </c>
      <c r="D33" s="189" t="inlineStr">
        <is>
          <t>Fadell</t>
        </is>
      </c>
      <c r="E33" s="189" t="n"/>
      <c r="F33" s="189" t="n"/>
      <c r="G33" s="189"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49">
      <c r="A34" s="192" t="n"/>
      <c r="B34" s="192" t="n"/>
      <c r="C34" s="192" t="n"/>
      <c r="D34" s="192" t="n"/>
      <c r="E34" s="192" t="n"/>
      <c r="F34" s="192" t="n"/>
      <c r="G34" s="192"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49">
      <c r="A35" s="193" t="n"/>
      <c r="B35" s="193" t="n"/>
      <c r="C35" s="193" t="n"/>
      <c r="D35" s="193" t="n"/>
      <c r="E35" s="193" t="n"/>
      <c r="F35" s="193" t="n"/>
      <c r="G35" s="193"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49">
      <c r="A36" s="192" t="n"/>
      <c r="B36" s="192" t="n"/>
      <c r="C36" s="192" t="n"/>
      <c r="D36" s="192" t="n"/>
      <c r="E36" s="192" t="n"/>
      <c r="F36" s="192" t="n"/>
      <c r="G36" s="192"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49">
      <c r="A37" s="193" t="n"/>
      <c r="B37" s="193" t="n"/>
      <c r="C37" s="193" t="n"/>
      <c r="D37" s="193" t="n"/>
      <c r="E37" s="193" t="n"/>
      <c r="F37" s="193" t="n"/>
      <c r="G37" s="193"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49">
      <c r="A38" s="192" t="n"/>
      <c r="B38" s="192" t="n"/>
      <c r="C38" s="192" t="n"/>
      <c r="D38" s="192" t="n"/>
      <c r="E38" s="192" t="n"/>
      <c r="F38" s="192" t="n"/>
      <c r="G38" s="192"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49">
      <c r="A39" s="193" t="n"/>
      <c r="B39" s="193" t="n"/>
      <c r="C39" s="193" t="n"/>
      <c r="D39" s="193" t="n"/>
      <c r="E39" s="193" t="n"/>
      <c r="F39" s="193" t="n"/>
      <c r="G39" s="193"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49">
      <c r="A40" s="192" t="n"/>
      <c r="B40" s="192" t="n"/>
      <c r="C40" s="192" t="n"/>
      <c r="D40" s="192" t="n"/>
      <c r="E40" s="192" t="n"/>
      <c r="F40" s="192" t="n"/>
      <c r="G40" s="192"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49">
      <c r="A41" s="193" t="n"/>
      <c r="B41" s="193" t="n"/>
      <c r="C41" s="193" t="n"/>
      <c r="D41" s="193" t="n"/>
      <c r="E41" s="193" t="n"/>
      <c r="F41" s="193" t="n"/>
      <c r="G41" s="193"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49">
      <c r="A42" s="192" t="n"/>
      <c r="B42" s="192" t="n"/>
      <c r="C42" s="192" t="n"/>
      <c r="D42" s="192" t="n"/>
      <c r="E42" s="192" t="n"/>
      <c r="F42" s="192" t="n"/>
      <c r="G42" s="192"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49">
      <c r="A43" s="193" t="n"/>
      <c r="B43" s="193" t="n"/>
      <c r="C43" s="193" t="n"/>
      <c r="D43" s="193" t="n"/>
      <c r="E43" s="193" t="n"/>
      <c r="F43" s="193" t="n"/>
      <c r="G43" s="193"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49">
      <c r="A44" s="192" t="n"/>
      <c r="B44" s="192" t="n"/>
      <c r="C44" s="192" t="n"/>
      <c r="D44" s="192" t="n"/>
      <c r="E44" s="192" t="n"/>
      <c r="F44" s="192" t="n"/>
      <c r="G44" s="192"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49">
      <c r="A45" s="193" t="n"/>
      <c r="B45" s="193" t="n"/>
      <c r="C45" s="193" t="n"/>
      <c r="D45" s="193" t="n"/>
      <c r="E45" s="193" t="n"/>
      <c r="F45" s="193" t="n"/>
      <c r="G45" s="193"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49">
      <c r="A46" s="192" t="n"/>
      <c r="B46" s="192" t="n"/>
      <c r="C46" s="192" t="n"/>
      <c r="D46" s="192" t="n"/>
      <c r="E46" s="192" t="n"/>
      <c r="F46" s="192" t="n"/>
      <c r="G46" s="192"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49">
      <c r="A47" s="193" t="n"/>
      <c r="B47" s="193" t="n"/>
      <c r="C47" s="193" t="n"/>
      <c r="D47" s="193" t="n"/>
      <c r="E47" s="193" t="n"/>
      <c r="F47" s="193" t="n"/>
      <c r="G47" s="193"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49">
      <c r="A48" s="192" t="n"/>
      <c r="B48" s="192" t="n"/>
      <c r="C48" s="192" t="n"/>
      <c r="D48" s="192" t="n"/>
      <c r="E48" s="192" t="n"/>
      <c r="F48" s="192" t="n"/>
      <c r="G48" s="192"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4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49">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49">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49">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49">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49">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49">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49">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49">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49">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4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4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4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49">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49">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49">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49">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49">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49">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4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4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4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4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4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4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4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4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4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4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49">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4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4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4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4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4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4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4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4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4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4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4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4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4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4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4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4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4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4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4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4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4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4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4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4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4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4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4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4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4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4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4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4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4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4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4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4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4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4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4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4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4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4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4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4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4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4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4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4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4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4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4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4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4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4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4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49">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49">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49">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49">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49">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4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49">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49">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49">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49">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49">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49">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49">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49">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49">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4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49">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49">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49">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49">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49">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49">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49">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49">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49">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4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49">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49">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49">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49">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49">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4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4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4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49">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4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4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4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4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4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4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4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4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4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4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4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4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4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4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4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4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4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4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4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4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4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4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4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4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4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4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4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4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4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4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4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4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4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4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4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4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4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4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4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4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4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4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4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4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4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4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4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4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4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4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4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4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4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4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4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4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4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4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4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4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4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4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4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4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4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83" t="inlineStr">
        <is>
          <t>NUR235  ·  Fuller</t>
        </is>
      </c>
    </row>
    <row r="2">
      <c r="A2" s="9" t="inlineStr">
        <is>
          <t>NUR234</t>
        </is>
      </c>
      <c r="B2" s="11" t="inlineStr">
        <is>
          <t>NUR235</t>
        </is>
      </c>
      <c r="C2" s="9" t="inlineStr">
        <is>
          <t>NUR258</t>
        </is>
      </c>
      <c r="D2" s="17" t="inlineStr">
        <is>
          <t>🏠 START HERE</t>
        </is>
      </c>
      <c r="E2" s="15" t="inlineStr">
        <is>
          <t>📥 Sort me</t>
        </is>
      </c>
      <c r="F2" s="16" t="n"/>
      <c r="G2" s="16" t="n"/>
    </row>
    <row r="3">
      <c r="A3" s="19" t="inlineStr">
        <is>
          <t>Fadell</t>
        </is>
      </c>
      <c r="B3" s="19" t="inlineStr">
        <is>
          <t>Fuller</t>
        </is>
      </c>
      <c r="C3" s="19" t="inlineStr">
        <is>
          <t>Exam Reviews</t>
        </is>
      </c>
      <c r="D3" s="19" t="n"/>
      <c r="E3" s="27">
        <f>HYPERLINK('START HERE'!$B$36,"Zoom")</f>
        <v/>
      </c>
      <c r="F3" s="19" t="inlineStr">
        <is>
          <t>Review videos</t>
        </is>
      </c>
      <c r="G3" s="16" t="inlineStr">
        <is>
          <t>Fuller teaches this Fall 2026 cohort and runs one lecture a week. Fadell is a different lecturer - last cohort’s Spring 2026 Day 1 / Day 2 recordings are on the Fadell tab.</t>
        </is>
      </c>
    </row>
    <row r="4">
      <c r="A4" s="16" t="n"/>
      <c r="B4" s="16" t="n"/>
      <c r="C4" s="16" t="n"/>
      <c r="D4" s="16" t="n"/>
      <c r="E4" s="16" t="n"/>
      <c r="F4" s="16" t="n"/>
      <c r="G4" s="16"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row>
    <row r="6">
      <c r="A6" s="185" t="inlineStr">
        <is>
          <t>Module 1</t>
        </is>
      </c>
      <c r="B6" s="185" t="inlineStr">
        <is>
          <t>Weekly lecture</t>
        </is>
      </c>
      <c r="C6" s="186" t="inlineStr">
        <is>
          <t>Fall 2026</t>
        </is>
      </c>
      <c r="D6" s="186" t="inlineStr">
        <is>
          <t>Fuller</t>
        </is>
      </c>
      <c r="E6" s="187">
        <f>HYPERLINK("https://drive.google.com/file/d/1GlaHvD23YFvTD18u35eRDP7UPtDT4rzC/view","▶  Watch")</f>
        <v/>
      </c>
      <c r="F6" s="186" t="inlineStr">
        <is>
          <t>Fuller M1.mp4</t>
        </is>
      </c>
      <c r="G6" s="186" t="inlineStr">
        <is>
          <t>Intro to pediatric nursing. Also filed as NUR235_Fall2026_Fuller_Wk01 in the NUR 235 videos folder</t>
        </is>
      </c>
    </row>
    <row r="7">
      <c r="A7" s="188" t="inlineStr">
        <is>
          <t>Module 1</t>
        </is>
      </c>
      <c r="B7" s="188" t="inlineStr">
        <is>
          <t>Module recording</t>
        </is>
      </c>
      <c r="C7" s="189" t="inlineStr">
        <is>
          <t>Fall 2026</t>
        </is>
      </c>
      <c r="D7" s="189" t="inlineStr">
        <is>
          <t>Fuller</t>
        </is>
      </c>
      <c r="E7" s="190">
        <f>HYPERLINK("https://drive.google.com/file/d/15dl0VLLa6YnG3voHKOp-LPls4SIQHGSw/view","▶  Watch")</f>
        <v/>
      </c>
      <c r="F7" s="189" t="inlineStr">
        <is>
          <t>NUR235_Fall2026_Fuller_Wk01_DayNA_Welcome to Pediatrics - asynchronous intro.mp4</t>
        </is>
      </c>
      <c r="G7" s="189" t="inlineStr">
        <is>
          <t>Welcome to Pediatrics - asynchronous intro (17 MB). Fuller's asynchronous module recording from Canvas (you confirmed the speaker on 6 Oct). Drive name: NUR235_Fall2026_Fuller_Wk01_DayNA_Welcome to Pediatrics - asynchronous intro.mp4</t>
        </is>
      </c>
    </row>
    <row r="8">
      <c r="A8" s="185" t="inlineStr">
        <is>
          <t>Module 1</t>
        </is>
      </c>
      <c r="B8" s="185" t="inlineStr">
        <is>
          <t>Module recording</t>
        </is>
      </c>
      <c r="C8" s="186" t="inlineStr">
        <is>
          <t>Fall 2026</t>
        </is>
      </c>
      <c r="D8" s="186" t="inlineStr">
        <is>
          <t>Fuller</t>
        </is>
      </c>
      <c r="E8" s="187">
        <f>HYPERLINK("https://drive.google.com/file/d/1fJLn19IQy4UrXQyJPa1NC6NoDHvC73Ja/view","▶  Watch")</f>
        <v/>
      </c>
      <c r="F8" s="186" t="inlineStr">
        <is>
          <t>NUR235_Fall2026_Fuller_Wk01_DayNA_Hospitalization of the child.mp4</t>
        </is>
      </c>
      <c r="G8" s="186" t="inlineStr">
        <is>
          <t>Hospitalization of the child. Fuller's asynchronous module recording from Canvas (you confirmed the speaker on 6 Oct). Drive name: NUR235_Fall2026_Fuller_Wk01_DayNA_Hospitalization of the child.mp4</t>
        </is>
      </c>
    </row>
    <row r="9">
      <c r="A9" s="188" t="inlineStr">
        <is>
          <t>Module 2</t>
        </is>
      </c>
      <c r="B9" s="188" t="inlineStr">
        <is>
          <t>Weekly lecture</t>
        </is>
      </c>
      <c r="C9" s="189" t="inlineStr">
        <is>
          <t>Fall 2026</t>
        </is>
      </c>
      <c r="D9" s="189" t="inlineStr">
        <is>
          <t>Fuller</t>
        </is>
      </c>
      <c r="E9" s="190">
        <f>HYPERLINK("https://drive.google.com/file/d/1LlXr19xnRaDRvh2CaY0NTa5m33OeLVNw/view","▶  Watch")</f>
        <v/>
      </c>
      <c r="F9" s="189" t="inlineStr">
        <is>
          <t>NUR235_Fall2026_Fuller_Wk02_DayNA_Week 2 Check-In.mp4</t>
        </is>
      </c>
      <c r="G9" s="189" t="inlineStr">
        <is>
          <t>Week 2 check-in. Replaces NUR235_Fall2026_Fuller_Wk02_DayNA_Week 2 Check-In.mp4, which was one of two Week 2 recordings swapped out. The Module 2 async recording "Nursing care of the infant" is on the Lectures page of the study hub.</t>
        </is>
      </c>
    </row>
    <row r="10">
      <c r="A10" s="185" t="inlineStr">
        <is>
          <t>Module 2</t>
        </is>
      </c>
      <c r="B10" s="185" t="inlineStr">
        <is>
          <t>Module recording</t>
        </is>
      </c>
      <c r="C10" s="186" t="inlineStr">
        <is>
          <t>Fall 2026</t>
        </is>
      </c>
      <c r="D10" s="186" t="inlineStr">
        <is>
          <t>Fuller</t>
        </is>
      </c>
      <c r="E10" s="187">
        <f>HYPERLINK("https://drive.google.com/file/d/1TSnKc08spggBEKh7_RN-rLtAM4sXgiUa/view","▶  Watch")</f>
        <v/>
      </c>
      <c r="F10" s="186" t="inlineStr">
        <is>
          <t>NUR235_Fall2026_Fuller_Wk02_DayNA_Nursing care of the infant.mp4</t>
        </is>
      </c>
      <c r="G10" s="186" t="inlineStr">
        <is>
          <t>Nursing care of the infant. Fuller's asynchronous module recording from Canvas (you confirmed the speaker on 6 Oct). Drive name: NUR235_Fall2026_Fuller_Wk02_DayNA_Nursing care of the infant.mp4</t>
        </is>
      </c>
    </row>
    <row r="11" ht="15.75" customHeight="1" s="149">
      <c r="A11" s="188" t="inlineStr">
        <is>
          <t>Module 3</t>
        </is>
      </c>
      <c r="B11" s="188" t="inlineStr">
        <is>
          <t>Day 2</t>
        </is>
      </c>
      <c r="C11" s="189" t="inlineStr">
        <is>
          <t>Fall 2026</t>
        </is>
      </c>
      <c r="D11" s="189" t="inlineStr">
        <is>
          <t>Fuller</t>
        </is>
      </c>
      <c r="E11" s="190">
        <f>HYPERLINK("https://drive.google.com/file/d/1RjXD0xUWwGcmDpw7ZUi0zt7dieR3uJpd/view","▶  Watch")</f>
        <v/>
      </c>
      <c r="F11" s="189" t="inlineStr">
        <is>
          <t>NUR235_Fall2026_Fuller_Wk03_Day2_Nursing care of the toddler and preschooler.mp4</t>
        </is>
      </c>
      <c r="G11" s="189"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49">
      <c r="A12" s="185" t="inlineStr">
        <is>
          <t>Module 3</t>
        </is>
      </c>
      <c r="B12" s="185" t="inlineStr">
        <is>
          <t>Module recording</t>
        </is>
      </c>
      <c r="C12" s="186" t="inlineStr">
        <is>
          <t>Fall 2026</t>
        </is>
      </c>
      <c r="D12" s="186" t="inlineStr">
        <is>
          <t>Fuller</t>
        </is>
      </c>
      <c r="E12" s="187">
        <f>HYPERLINK("https://drive.google.com/file/d/1tOcKhZCsw3oc69Qp6xf5DqfMuYK58FyP/view","▶  Watch")</f>
        <v/>
      </c>
      <c r="F12" s="186" t="inlineStr">
        <is>
          <t>NUR235_Fall2026_Fuller_Wk03_DayNA_Nursing care of the toddler and preschooler.mp4</t>
        </is>
      </c>
      <c r="G12" s="1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49">
      <c r="A13" s="188" t="inlineStr">
        <is>
          <t>Module 4</t>
        </is>
      </c>
      <c r="B13" s="188" t="inlineStr">
        <is>
          <t>Module recording</t>
        </is>
      </c>
      <c r="C13" s="189" t="inlineStr">
        <is>
          <t>Fall 2026</t>
        </is>
      </c>
      <c r="D13" s="189" t="inlineStr">
        <is>
          <t>Fuller</t>
        </is>
      </c>
      <c r="E13" s="190">
        <f>HYPERLINK("https://drive.google.com/file/d/1yKIp1Ax7rc6hq5SdtPg0eF5OQfgt65jS/view","▶  Watch")</f>
        <v/>
      </c>
      <c r="F13" s="189" t="inlineStr">
        <is>
          <t>NUR235_Fall2026_Fuller_Wk04_DayNA_School-age and adolescent.mp4</t>
        </is>
      </c>
      <c r="G13" s="194" t="inlineStr">
        <is>
          <t>School-age and adolescent. Fuller's asynchronous module recording from Canvas (you confirmed the speaker on 6 Oct). Drive name: NUR235_Fall2026_Fuller_Wk04_DayNA_School-age and adolescent.mp4</t>
        </is>
      </c>
    </row>
    <row r="14" ht="15.75" customHeight="1" s="149">
      <c r="A14" s="185" t="inlineStr">
        <is>
          <t>Module 5</t>
        </is>
      </c>
      <c r="B14" s="185" t="inlineStr">
        <is>
          <t>Module recording</t>
        </is>
      </c>
      <c r="C14" s="186" t="inlineStr">
        <is>
          <t>Fall 2026</t>
        </is>
      </c>
      <c r="D14" s="186" t="inlineStr">
        <is>
          <t>Fuller</t>
        </is>
      </c>
      <c r="E14" s="187">
        <f>HYPERLINK("https://drive.google.com/file/d/1s2XIaXweDh5t0QGPkm-FArc_8CH0iaPK/view","▶  Watch")</f>
        <v/>
      </c>
      <c r="F14" s="186" t="inlineStr">
        <is>
          <t>NUR235_Fall2026_Fuller_Wk05_DayNA_Hematology and childhood neoplasms.mp4</t>
        </is>
      </c>
      <c r="G14" s="186" t="inlineStr">
        <is>
          <t>Hematology and childhood neoplasms. Fuller's asynchronous module recording from Canvas (you confirmed the speaker on 6 Oct). Drive name: NUR235_Fall2026_Fuller_Wk05_DayNA_Hematology and childhood neoplasms.mp4</t>
        </is>
      </c>
    </row>
    <row r="15" ht="15.75" customHeight="1" s="149">
      <c r="A15" s="188" t="inlineStr">
        <is>
          <t>Module 6</t>
        </is>
      </c>
      <c r="B15" s="188" t="inlineStr">
        <is>
          <t>Module recording</t>
        </is>
      </c>
      <c r="C15" s="189" t="inlineStr">
        <is>
          <t>Fall 2026</t>
        </is>
      </c>
      <c r="D15" s="189" t="inlineStr">
        <is>
          <t>Fuller</t>
        </is>
      </c>
      <c r="E15" s="190">
        <f>HYPERLINK("https://drive.google.com/file/d/1D874qmiQiZH5lta1iGvjYgZuw89Ap8Hv/view","▶  Watch")</f>
        <v/>
      </c>
      <c r="F15" s="189" t="inlineStr">
        <is>
          <t>NUR235_Fall2026_Fuller_Wk06_DayNA_Immune and infectious disorders.mp4</t>
        </is>
      </c>
      <c r="G15" s="189" t="inlineStr">
        <is>
          <t>Immune and infectious disorders. Fuller's asynchronous module recording from Canvas (you confirmed the speaker on 6 Oct). Drive name: NUR235_Fall2026_Fuller_Wk06_DayNA_Immune and infectious disorders.mp4</t>
        </is>
      </c>
    </row>
    <row r="16" ht="15.75" customHeight="1" s="149">
      <c r="A16" s="185" t="inlineStr">
        <is>
          <t>Module 7</t>
        </is>
      </c>
      <c r="B16" s="185" t="inlineStr">
        <is>
          <t>Module recording</t>
        </is>
      </c>
      <c r="C16" s="186" t="inlineStr">
        <is>
          <t>Fall 2026</t>
        </is>
      </c>
      <c r="D16" s="186" t="inlineStr">
        <is>
          <t>Fuller</t>
        </is>
      </c>
      <c r="E16" s="187">
        <f>HYPERLINK("https://drive.google.com/file/d/1jR3en5teZqX5G5iW1lLpJjqkuuBU5Go1/view","▶  Watch")</f>
        <v/>
      </c>
      <c r="F16" s="186" t="inlineStr">
        <is>
          <t>NUR235_Fall2026_Fuller_Wk07_DayNA_Neurologic and neuromuscular.mp4</t>
        </is>
      </c>
      <c r="G16" s="186" t="inlineStr">
        <is>
          <t>Neurologic and neuromuscular. Fuller's asynchronous module recording from Canvas (you confirmed the speaker on 6 Oct). Drive name: NUR235_Fall2026_Fuller_Wk07_DayNA_Neurologic and neuromuscular.mp4</t>
        </is>
      </c>
    </row>
    <row r="17" ht="15.75" customHeight="1" s="149">
      <c r="A17" s="188" t="inlineStr">
        <is>
          <t>Module 8</t>
        </is>
      </c>
      <c r="B17" s="188" t="inlineStr">
        <is>
          <t>Module recording</t>
        </is>
      </c>
      <c r="C17" s="189" t="inlineStr">
        <is>
          <t>Fall 2026</t>
        </is>
      </c>
      <c r="D17" s="189" t="inlineStr">
        <is>
          <t>Fuller</t>
        </is>
      </c>
      <c r="E17" s="190">
        <f>HYPERLINK("https://drive.google.com/file/d/1swgiP1NKBL7E7FD08zoBzhX_ZiDsVBam/view","▶  Watch")</f>
        <v/>
      </c>
      <c r="F17" s="189" t="inlineStr">
        <is>
          <t>NUR235_Fall2026_Fuller_Wk08_DayNA_Respiratory.mp4</t>
        </is>
      </c>
      <c r="G17" s="189" t="inlineStr">
        <is>
          <t>Respiratory. Fuller's asynchronous module recording from Canvas (you confirmed the speaker on 6 Oct). Drive name: NUR235_Fall2026_Fuller_Wk08_DayNA_Respiratory.mp4</t>
        </is>
      </c>
    </row>
    <row r="18" ht="15.75" customHeight="1" s="149">
      <c r="A18" s="185" t="inlineStr">
        <is>
          <t>Module 9</t>
        </is>
      </c>
      <c r="B18" s="185" t="inlineStr">
        <is>
          <t>Module recording</t>
        </is>
      </c>
      <c r="C18" s="186" t="inlineStr">
        <is>
          <t>Fall 2026</t>
        </is>
      </c>
      <c r="D18" s="186" t="inlineStr">
        <is>
          <t>Fuller</t>
        </is>
      </c>
      <c r="E18" s="187">
        <f>HYPERLINK("https://drive.google.com/file/d/1AifHN2lCUw2D1ALY7zSTL1e-4SweDFOZ/view","▶  Watch")</f>
        <v/>
      </c>
      <c r="F18" s="186" t="inlineStr">
        <is>
          <t>NUR235_Fall2026_Fuller_Wk09_DayNA_Cardiac.mp4</t>
        </is>
      </c>
      <c r="G18" s="186" t="inlineStr">
        <is>
          <t>Cardiac. Fuller's asynchronous module recording from Canvas (you confirmed the speaker on 6 Oct). Drive name: NUR235_Fall2026_Fuller_Wk09_DayNA_Cardiac.mp4</t>
        </is>
      </c>
    </row>
    <row r="19" ht="15.75" customHeight="1" s="149">
      <c r="A19" s="188" t="inlineStr">
        <is>
          <t>Module 9</t>
        </is>
      </c>
      <c r="B19" s="188" t="inlineStr">
        <is>
          <t>Module recording</t>
        </is>
      </c>
      <c r="C19" s="189" t="inlineStr">
        <is>
          <t>Fall 2026</t>
        </is>
      </c>
      <c r="D19" s="189" t="inlineStr">
        <is>
          <t>Not named</t>
        </is>
      </c>
      <c r="E19" s="190">
        <f>HYPERLINK("https://drive.google.com/file/d/1dSjkJUDsUbKUwG7Hp9bX7pwpfvjjHMEX/view","▶  Watch")</f>
        <v/>
      </c>
      <c r="F19" s="189" t="inlineStr">
        <is>
          <t>NUR235_Fall2026_Unknown_Wk09_DayNA_Laying the Foundation for CHD - congenital heart disease (topic from the title and speech index).mp4</t>
        </is>
      </c>
      <c r="G19" s="189"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185" t="inlineStr">
        <is>
          <t>Module 10</t>
        </is>
      </c>
      <c r="B20" s="185" t="inlineStr">
        <is>
          <t>Module recording</t>
        </is>
      </c>
      <c r="C20" s="186" t="inlineStr">
        <is>
          <t>Fall 2026</t>
        </is>
      </c>
      <c r="D20" s="186" t="inlineStr">
        <is>
          <t>Fuller</t>
        </is>
      </c>
      <c r="E20" s="187">
        <f>HYPERLINK("https://drive.google.com/file/d/16EwUYszRhsvigOAsEeVYTPSjMaT_rU-o/view","▶  Watch")</f>
        <v/>
      </c>
      <c r="F20" s="186" t="inlineStr">
        <is>
          <t>NUR235_Fall2026_Fuller_Wk10_DayNA_Musculoskeletal.mp4</t>
        </is>
      </c>
      <c r="G20" s="186" t="inlineStr">
        <is>
          <t>Musculoskeletal. Fuller's asynchronous module recording from Canvas (you confirmed the speaker on 6 Oct). Drive name: NUR235_Fall2026_Fuller_Wk10_DayNA_Musculoskeletal.mp4</t>
        </is>
      </c>
    </row>
    <row r="21" ht="15.75" customHeight="1" s="149">
      <c r="A21" s="188" t="inlineStr">
        <is>
          <t>Module 11</t>
        </is>
      </c>
      <c r="B21" s="188" t="inlineStr">
        <is>
          <t>Module recording</t>
        </is>
      </c>
      <c r="C21" s="189" t="inlineStr">
        <is>
          <t>Fall 2026</t>
        </is>
      </c>
      <c r="D21" s="189" t="inlineStr">
        <is>
          <t>Fuller</t>
        </is>
      </c>
      <c r="E21" s="190">
        <f>HYPERLINK("https://drive.google.com/file/d/133wvGtArpMkxl4khAoNhoauyza9hWRvo/view","▶  Watch")</f>
        <v/>
      </c>
      <c r="F21" s="189" t="inlineStr">
        <is>
          <t>NUR235_Fall2026_Fuller_Wk11_DayNA_Endocrine and metabolic.mp4</t>
        </is>
      </c>
      <c r="G21" s="189" t="inlineStr">
        <is>
          <t>Endocrine and metabolic. Fuller's asynchronous module recording from Canvas (you confirmed the speaker on 6 Oct). Drive name: NUR235_Fall2026_Fuller_Wk11_DayNA_Endocrine and metabolic.mp4</t>
        </is>
      </c>
    </row>
    <row r="22" ht="15.75" customHeight="1" s="149">
      <c r="A22" s="185" t="inlineStr">
        <is>
          <t>Module 12</t>
        </is>
      </c>
      <c r="B22" s="185" t="inlineStr">
        <is>
          <t>Module recording</t>
        </is>
      </c>
      <c r="C22" s="186" t="inlineStr">
        <is>
          <t>Fall 2026</t>
        </is>
      </c>
      <c r="D22" s="186" t="inlineStr">
        <is>
          <t>Fuller</t>
        </is>
      </c>
      <c r="E22" s="187">
        <f>HYPERLINK("https://drive.google.com/file/d/1kqvvmD470PE4FpYVJuWQyjF_jkmS0qIa/view","▶  Watch")</f>
        <v/>
      </c>
      <c r="F22" s="186" t="inlineStr">
        <is>
          <t>NUR235_Fall2026_Fuller_Wk12_DayNA_Gastrointestinal.mp4</t>
        </is>
      </c>
      <c r="G22" s="191" t="inlineStr">
        <is>
          <t>Gastrointestinal. Fuller's asynchronous module recording from Canvas (you confirmed the speaker on 6 Oct). Drive name: NUR235_Fall2026_Fuller_Wk12_DayNA_Gastrointestinal.mp4</t>
        </is>
      </c>
    </row>
    <row r="23" ht="15.75" customHeight="1" s="149">
      <c r="A23" s="188" t="inlineStr">
        <is>
          <t>Module 13</t>
        </is>
      </c>
      <c r="B23" s="188" t="inlineStr">
        <is>
          <t>Module recording</t>
        </is>
      </c>
      <c r="C23" s="189" t="inlineStr">
        <is>
          <t>Fall 2026</t>
        </is>
      </c>
      <c r="D23" s="189" t="inlineStr">
        <is>
          <t>Fuller</t>
        </is>
      </c>
      <c r="E23" s="190">
        <f>HYPERLINK("https://drive.google.com/file/d/1-BkPOxpFIbj2aeyDnLvIS87yyEX4_wsw/view","▶  Watch")</f>
        <v/>
      </c>
      <c r="F23" s="189" t="inlineStr">
        <is>
          <t>NUR235_Fall2026_Fuller_Wk13_DayNA_Renal and genitourinary.mp4</t>
        </is>
      </c>
      <c r="G23" s="189" t="inlineStr">
        <is>
          <t>Renal and genitourinary. Fuller's asynchronous module recording from Canvas (you confirmed the speaker on 6 Oct). Drive name: NUR235_Fall2026_Fuller_Wk13_DayNA_Renal and genitourinary.mp4</t>
        </is>
      </c>
    </row>
    <row r="24" ht="15.75" customHeight="1" s="149">
      <c r="A24" s="185" t="inlineStr">
        <is>
          <t>Module 14</t>
        </is>
      </c>
      <c r="B24" s="185" t="inlineStr">
        <is>
          <t>Module recording</t>
        </is>
      </c>
      <c r="C24" s="186" t="inlineStr">
        <is>
          <t>Fall 2026</t>
        </is>
      </c>
      <c r="D24" s="186" t="inlineStr">
        <is>
          <t>Fuller</t>
        </is>
      </c>
      <c r="E24" s="187">
        <f>HYPERLINK("https://drive.google.com/file/d/1pvRIoJTyknef4TVk57Ajdng5oGCH5EHt/view","▶  Watch")</f>
        <v/>
      </c>
      <c r="F24" s="186" t="inlineStr">
        <is>
          <t>NUR235_Fall2026_Fuller_Wk14_DayNA_Final exam prep.mp4</t>
        </is>
      </c>
      <c r="G24" s="186" t="inlineStr">
        <is>
          <t>Final exam prep. Fuller's asynchronous module recording from Canvas (you confirmed the speaker on 6 Oct). Drive name: NUR235_Fall2026_Fuller_Wk14_DayNA_Final exam prep.mp4</t>
        </is>
      </c>
    </row>
    <row r="25" ht="15.75" customHeight="1" s="149">
      <c r="A25" s="188" t="n"/>
      <c r="B25" s="188" t="n"/>
      <c r="C25" s="189" t="n"/>
      <c r="D25" s="189" t="n"/>
      <c r="E25" s="190" t="n"/>
      <c r="F25" s="189" t="n"/>
      <c r="G25" s="189" t="n"/>
    </row>
    <row r="26" ht="15.75" customHeight="1" s="149">
      <c r="A26" s="185" t="n"/>
      <c r="B26" s="185" t="n"/>
      <c r="C26" s="186" t="n"/>
      <c r="D26" s="186" t="n"/>
      <c r="E26" s="187" t="n"/>
      <c r="F26" s="186" t="n"/>
      <c r="G26" s="186" t="n"/>
    </row>
    <row r="27" ht="15.75" customHeight="1" s="149">
      <c r="A27" s="188" t="n"/>
      <c r="B27" s="188" t="n"/>
      <c r="C27" s="189" t="n"/>
      <c r="D27" s="189" t="n"/>
      <c r="E27" s="190" t="n"/>
      <c r="F27" s="189" t="n"/>
      <c r="G27" s="189" t="n"/>
    </row>
    <row r="28" ht="15.75" customHeight="1" s="149">
      <c r="A28" s="185" t="n"/>
      <c r="B28" s="185" t="n"/>
      <c r="C28" s="186" t="n"/>
      <c r="D28" s="186" t="n"/>
      <c r="E28" s="187" t="n"/>
      <c r="F28" s="186" t="n"/>
      <c r="G28" s="186" t="n"/>
    </row>
    <row r="29" ht="15.75" customHeight="1" s="149">
      <c r="A29" s="188" t="n"/>
      <c r="B29" s="188" t="n"/>
      <c r="C29" s="189" t="n"/>
      <c r="D29" s="189" t="n"/>
      <c r="E29" s="190" t="n"/>
      <c r="F29" s="189" t="n"/>
      <c r="G29" s="189" t="n"/>
    </row>
    <row r="30" ht="15.75" customHeight="1" s="149">
      <c r="A30" s="185" t="n"/>
      <c r="B30" s="185" t="n"/>
      <c r="C30" s="186" t="n"/>
      <c r="D30" s="186" t="n"/>
      <c r="E30" s="187" t="n"/>
      <c r="F30" s="186" t="n"/>
      <c r="G30" s="186" t="n"/>
    </row>
    <row r="31" ht="15.75" customHeight="1" s="149">
      <c r="A31" s="188" t="n"/>
      <c r="B31" s="188" t="n"/>
      <c r="C31" s="189" t="n"/>
      <c r="D31" s="189" t="n"/>
      <c r="E31" s="190" t="n"/>
      <c r="F31" s="189" t="n"/>
      <c r="G31" s="189" t="n"/>
    </row>
    <row r="32" ht="15.75" customHeight="1" s="149">
      <c r="A32" s="185" t="n"/>
      <c r="B32" s="185" t="n"/>
      <c r="C32" s="186" t="n"/>
      <c r="D32" s="186" t="n"/>
      <c r="E32" s="187" t="n"/>
      <c r="F32" s="186" t="n"/>
      <c r="G32" s="186" t="n"/>
    </row>
    <row r="33" ht="15.75" customHeight="1" s="149">
      <c r="A33" s="188" t="n"/>
      <c r="B33" s="188" t="n"/>
      <c r="C33" s="189" t="n"/>
      <c r="D33" s="189" t="n"/>
      <c r="E33" s="190" t="n"/>
      <c r="F33" s="189" t="n"/>
      <c r="G33" s="189" t="n"/>
    </row>
    <row r="34" ht="15.75" customHeight="1" s="149">
      <c r="A34" s="185" t="n"/>
      <c r="B34" s="185" t="n"/>
      <c r="C34" s="186" t="n"/>
      <c r="D34" s="186" t="n"/>
      <c r="E34" s="187" t="n"/>
      <c r="F34" s="186" t="n"/>
      <c r="G34" s="186" t="n"/>
    </row>
    <row r="35" ht="15.75" customHeight="1" s="149">
      <c r="A35" s="188" t="n"/>
      <c r="B35" s="188" t="n"/>
      <c r="C35" s="189" t="n"/>
      <c r="D35" s="189" t="n"/>
      <c r="E35" s="190" t="n"/>
      <c r="F35" s="189" t="n"/>
      <c r="G35" s="189" t="n"/>
    </row>
    <row r="36" ht="15.75" customHeight="1" s="149">
      <c r="A36" s="185" t="n"/>
      <c r="B36" s="185" t="n"/>
      <c r="C36" s="186" t="n"/>
      <c r="D36" s="186" t="n"/>
      <c r="E36" s="187" t="n"/>
      <c r="F36" s="186" t="n"/>
      <c r="G36" s="186" t="n"/>
    </row>
    <row r="37" ht="15.75" customHeight="1" s="149">
      <c r="A37" s="188" t="n"/>
      <c r="B37" s="188" t="n"/>
      <c r="C37" s="189" t="n"/>
      <c r="D37" s="189" t="n"/>
      <c r="E37" s="190" t="n"/>
      <c r="F37" s="189" t="n"/>
      <c r="G37" s="189" t="n"/>
    </row>
    <row r="38" ht="15.75" customHeight="1" s="149">
      <c r="A38" s="185" t="n"/>
      <c r="B38" s="185" t="n"/>
      <c r="C38" s="186" t="n"/>
      <c r="D38" s="186" t="n"/>
      <c r="E38" s="187" t="n"/>
      <c r="F38" s="186" t="n"/>
      <c r="G38" s="186" t="n"/>
    </row>
    <row r="39" ht="15.75" customHeight="1" s="149">
      <c r="A39" s="188" t="n"/>
      <c r="B39" s="188" t="n"/>
      <c r="C39" s="189" t="n"/>
      <c r="D39" s="189" t="n"/>
      <c r="E39" s="190" t="n"/>
      <c r="F39" s="189" t="n"/>
      <c r="G39" s="189" t="n"/>
    </row>
    <row r="40" ht="15.75" customHeight="1" s="149">
      <c r="A40" s="118" t="n"/>
      <c r="B40" s="118" t="n"/>
      <c r="C40" s="119" t="n"/>
      <c r="D40" s="119" t="n"/>
      <c r="E40" s="87" t="n"/>
      <c r="F40" s="119" t="n"/>
      <c r="G40" s="119" t="n"/>
    </row>
    <row r="41" ht="15.75" customHeight="1" s="149">
      <c r="A41" s="118" t="n"/>
      <c r="B41" s="118" t="n"/>
      <c r="C41" s="119" t="n"/>
      <c r="D41" s="119" t="n"/>
      <c r="E41" s="87" t="n"/>
      <c r="F41" s="119" t="n"/>
      <c r="G41" s="119" t="n"/>
    </row>
    <row r="42" ht="15.75" customHeight="1" s="149">
      <c r="A42" s="88" t="n"/>
      <c r="B42" s="88" t="n"/>
      <c r="C42" s="119" t="n"/>
      <c r="D42" s="89" t="n"/>
      <c r="E42" s="90" t="n"/>
      <c r="F42" s="89" t="n"/>
      <c r="G42" s="89" t="n"/>
    </row>
    <row r="43" ht="15.75" customHeight="1" s="149">
      <c r="A43" s="88" t="n"/>
      <c r="B43" s="88" t="n"/>
      <c r="C43" s="119" t="n"/>
      <c r="D43" s="89" t="n"/>
      <c r="E43" s="90" t="n"/>
      <c r="F43" s="89" t="n"/>
      <c r="G43" s="89" t="n"/>
    </row>
    <row r="44" ht="15.75" customHeight="1" s="149">
      <c r="A44" s="118" t="n"/>
      <c r="B44" s="118" t="n"/>
      <c r="C44" s="119" t="n"/>
      <c r="D44" s="119" t="n"/>
      <c r="E44" s="87" t="n"/>
      <c r="F44" s="119" t="n"/>
      <c r="G44" s="119" t="n"/>
    </row>
    <row r="45" ht="15.75" customHeight="1" s="149">
      <c r="A45" s="88" t="n"/>
      <c r="B45" s="88" t="n"/>
      <c r="C45" s="119" t="n"/>
      <c r="D45" s="89" t="n"/>
      <c r="E45" s="90" t="n"/>
      <c r="F45" s="89" t="n"/>
      <c r="G45" s="89" t="n"/>
    </row>
    <row r="46" ht="15.75" customHeight="1" s="149">
      <c r="A46" s="118" t="n"/>
      <c r="B46" s="118" t="n"/>
      <c r="C46" s="119" t="n"/>
      <c r="D46" s="119" t="n"/>
      <c r="E46" s="87" t="n"/>
      <c r="F46" s="119" t="n"/>
      <c r="G46" s="91" t="n"/>
    </row>
    <row r="47" ht="15.75" customHeight="1" s="149">
      <c r="A47" s="118" t="n"/>
      <c r="B47" s="118" t="n"/>
      <c r="C47" s="119" t="n"/>
      <c r="D47" s="119" t="n"/>
      <c r="E47" s="87" t="n"/>
      <c r="F47" s="119" t="n"/>
      <c r="G47" s="119" t="n"/>
    </row>
    <row r="48" ht="15.75" customHeight="1" s="149">
      <c r="A48" s="88" t="n"/>
      <c r="B48" s="88" t="n"/>
      <c r="C48" s="119" t="n"/>
      <c r="D48" s="89" t="n"/>
      <c r="E48" s="90" t="n"/>
      <c r="F48" s="89" t="n"/>
      <c r="G48" s="89" t="n"/>
    </row>
    <row r="49" ht="15.75" customHeight="1" s="149">
      <c r="A49" s="118" t="n"/>
      <c r="B49" s="118" t="n"/>
      <c r="C49" s="119" t="n"/>
      <c r="D49" s="119" t="n"/>
      <c r="E49" s="87" t="n"/>
      <c r="F49" s="119" t="n"/>
      <c r="G49" s="119" t="n"/>
    </row>
    <row r="50" ht="15.75" customHeight="1" s="149">
      <c r="A50" s="88" t="n"/>
      <c r="B50" s="88" t="n"/>
      <c r="C50" s="119" t="n"/>
      <c r="D50" s="89" t="n"/>
      <c r="E50" s="90" t="n"/>
      <c r="F50" s="89" t="n"/>
      <c r="G50" s="89" t="n"/>
    </row>
    <row r="51" ht="15.75" customHeight="1" s="149">
      <c r="A51" s="88" t="n"/>
      <c r="B51" s="88" t="n"/>
      <c r="C51" s="119" t="n"/>
      <c r="D51" s="89" t="n"/>
      <c r="E51" s="89" t="n"/>
      <c r="F51" s="89" t="n"/>
      <c r="G51" s="89" t="n"/>
    </row>
    <row r="52" ht="15.75" customHeight="1" s="149">
      <c r="A52" s="88" t="n"/>
      <c r="B52" s="88" t="n"/>
      <c r="C52" s="119" t="n"/>
      <c r="D52" s="89" t="n"/>
      <c r="E52" s="90" t="n"/>
      <c r="F52" s="89" t="n"/>
      <c r="G52" s="89"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23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30" customWidth="1" style="149" min="3" max="3"/>
    <col width="20" customWidth="1" style="149" min="4" max="4"/>
    <col width="44" customWidth="1" style="149" min="5" max="5"/>
    <col width="14.43" customWidth="1" style="149" min="6" max="6"/>
  </cols>
  <sheetData>
    <row r="1">
      <c r="A1" s="83" t="inlineStr">
        <is>
          <t>NUR235  ·  Exam Reviews</t>
        </is>
      </c>
      <c r="F1" s="5" t="n"/>
      <c r="G1" s="5" t="n"/>
    </row>
    <row r="2">
      <c r="A2" s="9" t="inlineStr">
        <is>
          <t>NUR234</t>
        </is>
      </c>
      <c r="B2" s="11" t="inlineStr">
        <is>
          <t>NUR235</t>
        </is>
      </c>
      <c r="C2" s="9" t="inlineStr">
        <is>
          <t>NUR258</t>
        </is>
      </c>
      <c r="D2" s="17" t="inlineStr">
        <is>
          <t>🏠 START HERE</t>
        </is>
      </c>
      <c r="E2" s="15" t="inlineStr">
        <is>
          <t>📥 Sort me</t>
        </is>
      </c>
      <c r="F2" s="5" t="n"/>
      <c r="G2" s="5" t="n"/>
    </row>
    <row r="3">
      <c r="A3" s="19" t="inlineStr">
        <is>
          <t>Fadell</t>
        </is>
      </c>
      <c r="B3" s="19" t="inlineStr">
        <is>
          <t>Fuller</t>
        </is>
      </c>
      <c r="C3" s="19" t="inlineStr">
        <is>
          <t>Exam Reviews</t>
        </is>
      </c>
      <c r="D3" s="19" t="n"/>
      <c r="E3" s="27">
        <f>HYPERLINK('START HERE'!$B$36,"Zoom")</f>
        <v/>
      </c>
      <c r="F3" s="19" t="inlineStr">
        <is>
          <t>Review videos</t>
        </is>
      </c>
      <c r="G3" s="5" t="n"/>
    </row>
    <row r="4">
      <c r="A4" s="16" t="n"/>
      <c r="B4" s="16" t="n"/>
      <c r="C4" s="16" t="n"/>
      <c r="D4" s="16" t="n"/>
      <c r="E4" s="16" t="n"/>
      <c r="F4" s="5" t="n"/>
      <c r="G4" s="5" t="n"/>
    </row>
    <row r="5">
      <c r="A5" s="184" t="inlineStr">
        <is>
          <t>Exam</t>
        </is>
      </c>
      <c r="B5" s="184" t="inlineStr">
        <is>
          <t>Date</t>
        </is>
      </c>
      <c r="C5" s="184" t="inlineStr">
        <is>
          <t>Item</t>
        </is>
      </c>
      <c r="D5" s="184" t="inlineStr">
        <is>
          <t>Link</t>
        </is>
      </c>
      <c r="E5" s="184" t="inlineStr">
        <is>
          <t>Notes</t>
        </is>
      </c>
      <c r="F5" s="5" t="n"/>
      <c r="G5" s="5" t="n"/>
    </row>
    <row r="6">
      <c r="A6" s="185" t="inlineStr">
        <is>
          <t>Exam 1</t>
        </is>
      </c>
      <c r="B6" s="185" t="n"/>
      <c r="C6" s="186" t="inlineStr">
        <is>
          <t>Practice questions</t>
        </is>
      </c>
      <c r="D6" s="187">
        <f>HYPERLINK("https://drive.google.com/file/d/1Yv94xKT8ZGHW1GnrXWKFS0_AD8U-WOqr/view","📄  Open")</f>
        <v/>
      </c>
      <c r="E6" s="186" t="inlineStr">
        <is>
          <t>Exam prep sessions hosted by Hansen (Student Success Coach)</t>
        </is>
      </c>
      <c r="F6" s="5" t="n"/>
      <c r="G6" s="5" t="n"/>
    </row>
    <row r="7">
      <c r="A7" s="188" t="inlineStr">
        <is>
          <t>Exam 1</t>
        </is>
      </c>
      <c r="B7" s="188" t="inlineStr">
        <is>
          <t>Fall 2026</t>
        </is>
      </c>
      <c r="C7" s="190" t="inlineStr">
        <is>
          <t>▶  Watch</t>
        </is>
      </c>
      <c r="D7" s="190">
        <f>HYPERLINK("https://drive.google.com/file/d/1lqXPhN9o-ayC8BgLBvmGYn7pC1ZoGJDF/view?usp=drive_link","▶  Watch")</f>
        <v/>
      </c>
      <c r="E7" s="189" t="inlineStr">
        <is>
          <t>Exam prep session. Open = your Drive copy. (The Zoom cloud-copy link was taken out: a Zoom share link cannot go in a public file.)</t>
        </is>
      </c>
      <c r="F7" s="5" t="n"/>
      <c r="G7" s="5" t="n"/>
    </row>
    <row r="8">
      <c r="A8" s="185" t="inlineStr">
        <is>
          <t>Exam 1</t>
        </is>
      </c>
      <c r="B8" s="185" t="inlineStr">
        <is>
          <t>Fall 2026</t>
        </is>
      </c>
      <c r="C8" s="186" t="inlineStr">
        <is>
          <t>My materials - Safe medication dosing (screen recording)</t>
        </is>
      </c>
      <c r="D8" s="187">
        <f>HYPERLINK("https://drive.google.com/file/d/1m7ndwN9KgjnwxDNUhgTavtPSTIvYiiEv/view","▶  Watch")</f>
        <v/>
      </c>
      <c r="E8" s="186" t="inlineStr">
        <is>
          <t>NUR 235 Safe Medication Dosing.mp4 - recorded on your phone 1 Sep</t>
        </is>
      </c>
      <c r="F8" s="5" t="n"/>
      <c r="G8" s="5" t="n"/>
    </row>
    <row r="9">
      <c r="A9" s="188" t="inlineStr">
        <is>
          <t>Exam 1</t>
        </is>
      </c>
      <c r="B9" s="188" t="inlineStr">
        <is>
          <t>Fall 2026</t>
        </is>
      </c>
      <c r="C9" s="189" t="inlineStr">
        <is>
          <t>My materials - Sun 7 Sep 11:14 PM peds exam prep (screen recording)</t>
        </is>
      </c>
      <c r="D9" s="190">
        <f>HYPERLINK("https://drive.google.com/file/d/1JwaR3f16rJ4pRerDYTyBWV3275ec2DCK/view","▶  Watch")</f>
        <v/>
      </c>
      <c r="E9" s="189" t="inlineStr">
        <is>
          <t>Growth and development, medication, pain, practice questions - from the speech index. In the NUR 235 folder</t>
        </is>
      </c>
      <c r="F9" s="5" t="n"/>
      <c r="G9" s="5" t="n"/>
    </row>
    <row r="10">
      <c r="A10" s="185" t="inlineStr">
        <is>
          <t>Exam 1</t>
        </is>
      </c>
      <c r="B10" s="185" t="inlineStr">
        <is>
          <t>Fall 2026</t>
        </is>
      </c>
      <c r="C10" s="186" t="inlineStr">
        <is>
          <t>LSC exam prep - Module 3 - Nursing Care of the Toddler (Wed 17 Sep 2:35 AM screen recording)</t>
        </is>
      </c>
      <c r="D10" s="187">
        <f>HYPERLINK("https://drive.google.com/file/d/1Aj9UzswT3iwPQ9YpN-f-Ca7BmAncXFIh/view","▶  Watch")</f>
        <v/>
      </c>
      <c r="E10" s="186" t="inlineStr">
        <is>
          <t>7 practice questions with Dr Hansen - a second capture of the 35-02 session already in this list - 171 MB</t>
        </is>
      </c>
      <c r="F10" s="5" t="n"/>
      <c r="G10" s="5" t="n"/>
    </row>
    <row r="11">
      <c r="A11" s="188" t="inlineStr">
        <is>
          <t>Exam 1</t>
        </is>
      </c>
      <c r="B11" s="188" t="inlineStr">
        <is>
          <t>Fall 2026</t>
        </is>
      </c>
      <c r="C11" s="189" t="inlineStr">
        <is>
          <t>Module 1 - Intro to peds, hospitalized child, growth and development, immunizations, practice questions (Sun 7 Sep 7:17 PM)</t>
        </is>
      </c>
      <c r="D11" s="190">
        <f>HYPERLINK("https://drive.google.com/file/d/1vx2gy4TweCACMsjHOHIBJhV7xVMkFfDb/view","▶  Watch")</f>
        <v/>
      </c>
      <c r="E11" s="189" t="inlineStr">
        <is>
          <t>Exam prep session (LSC). Screen recording, Sun 7 Sep 7:17 PM. Google's speech index hears 'LSC exam prep' in this one, so the lecturer is confirmed as far as the index can tell</t>
        </is>
      </c>
      <c r="F11" s="5" t="n"/>
      <c r="G11" s="5" t="n"/>
    </row>
    <row r="12">
      <c r="A12" s="185" t="inlineStr">
        <is>
          <t>Exam 1</t>
        </is>
      </c>
      <c r="B12" s="185" t="inlineStr">
        <is>
          <t>Fall 2026</t>
        </is>
      </c>
      <c r="C12" s="186" t="inlineStr">
        <is>
          <t>Module 2 - Infant and toddler growth and development, immunizations, fever (Mon 8 Sep 2:08 AM)</t>
        </is>
      </c>
      <c r="D12" s="187">
        <f>HYPERLINK("https://drive.google.com/file/d/1xlH3LNS4jnxUKkNFj0rgTvrMmIFk6tG1/view","▶  Watch")</f>
        <v/>
      </c>
      <c r="E12" s="186" t="inlineStr">
        <is>
          <t>Exam prep session (LSC). Screen recording, Mon 8 Sep 2:08 AM. Google's speech index hears 'LSC exam prep' in this one too</t>
        </is>
      </c>
      <c r="F12" s="5" t="n"/>
      <c r="G12" s="5" t="n"/>
    </row>
    <row r="13">
      <c r="A13" s="188" t="inlineStr">
        <is>
          <t>Exam 1</t>
        </is>
      </c>
      <c r="B13" s="188" t="inlineStr">
        <is>
          <t>Fall 2026</t>
        </is>
      </c>
      <c r="C13" s="189" t="inlineStr">
        <is>
          <t>Module 2 - Nursing Care of the Infant</t>
        </is>
      </c>
      <c r="D13" s="190">
        <f>HYPERLINK("https://drive.google.com/file/d/1rnhbgdN-mt_4c7fwFVRgm2TXVjH6JVBY/view","▶  Watch")</f>
        <v/>
      </c>
      <c r="E13" s="189" t="inlineStr">
        <is>
          <t>Exam prep session (LSC). LSC exam prep, 70:38</t>
        </is>
      </c>
      <c r="F13" s="5" t="n"/>
      <c r="G13" s="5" t="n"/>
    </row>
    <row r="14">
      <c r="A14" s="185" t="inlineStr">
        <is>
          <t>Exam 1</t>
        </is>
      </c>
      <c r="B14" s="185" t="inlineStr">
        <is>
          <t>Fall 2026</t>
        </is>
      </c>
      <c r="C14" s="186" t="inlineStr">
        <is>
          <t>Module 3 - Nursing Care of the Toddler</t>
        </is>
      </c>
      <c r="D14" s="187">
        <f>HYPERLINK("https://drive.google.com/file/d/1gor8Pva0hBizoWHTNGP6BUK0gag7HrY2/view","▶  Watch")</f>
        <v/>
      </c>
      <c r="E14" s="186" t="inlineStr">
        <is>
          <t>Exam prep session (LSC). LSC exam prep, 35:02</t>
        </is>
      </c>
      <c r="F14" s="5" t="n"/>
      <c r="G14" s="5" t="n"/>
    </row>
    <row r="15">
      <c r="A15" s="188" t="inlineStr">
        <is>
          <t>Exam 1</t>
        </is>
      </c>
      <c r="B15" s="188" t="inlineStr">
        <is>
          <t>Fall 2026</t>
        </is>
      </c>
      <c r="C15" s="189" t="inlineStr">
        <is>
          <t>Module 3 - Nursing Care of the Preschooler</t>
        </is>
      </c>
      <c r="D15" s="190">
        <f>HYPERLINK("https://drive.google.com/file/d/1rk1Ok5HDNRH6esJ__Z6BV1wZ5MEYUu1f/view","▶  Watch")</f>
        <v/>
      </c>
      <c r="E15" s="189" t="inlineStr">
        <is>
          <t>Exam prep session (LSC). LSC exam prep. A second capture of this one also exists</t>
        </is>
      </c>
      <c r="F15" s="5" t="n"/>
      <c r="G15" s="5" t="n"/>
    </row>
    <row r="16">
      <c r="A16" s="185" t="inlineStr">
        <is>
          <t>Exam 1</t>
        </is>
      </c>
      <c r="B16" s="185" t="inlineStr">
        <is>
          <t>Fall 2026</t>
        </is>
      </c>
      <c r="C16" s="186" t="inlineStr">
        <is>
          <t>Module 4 - Nursing Care of the School-Age Child</t>
        </is>
      </c>
      <c r="D16" s="187">
        <f>HYPERLINK("https://drive.google.com/file/d/1izfDnsJoLDnQhf55vmUe85stCusSDfP-/view","▶  Watch")</f>
        <v/>
      </c>
      <c r="E16" s="186" t="inlineStr">
        <is>
          <t>Exam prep session (LSC). LSC exam prep, 35:04</t>
        </is>
      </c>
      <c r="F16" s="5" t="n"/>
      <c r="G16" s="5" t="n"/>
    </row>
    <row r="17">
      <c r="A17" s="188" t="inlineStr">
        <is>
          <t>Exam 1</t>
        </is>
      </c>
      <c r="B17" s="188" t="inlineStr">
        <is>
          <t>Fall 2026</t>
        </is>
      </c>
      <c r="C17" s="189" t="inlineStr">
        <is>
          <t>Module 4 - Nursing Care of the Adolescent</t>
        </is>
      </c>
      <c r="D17" s="190">
        <f>HYPERLINK("https://drive.google.com/file/d/1EFH6k3BJu1rk1apemXXIl7p8HGaTZgoL/view","▶  Watch")</f>
        <v/>
      </c>
      <c r="E17" s="189" t="inlineStr">
        <is>
          <t>Exam prep session (LSC). LSC exam prep, 27:26</t>
        </is>
      </c>
      <c r="F17" s="5" t="n"/>
      <c r="G17" s="5" t="n"/>
    </row>
    <row r="18">
      <c r="A18" s="185" t="inlineStr">
        <is>
          <t>Exam 2</t>
        </is>
      </c>
      <c r="B18" s="185" t="inlineStr">
        <is>
          <t>Fall 2026</t>
        </is>
      </c>
      <c r="C18" s="186" t="inlineStr">
        <is>
          <t>Module 5 - Hematological Disorders</t>
        </is>
      </c>
      <c r="D18" s="195">
        <f>HYPERLINK("https://drive.google.com/file/d/1TU_OEMhcr4Z9bKg7Zn7S0Y000iNNdGhI/view","▶  Watch")</f>
        <v/>
      </c>
      <c r="E18" s="186" t="inlineStr">
        <is>
          <t>Exam prep session (LSC). LSC exam prep</t>
        </is>
      </c>
      <c r="F18" s="5" t="n"/>
      <c r="G18" s="5" t="n"/>
    </row>
    <row r="19">
      <c r="A19" s="188" t="inlineStr">
        <is>
          <t>Exam 2</t>
        </is>
      </c>
      <c r="B19" s="188" t="inlineStr">
        <is>
          <t>Fall 2026</t>
        </is>
      </c>
      <c r="C19" s="189" t="inlineStr">
        <is>
          <t>Module 5 - Nursing Care of a Child with a Hematological Disorder</t>
        </is>
      </c>
      <c r="D19" s="196">
        <f>HYPERLINK("https://drive.google.com/file/d/1ZutElS6qcr0W4k79wWJln6AETDy1yFC3/view","▶  Watch")</f>
        <v/>
      </c>
      <c r="E19" s="189" t="inlineStr">
        <is>
          <t>Exam prep session (LSC). NUR235_Fall2026_LSC_Wk05_DayNA_Nursing Care of a Child with a Hematological Disorder.mp4</t>
        </is>
      </c>
      <c r="F19" s="5" t="n"/>
      <c r="G19" s="5" t="n"/>
    </row>
    <row r="20" ht="15.75" customHeight="1" s="149">
      <c r="A20" s="185" t="inlineStr">
        <is>
          <t>Exam 2</t>
        </is>
      </c>
      <c r="B20" s="185" t="inlineStr">
        <is>
          <t>Fall 2026</t>
        </is>
      </c>
      <c r="C20" s="186" t="inlineStr">
        <is>
          <t>Module 5 - Hematology and childhood neoplasms (6 Oct capture, 733 MB)</t>
        </is>
      </c>
      <c r="D20" s="195">
        <f>HYPERLINK("https://drive.google.com/file/d/1d_bEQJjCqnsH9mQIEsl6vRIz2Wh5gZAI/view","▶  Watch")</f>
        <v/>
      </c>
      <c r="E20" s="186" t="inlineStr">
        <is>
          <t>Exam prep session (LSC). Topic from the speech index (leukemia, anemia, transfusion, chemotherapy) - it was filed under NUR 258 Module 6 as "Endocrine II, second capture" until 6 Oct. Open it to confirm.</t>
        </is>
      </c>
      <c r="F20" s="5" t="n"/>
      <c r="G20" s="5" t="n"/>
    </row>
    <row r="21" ht="15.75" customHeight="1" s="149">
      <c r="A21" s="188" t="inlineStr">
        <is>
          <t>Exam 2</t>
        </is>
      </c>
      <c r="B21" s="188" t="inlineStr">
        <is>
          <t>Fall 2026</t>
        </is>
      </c>
      <c r="C21" s="189" t="inlineStr">
        <is>
          <t>Module 6 - Nursing Care of the Child with a Skin Disorder</t>
        </is>
      </c>
      <c r="D21" s="196">
        <f>HYPERLINK("https://drive.google.com/file/d/1v23KrzTLAwGtxZn5XUtCnt8sUoEl7dtH/view","▶  Watch")</f>
        <v/>
      </c>
      <c r="E21" s="189" t="inlineStr">
        <is>
          <t>Exam prep session (LSC), 45:15 on Canvas. Phone capture 6 Oct 2:33 PM (628 MB). A second, smaller capture from the Chrome recorder (119 MB) is in Nursing School Videos too - confirm it is the same session.</t>
        </is>
      </c>
      <c r="F21" s="5" t="n"/>
      <c r="G21" s="5" t="n"/>
    </row>
    <row r="22" ht="15.75" customHeight="1" s="149">
      <c r="A22" s="185" t="inlineStr">
        <is>
          <t>Exam 2</t>
        </is>
      </c>
      <c r="B22" s="185" t="inlineStr">
        <is>
          <t>Fall 2026</t>
        </is>
      </c>
      <c r="C22" s="186" t="inlineStr">
        <is>
          <t>Module 6 - Nursing Care of the Child with an Infectious Disease</t>
        </is>
      </c>
      <c r="D22" s="195">
        <f>HYPERLINK("https://drive.google.com/file/d/1hYPinVqhDUC1nPBB_78UnpIsRPrmFLDs/view","▶  Watch")</f>
        <v/>
      </c>
      <c r="E22" s="186" t="inlineStr">
        <is>
          <t>Exam prep session (LSC), 15:57 on Canvas. Phone capture 6 Oct 2:50 PM (288 MB). A second, smaller capture from the Chrome recorder (75 MB) is in Nursing School Videos too - confirm it is the same session.</t>
        </is>
      </c>
      <c r="F22" s="5" t="n"/>
    </row>
    <row r="23" ht="15.75" customHeight="1" s="149">
      <c r="A23" s="188" t="inlineStr">
        <is>
          <t>Exam 2</t>
        </is>
      </c>
      <c r="B23" s="188" t="inlineStr">
        <is>
          <t>Fall 2026</t>
        </is>
      </c>
      <c r="C23" s="189" t="inlineStr">
        <is>
          <t>My materials - Mon 5 Oct 9:16 PM child with fever and rash (PC screen recording, 337 MB)</t>
        </is>
      </c>
      <c r="D23" s="196">
        <f>HYPERLINK("https://drive.google.com/file/d/13KdLKVd8dTaWr4GP9DOFYtWoFRQaNyba/view","▶  Watch")</f>
        <v/>
      </c>
      <c r="E23" s="189" t="inlineStr">
        <is>
          <t>Topic from the speech index (child, fever, rash). Probably the Module 6 Immune or Infectious exam prep - open it and tell me.</t>
        </is>
      </c>
      <c r="F23" s="5" t="n"/>
    </row>
    <row r="24" ht="15.75" customHeight="1" s="149">
      <c r="A24" s="185" t="inlineStr">
        <is>
          <t>Exam 3</t>
        </is>
      </c>
      <c r="B24" s="185" t="n"/>
      <c r="C24" s="186" t="n"/>
      <c r="D24" s="186" t="n"/>
      <c r="E24" s="186" t="n"/>
      <c r="F24" s="5" t="n"/>
      <c r="G24" s="5" t="n"/>
    </row>
    <row r="25" ht="15.75" customHeight="1" s="149">
      <c r="A25" s="188" t="inlineStr">
        <is>
          <t>Exam 3</t>
        </is>
      </c>
      <c r="B25" s="188" t="n"/>
      <c r="C25" s="189" t="n"/>
      <c r="D25" s="189" t="n"/>
      <c r="E25" s="189" t="n"/>
      <c r="F25" s="5" t="n"/>
      <c r="G25" s="5" t="n"/>
    </row>
    <row r="26" ht="15.75" customHeight="1" s="149">
      <c r="A26" s="185" t="inlineStr">
        <is>
          <t>Exam 3</t>
        </is>
      </c>
      <c r="B26" s="185" t="n"/>
      <c r="C26" s="186" t="n"/>
      <c r="D26" s="186" t="n"/>
      <c r="E26" s="186" t="n"/>
      <c r="F26" s="5" t="n"/>
      <c r="G26" s="5" t="n"/>
    </row>
    <row r="27" ht="15.75" customHeight="1" s="149">
      <c r="A27" s="188" t="inlineStr">
        <is>
          <t>Exam 3</t>
        </is>
      </c>
      <c r="B27" s="188" t="n"/>
      <c r="C27" s="189" t="n"/>
      <c r="D27" s="189" t="n"/>
      <c r="E27" s="189" t="n"/>
      <c r="F27" s="5" t="n"/>
      <c r="G27" s="5" t="n"/>
    </row>
    <row r="28" ht="15.75" customHeight="1" s="149">
      <c r="A28" s="185" t="inlineStr">
        <is>
          <t>FINAL</t>
        </is>
      </c>
      <c r="B28" s="185" t="n"/>
      <c r="C28" s="186" t="n"/>
      <c r="D28" s="186" t="n"/>
      <c r="E28" s="186" t="n"/>
      <c r="F28" s="5" t="n"/>
      <c r="G28" s="5" t="n"/>
    </row>
    <row r="29" ht="15.75" customHeight="1" s="149">
      <c r="A29" s="188" t="inlineStr">
        <is>
          <t>FINAL</t>
        </is>
      </c>
      <c r="B29" s="188" t="n"/>
      <c r="C29" s="189" t="n"/>
      <c r="D29" s="189" t="n"/>
      <c r="E29" s="189" t="n"/>
      <c r="F29" s="5" t="n"/>
      <c r="G29" s="5" t="n"/>
    </row>
    <row r="30" ht="15.75" customHeight="1" s="149">
      <c r="A30" s="185" t="inlineStr">
        <is>
          <t>FINAL</t>
        </is>
      </c>
      <c r="B30" s="185" t="n"/>
      <c r="C30" s="186" t="inlineStr">
        <is>
          <t>Review session recording</t>
        </is>
      </c>
      <c r="D30" s="187">
        <f>HYPERLINK("https://drive.google.com/file/d/1Xd7riWCGJ-FYd7Jt2c7Q50Hz92ww5hpw/view","▶  Watch")</f>
        <v/>
      </c>
      <c r="E30" s="186" t="inlineStr">
        <is>
          <t>NUR235 final review.mp4 - presenter not named in the file</t>
        </is>
      </c>
      <c r="F30" s="5" t="n"/>
      <c r="G30" s="5" t="n"/>
    </row>
    <row r="31" ht="15.75" customHeight="1" s="149">
      <c r="A31" s="188" t="inlineStr">
        <is>
          <t>FINAL</t>
        </is>
      </c>
      <c r="B31" s="188" t="n"/>
      <c r="C31" s="189" t="inlineStr">
        <is>
          <t>Other / my materials</t>
        </is>
      </c>
      <c r="D31" s="189" t="n"/>
      <c r="E31" s="189" t="n"/>
      <c r="F31" s="5" t="n"/>
      <c r="G31" s="5" t="n"/>
    </row>
    <row r="32" ht="15.75" customHeight="1" s="149">
      <c r="A32" s="185" t="inlineStr">
        <is>
          <t>Exam 2</t>
        </is>
      </c>
      <c r="B32" s="185" t="inlineStr">
        <is>
          <t>Fall 2026</t>
        </is>
      </c>
      <c r="C32" s="186" t="inlineStr">
        <is>
          <t>Module 7 - Nursing Care of the Child with a Neurological Disorder</t>
        </is>
      </c>
      <c r="D32" s="195">
        <f>HYPERLINK("https://drive.google.com/file/d/1jMWRv0uxjAs2bSEjTdwAacSD7E8QFLEz/view","▶  Watch")</f>
        <v/>
      </c>
      <c r="E32" s="186" t="inlineStr">
        <is>
          <t>LSC exam prep. Screen recording uploaded 12 Oct.</t>
        </is>
      </c>
      <c r="F32" s="5" t="n"/>
      <c r="G32" s="5" t="n"/>
    </row>
    <row r="33" ht="15.75" customHeight="1" s="149">
      <c r="A33" s="188" t="n"/>
      <c r="B33" s="188" t="n"/>
      <c r="C33" s="189" t="n"/>
      <c r="D33" s="196" t="n"/>
      <c r="E33" s="189" t="n"/>
      <c r="F33" s="5" t="n"/>
      <c r="G33" s="5" t="n"/>
    </row>
    <row r="34" ht="15.75" customHeight="1" s="149">
      <c r="A34" s="186" t="n"/>
      <c r="B34" s="186" t="n"/>
      <c r="C34" s="186" t="n"/>
      <c r="D34" s="186" t="n"/>
      <c r="E34" s="186" t="n"/>
      <c r="F34" s="5" t="n"/>
      <c r="G34" s="5" t="n"/>
    </row>
    <row r="35" ht="15.75" customHeight="1" s="149">
      <c r="A35" s="189" t="n"/>
      <c r="B35" s="189" t="n"/>
      <c r="C35" s="189" t="n"/>
      <c r="D35" s="189" t="n"/>
      <c r="E35" s="189" t="n"/>
      <c r="F35" s="5" t="n"/>
      <c r="G35" s="5" t="n"/>
    </row>
    <row r="36" ht="15.75" customHeight="1" s="149">
      <c r="A36" s="186" t="n"/>
      <c r="B36" s="186" t="n"/>
      <c r="C36" s="186" t="n"/>
      <c r="D36" s="186" t="n"/>
      <c r="E36" s="186" t="n"/>
      <c r="F36" s="5" t="n"/>
      <c r="G36" s="5" t="n"/>
    </row>
    <row r="37" ht="15.75" customHeight="1" s="149">
      <c r="A37" s="189" t="n"/>
      <c r="B37" s="189" t="n"/>
      <c r="C37" s="189" t="n"/>
      <c r="D37" s="189" t="n"/>
      <c r="E37" s="189" t="n"/>
      <c r="F37" s="5" t="n"/>
      <c r="G37" s="5" t="n"/>
    </row>
    <row r="38" ht="15.75" customHeight="1" s="149">
      <c r="A38" s="186" t="n"/>
      <c r="B38" s="186" t="n"/>
      <c r="C38" s="186" t="n"/>
      <c r="D38" s="186" t="n"/>
      <c r="E38" s="186" t="n"/>
      <c r="F38" s="5" t="n"/>
      <c r="G38" s="5" t="n"/>
    </row>
    <row r="39" ht="15.75" customHeight="1" s="149">
      <c r="A39" s="189" t="n"/>
      <c r="B39" s="189" t="n"/>
      <c r="C39" s="189" t="n"/>
      <c r="D39" s="189" t="n"/>
      <c r="E39" s="189" t="n"/>
      <c r="F39" s="5" t="n"/>
      <c r="G39" s="5" t="n"/>
    </row>
    <row r="40" ht="15.75" customHeight="1" s="149">
      <c r="A40" s="192" t="n"/>
      <c r="B40" s="192" t="n"/>
      <c r="C40" s="192" t="n"/>
      <c r="D40" s="192" t="n"/>
      <c r="E40" s="192" t="n"/>
      <c r="F40" s="5" t="n"/>
      <c r="G40" s="5" t="n"/>
    </row>
    <row r="41" ht="15.75" customHeight="1" s="149">
      <c r="A41" s="193" t="n"/>
      <c r="B41" s="193" t="n"/>
      <c r="C41" s="193" t="n"/>
      <c r="D41" s="193" t="n"/>
      <c r="E41" s="193" t="n"/>
      <c r="F41" s="5" t="n"/>
      <c r="G41" s="5" t="n"/>
    </row>
    <row r="42" ht="15.75" customHeight="1" s="149">
      <c r="A42" s="192" t="n"/>
      <c r="B42" s="192" t="n"/>
      <c r="C42" s="192" t="n"/>
      <c r="D42" s="192" t="n"/>
      <c r="E42" s="192" t="n"/>
      <c r="F42" s="5" t="n"/>
      <c r="G42" s="5" t="n"/>
    </row>
    <row r="43" ht="15.75" customHeight="1" s="149">
      <c r="A43" s="193" t="n"/>
      <c r="B43" s="193" t="n"/>
      <c r="C43" s="193" t="n"/>
      <c r="D43" s="193" t="n"/>
      <c r="E43" s="193" t="n"/>
      <c r="F43" s="5" t="n"/>
      <c r="G43" s="5" t="n"/>
    </row>
    <row r="44" ht="15.75" customHeight="1" s="149">
      <c r="A44" s="192" t="n"/>
      <c r="B44" s="192" t="n"/>
      <c r="C44" s="192" t="n"/>
      <c r="D44" s="192" t="n"/>
      <c r="E44" s="192" t="n"/>
      <c r="F44" s="5" t="n"/>
      <c r="G44" s="5" t="n"/>
    </row>
    <row r="45" ht="15.75" customHeight="1" s="149">
      <c r="A45" s="193" t="n"/>
      <c r="B45" s="193" t="n"/>
      <c r="C45" s="193" t="n"/>
      <c r="D45" s="193" t="n"/>
      <c r="E45" s="193" t="n"/>
      <c r="F45" s="5" t="n"/>
      <c r="G45" s="5" t="n"/>
    </row>
    <row r="46" ht="15.75" customHeight="1" s="149">
      <c r="A46" s="192" t="n"/>
      <c r="B46" s="192" t="n"/>
      <c r="C46" s="192" t="n"/>
      <c r="D46" s="192" t="n"/>
      <c r="E46" s="192" t="n"/>
      <c r="F46" s="5" t="n"/>
      <c r="G46" s="5" t="n"/>
    </row>
    <row r="47" ht="15.75" customHeight="1" s="149">
      <c r="A47" s="193" t="n"/>
      <c r="B47" s="193" t="n"/>
      <c r="C47" s="193" t="n"/>
      <c r="D47" s="193" t="n"/>
      <c r="E47" s="193" t="n"/>
      <c r="F47" s="5" t="n"/>
      <c r="G47" s="5" t="n"/>
    </row>
    <row r="48" ht="15.75" customHeight="1" s="149">
      <c r="A48" s="5" t="n"/>
      <c r="B48" s="5" t="n"/>
      <c r="C48" s="5" t="n"/>
      <c r="D48" s="5" t="n"/>
      <c r="E48" s="5" t="n"/>
      <c r="F48" s="5" t="n"/>
      <c r="G48" s="5"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row>
    <row r="72" ht="15.75" customHeight="1" s="149">
      <c r="A72" s="5" t="n"/>
      <c r="B72" s="5" t="n"/>
      <c r="C72" s="5" t="n"/>
      <c r="D72" s="5" t="n"/>
      <c r="E72" s="5" t="n"/>
      <c r="F72" s="5" t="n"/>
    </row>
    <row r="73" ht="15.75" customHeight="1" s="149">
      <c r="A73" s="5" t="n"/>
      <c r="B73" s="5" t="n"/>
      <c r="C73" s="5" t="n"/>
      <c r="D73" s="5" t="n"/>
      <c r="E73" s="5" t="n"/>
      <c r="F73" s="5" t="n"/>
    </row>
    <row r="74" ht="15.75" customHeight="1" s="149">
      <c r="A74" s="5" t="n"/>
      <c r="B74" s="5" t="n"/>
      <c r="C74" s="5" t="n"/>
      <c r="D74" s="5" t="n"/>
      <c r="E74" s="5" t="n"/>
      <c r="F74" s="5" t="n"/>
    </row>
    <row r="75" ht="15.75" customHeight="1" s="149">
      <c r="A75" s="5" t="n"/>
      <c r="B75" s="5" t="n"/>
      <c r="C75" s="5" t="n"/>
      <c r="D75" s="5" t="n"/>
      <c r="E75" s="5" t="n"/>
      <c r="F75" s="5" t="n"/>
    </row>
    <row r="76" ht="15.75" customHeight="1" s="149">
      <c r="A76" s="5" t="n"/>
      <c r="B76" s="5" t="n"/>
      <c r="C76" s="5" t="n"/>
      <c r="D76" s="5" t="n"/>
      <c r="E76" s="5" t="n"/>
      <c r="F76" s="5" t="n"/>
    </row>
    <row r="77" ht="15.75" customHeight="1" s="149">
      <c r="A77" s="5" t="n"/>
      <c r="B77" s="5" t="n"/>
      <c r="C77" s="5" t="n"/>
      <c r="D77" s="5" t="n"/>
      <c r="E77" s="5" t="n"/>
      <c r="F77" s="5" t="n"/>
    </row>
    <row r="78" ht="15.75" customHeight="1" s="149">
      <c r="A78" s="5" t="n"/>
      <c r="B78" s="5" t="n"/>
      <c r="C78" s="5" t="n"/>
      <c r="D78" s="5" t="n"/>
      <c r="E78" s="5" t="n"/>
      <c r="F78" s="5" t="n"/>
    </row>
    <row r="79" ht="15.75" customHeight="1" s="149">
      <c r="A79" s="5" t="n"/>
      <c r="B79" s="5" t="n"/>
      <c r="C79" s="5" t="n"/>
      <c r="D79" s="5" t="n"/>
      <c r="E79" s="5" t="n"/>
      <c r="F79" s="5" t="n"/>
    </row>
    <row r="80" ht="15.75" customHeight="1" s="149">
      <c r="A80" s="5" t="n"/>
      <c r="B80" s="5" t="n"/>
      <c r="C80" s="5" t="n"/>
      <c r="D80" s="5" t="n"/>
      <c r="E80" s="5" t="n"/>
      <c r="F80" s="5" t="n"/>
    </row>
    <row r="81" ht="15.75" customHeight="1" s="149">
      <c r="A81" s="5" t="n"/>
      <c r="B81" s="5" t="n"/>
      <c r="C81" s="5" t="n"/>
      <c r="D81" s="5" t="n"/>
      <c r="E81" s="5" t="n"/>
      <c r="F81" s="5" t="n"/>
    </row>
    <row r="82" ht="15.75" customHeight="1" s="149">
      <c r="A82" s="5" t="n"/>
      <c r="B82" s="5" t="n"/>
      <c r="C82" s="5" t="n"/>
      <c r="D82" s="5" t="n"/>
      <c r="E82" s="5" t="n"/>
      <c r="F82" s="5" t="n"/>
    </row>
    <row r="83" ht="15.75" customHeight="1" s="149">
      <c r="A83" s="5" t="n"/>
      <c r="B83" s="5" t="n"/>
      <c r="C83" s="5" t="n"/>
      <c r="D83" s="5" t="n"/>
      <c r="E83" s="5" t="n"/>
      <c r="F83" s="5" t="n"/>
    </row>
    <row r="84" ht="15.75" customHeight="1" s="149">
      <c r="A84" s="5" t="n"/>
      <c r="B84" s="5" t="n"/>
      <c r="C84" s="5" t="n"/>
      <c r="D84" s="5" t="n"/>
      <c r="E84" s="5" t="n"/>
      <c r="F84" s="5" t="n"/>
    </row>
    <row r="85" ht="15.75" customHeight="1" s="149">
      <c r="A85" s="5" t="n"/>
      <c r="B85" s="5" t="n"/>
      <c r="C85" s="5" t="n"/>
      <c r="D85" s="5" t="n"/>
      <c r="E85" s="5" t="n"/>
      <c r="F85" s="5" t="n"/>
    </row>
    <row r="86" ht="15.75" customHeight="1" s="149">
      <c r="A86" s="5" t="n"/>
      <c r="B86" s="5" t="n"/>
      <c r="C86" s="5" t="n"/>
      <c r="D86" s="5" t="n"/>
      <c r="E86" s="5" t="n"/>
      <c r="F86" s="5" t="n"/>
    </row>
    <row r="87" ht="15.75" customHeight="1" s="149">
      <c r="A87" s="5" t="n"/>
      <c r="B87" s="5" t="n"/>
      <c r="C87" s="5" t="n"/>
      <c r="D87" s="5" t="n"/>
      <c r="E87" s="5" t="n"/>
      <c r="F87" s="5" t="n"/>
    </row>
    <row r="88" ht="15.75" customHeight="1" s="149">
      <c r="A88" s="5" t="n"/>
      <c r="B88" s="5" t="n"/>
      <c r="C88" s="5" t="n"/>
      <c r="D88" s="5" t="n"/>
      <c r="E88" s="5" t="n"/>
      <c r="F88" s="5" t="n"/>
    </row>
    <row r="89" ht="15.75" customHeight="1" s="149">
      <c r="A89" s="5" t="n"/>
      <c r="B89" s="5" t="n"/>
      <c r="C89" s="5" t="n"/>
      <c r="D89" s="5" t="n"/>
      <c r="E89" s="5" t="n"/>
      <c r="F89" s="5" t="n"/>
    </row>
    <row r="90" ht="15.75" customHeight="1" s="149">
      <c r="A90" s="5" t="n"/>
      <c r="B90" s="5" t="n"/>
      <c r="C90" s="5" t="n"/>
      <c r="D90" s="5" t="n"/>
      <c r="E90" s="5" t="n"/>
      <c r="F90" s="5" t="n"/>
    </row>
    <row r="91" ht="15.75" customHeight="1" s="149">
      <c r="A91" s="5" t="n"/>
      <c r="B91" s="5" t="n"/>
      <c r="C91" s="5" t="n"/>
      <c r="D91" s="5" t="n"/>
      <c r="E91" s="5" t="n"/>
      <c r="F91" s="5" t="n"/>
    </row>
    <row r="92" ht="15.75" customHeight="1" s="149">
      <c r="A92" s="5" t="n"/>
      <c r="B92" s="5" t="n"/>
      <c r="C92" s="5" t="n"/>
      <c r="D92" s="5" t="n"/>
      <c r="E92" s="5" t="n"/>
      <c r="F92" s="5" t="n"/>
    </row>
    <row r="93" ht="15.75" customHeight="1" s="149">
      <c r="A93" s="5" t="n"/>
      <c r="B93" s="5" t="n"/>
      <c r="C93" s="5" t="n"/>
      <c r="D93" s="5" t="n"/>
      <c r="E93" s="5" t="n"/>
      <c r="F93" s="5" t="n"/>
    </row>
    <row r="94" ht="15.75" customHeight="1" s="149">
      <c r="A94" s="5" t="n"/>
      <c r="B94" s="5" t="n"/>
      <c r="C94" s="5" t="n"/>
      <c r="D94" s="5" t="n"/>
      <c r="E94" s="5" t="n"/>
      <c r="F94" s="5" t="n"/>
    </row>
    <row r="95" ht="15.75" customHeight="1" s="149">
      <c r="A95" s="5" t="n"/>
      <c r="B95" s="5" t="n"/>
      <c r="C95" s="5" t="n"/>
      <c r="D95" s="5" t="n"/>
      <c r="E95" s="5" t="n"/>
      <c r="F95" s="5" t="n"/>
    </row>
    <row r="96" ht="15.75" customHeight="1" s="149">
      <c r="A96" s="5" t="n"/>
      <c r="B96" s="5" t="n"/>
      <c r="C96" s="5" t="n"/>
      <c r="D96" s="5" t="n"/>
      <c r="E96" s="5" t="n"/>
      <c r="F96" s="5" t="n"/>
    </row>
    <row r="97" ht="15.75" customHeight="1" s="149">
      <c r="A97" s="5" t="n"/>
      <c r="B97" s="5" t="n"/>
      <c r="C97" s="5" t="n"/>
      <c r="D97" s="5" t="n"/>
      <c r="E97" s="5" t="n"/>
      <c r="F97" s="5" t="n"/>
    </row>
    <row r="98" ht="15.75" customHeight="1" s="149">
      <c r="A98" s="5" t="n"/>
      <c r="B98" s="5" t="n"/>
      <c r="C98" s="5" t="n"/>
      <c r="D98" s="5" t="n"/>
      <c r="E98" s="5" t="n"/>
      <c r="F98" s="5" t="n"/>
    </row>
    <row r="99" ht="15.75" customHeight="1" s="149">
      <c r="A99" s="5" t="n"/>
      <c r="B99" s="5" t="n"/>
      <c r="C99" s="5" t="n"/>
      <c r="D99" s="5" t="n"/>
      <c r="E99" s="5" t="n"/>
      <c r="F99" s="5" t="n"/>
    </row>
    <row r="100" ht="15.75" customHeight="1" s="149">
      <c r="A100" s="5" t="n"/>
      <c r="B100" s="5" t="n"/>
      <c r="C100" s="5" t="n"/>
      <c r="D100" s="5" t="n"/>
      <c r="E100" s="5" t="n"/>
      <c r="F100" s="5" t="n"/>
    </row>
    <row r="101" ht="15.75" customHeight="1" s="149">
      <c r="A101" s="5" t="n"/>
      <c r="B101" s="5" t="n"/>
      <c r="C101" s="5" t="n"/>
      <c r="D101" s="5" t="n"/>
      <c r="E101" s="5" t="n"/>
      <c r="F101" s="5" t="n"/>
    </row>
    <row r="102" ht="15.75" customHeight="1" s="149">
      <c r="A102" s="5" t="n"/>
      <c r="B102" s="5" t="n"/>
      <c r="C102" s="5" t="n"/>
      <c r="D102" s="5" t="n"/>
      <c r="E102" s="5" t="n"/>
      <c r="F102" s="5" t="n"/>
    </row>
    <row r="103" ht="15.75" customHeight="1" s="149">
      <c r="A103" s="5" t="n"/>
      <c r="B103" s="5" t="n"/>
      <c r="C103" s="5" t="n"/>
      <c r="D103" s="5" t="n"/>
      <c r="E103" s="5" t="n"/>
      <c r="F103" s="5" t="n"/>
    </row>
    <row r="104" ht="15.75" customHeight="1" s="149">
      <c r="A104" s="5" t="n"/>
      <c r="B104" s="5" t="n"/>
      <c r="C104" s="5" t="n"/>
      <c r="D104" s="5" t="n"/>
      <c r="E104" s="5" t="n"/>
      <c r="F104" s="5" t="n"/>
    </row>
    <row r="105" ht="15.75" customHeight="1" s="149">
      <c r="A105" s="5" t="n"/>
      <c r="B105" s="5" t="n"/>
      <c r="C105" s="5" t="n"/>
      <c r="D105" s="5" t="n"/>
      <c r="E105" s="5" t="n"/>
      <c r="F105" s="5" t="n"/>
    </row>
    <row r="106" ht="15.75" customHeight="1" s="149">
      <c r="A106" s="5" t="n"/>
      <c r="B106" s="5" t="n"/>
      <c r="C106" s="5" t="n"/>
      <c r="D106" s="5" t="n"/>
      <c r="E106" s="5" t="n"/>
      <c r="F106" s="5" t="n"/>
    </row>
    <row r="107" ht="15.75" customHeight="1" s="149">
      <c r="A107" s="5" t="n"/>
      <c r="B107" s="5" t="n"/>
      <c r="C107" s="5" t="n"/>
      <c r="D107" s="5" t="n"/>
      <c r="E107" s="5" t="n"/>
      <c r="F107" s="5" t="n"/>
    </row>
    <row r="108" ht="15.75" customHeight="1" s="149">
      <c r="A108" s="5" t="n"/>
      <c r="B108" s="5" t="n"/>
      <c r="C108" s="5" t="n"/>
      <c r="D108" s="5" t="n"/>
      <c r="E108" s="5" t="n"/>
      <c r="F108" s="5" t="n"/>
    </row>
    <row r="109" ht="15.75" customHeight="1" s="149">
      <c r="A109" s="5" t="n"/>
      <c r="B109" s="5" t="n"/>
      <c r="C109" s="5" t="n"/>
      <c r="D109" s="5" t="n"/>
      <c r="E109" s="5" t="n"/>
      <c r="F109" s="5" t="n"/>
    </row>
    <row r="110" ht="15.75" customHeight="1" s="149">
      <c r="A110" s="5" t="n"/>
      <c r="B110" s="5" t="n"/>
      <c r="C110" s="5" t="n"/>
      <c r="D110" s="5" t="n"/>
      <c r="E110" s="5" t="n"/>
      <c r="F110" s="5" t="n"/>
    </row>
    <row r="111" ht="15.75" customHeight="1" s="149">
      <c r="A111" s="5" t="n"/>
      <c r="B111" s="5" t="n"/>
      <c r="C111" s="5" t="n"/>
      <c r="D111" s="5" t="n"/>
      <c r="E111" s="5" t="n"/>
      <c r="F111" s="5" t="n"/>
    </row>
    <row r="112" ht="15.75" customHeight="1" s="149">
      <c r="A112" s="5" t="n"/>
      <c r="B112" s="5" t="n"/>
      <c r="C112" s="5" t="n"/>
      <c r="D112" s="5" t="n"/>
      <c r="E112" s="5" t="n"/>
      <c r="F112" s="5" t="n"/>
    </row>
    <row r="113" ht="15.75" customHeight="1" s="149">
      <c r="A113" s="5" t="n"/>
      <c r="B113" s="5" t="n"/>
      <c r="C113" s="5" t="n"/>
      <c r="D113" s="5" t="n"/>
      <c r="E113" s="5" t="n"/>
      <c r="F113" s="5" t="n"/>
    </row>
    <row r="114" ht="15.75" customHeight="1" s="149">
      <c r="A114" s="5" t="n"/>
      <c r="B114" s="5" t="n"/>
      <c r="C114" s="5" t="n"/>
      <c r="D114" s="5" t="n"/>
      <c r="E114" s="5" t="n"/>
      <c r="F114" s="5" t="n"/>
    </row>
    <row r="115" ht="15.75" customHeight="1" s="149">
      <c r="A115" s="5" t="n"/>
      <c r="B115" s="5" t="n"/>
      <c r="C115" s="5" t="n"/>
      <c r="D115" s="5" t="n"/>
      <c r="E115" s="5" t="n"/>
      <c r="F115" s="5" t="n"/>
    </row>
    <row r="116" ht="15.75" customHeight="1" s="149">
      <c r="A116" s="5" t="n"/>
      <c r="B116" s="5" t="n"/>
      <c r="C116" s="5" t="n"/>
      <c r="D116" s="5" t="n"/>
      <c r="E116" s="5" t="n"/>
      <c r="F116" s="5" t="n"/>
    </row>
    <row r="117" ht="15.75" customHeight="1" s="149">
      <c r="A117" s="5" t="n"/>
      <c r="B117" s="5" t="n"/>
      <c r="C117" s="5" t="n"/>
      <c r="D117" s="5" t="n"/>
      <c r="E117" s="5" t="n"/>
      <c r="F117" s="5" t="n"/>
    </row>
    <row r="118" ht="15.75" customHeight="1" s="149">
      <c r="A118" s="5" t="n"/>
      <c r="B118" s="5" t="n"/>
      <c r="C118" s="5" t="n"/>
      <c r="D118" s="5" t="n"/>
      <c r="E118" s="5" t="n"/>
      <c r="F118" s="5" t="n"/>
    </row>
    <row r="119" ht="15.75" customHeight="1" s="149">
      <c r="A119" s="5" t="n"/>
      <c r="B119" s="5" t="n"/>
      <c r="C119" s="5" t="n"/>
      <c r="D119" s="5" t="n"/>
      <c r="E119" s="5" t="n"/>
      <c r="F119" s="5" t="n"/>
    </row>
    <row r="120" ht="15.75" customHeight="1" s="149">
      <c r="A120" s="5" t="n"/>
      <c r="B120" s="5" t="n"/>
      <c r="C120" s="5" t="n"/>
      <c r="D120" s="5" t="n"/>
      <c r="E120" s="5" t="n"/>
      <c r="F120" s="5" t="n"/>
    </row>
    <row r="121" ht="15.75" customHeight="1" s="149">
      <c r="A121" s="5" t="n"/>
      <c r="B121" s="5" t="n"/>
      <c r="C121" s="5" t="n"/>
      <c r="D121" s="5" t="n"/>
      <c r="E121" s="5" t="n"/>
      <c r="F121" s="5" t="n"/>
    </row>
    <row r="122" ht="15.75" customHeight="1" s="149">
      <c r="A122" s="5" t="n"/>
      <c r="B122" s="5" t="n"/>
      <c r="C122" s="5" t="n"/>
      <c r="D122" s="5" t="n"/>
      <c r="E122" s="5" t="n"/>
      <c r="F122" s="5" t="n"/>
    </row>
    <row r="123" ht="15.75" customHeight="1" s="149">
      <c r="A123" s="5" t="n"/>
      <c r="B123" s="5" t="n"/>
      <c r="C123" s="5" t="n"/>
      <c r="D123" s="5" t="n"/>
      <c r="E123" s="5" t="n"/>
      <c r="F123" s="5" t="n"/>
    </row>
    <row r="124" ht="15.75" customHeight="1" s="149">
      <c r="A124" s="5" t="n"/>
      <c r="B124" s="5" t="n"/>
      <c r="C124" s="5" t="n"/>
      <c r="D124" s="5" t="n"/>
      <c r="E124" s="5" t="n"/>
      <c r="F124" s="5" t="n"/>
    </row>
    <row r="125" ht="15.75" customHeight="1" s="149">
      <c r="A125" s="5" t="n"/>
      <c r="B125" s="5" t="n"/>
      <c r="C125" s="5" t="n"/>
      <c r="D125" s="5" t="n"/>
      <c r="E125" s="5" t="n"/>
      <c r="F125" s="5" t="n"/>
    </row>
    <row r="126" ht="15.75" customHeight="1" s="149">
      <c r="A126" s="5" t="n"/>
      <c r="B126" s="5" t="n"/>
      <c r="C126" s="5" t="n"/>
      <c r="D126" s="5" t="n"/>
      <c r="E126" s="5" t="n"/>
      <c r="F126" s="5" t="n"/>
    </row>
    <row r="127" ht="15.75" customHeight="1" s="149">
      <c r="A127" s="5" t="n"/>
      <c r="B127" s="5" t="n"/>
      <c r="C127" s="5" t="n"/>
      <c r="D127" s="5" t="n"/>
      <c r="E127" s="5" t="n"/>
      <c r="F127" s="5" t="n"/>
    </row>
    <row r="128" ht="15.75" customHeight="1" s="149">
      <c r="A128" s="5" t="n"/>
      <c r="B128" s="5" t="n"/>
      <c r="C128" s="5" t="n"/>
      <c r="D128" s="5" t="n"/>
      <c r="E128" s="5" t="n"/>
      <c r="F128" s="5" t="n"/>
    </row>
    <row r="129" ht="15.75" customHeight="1" s="149">
      <c r="A129" s="5" t="n"/>
      <c r="B129" s="5" t="n"/>
      <c r="C129" s="5" t="n"/>
      <c r="D129" s="5" t="n"/>
      <c r="E129" s="5" t="n"/>
      <c r="F129" s="5" t="n"/>
    </row>
    <row r="130" ht="15.75" customHeight="1" s="149">
      <c r="A130" s="5" t="n"/>
      <c r="B130" s="5" t="n"/>
      <c r="C130" s="5" t="n"/>
      <c r="D130" s="5" t="n"/>
      <c r="E130" s="5" t="n"/>
      <c r="F130" s="5" t="n"/>
    </row>
    <row r="131" ht="15.75" customHeight="1" s="149">
      <c r="A131" s="5" t="n"/>
      <c r="B131" s="5" t="n"/>
      <c r="C131" s="5" t="n"/>
      <c r="D131" s="5" t="n"/>
      <c r="E131" s="5" t="n"/>
      <c r="F131" s="5" t="n"/>
    </row>
    <row r="132" ht="15.75" customHeight="1" s="149">
      <c r="A132" s="5" t="n"/>
      <c r="B132" s="5" t="n"/>
      <c r="C132" s="5" t="n"/>
      <c r="D132" s="5" t="n"/>
      <c r="E132" s="5" t="n"/>
      <c r="F132" s="5" t="n"/>
    </row>
    <row r="133" ht="15.75" customHeight="1" s="149">
      <c r="A133" s="5" t="n"/>
      <c r="B133" s="5" t="n"/>
      <c r="C133" s="5" t="n"/>
      <c r="D133" s="5" t="n"/>
      <c r="E133" s="5" t="n"/>
      <c r="F133" s="5" t="n"/>
    </row>
    <row r="134" ht="15.75" customHeight="1" s="149">
      <c r="A134" s="5" t="n"/>
      <c r="B134" s="5" t="n"/>
      <c r="C134" s="5" t="n"/>
      <c r="D134" s="5" t="n"/>
      <c r="E134" s="5" t="n"/>
      <c r="F134" s="5" t="n"/>
    </row>
    <row r="135" ht="15.75" customHeight="1" s="149">
      <c r="A135" s="5" t="n"/>
      <c r="B135" s="5" t="n"/>
      <c r="C135" s="5" t="n"/>
      <c r="D135" s="5" t="n"/>
      <c r="E135" s="5" t="n"/>
      <c r="F135" s="5" t="n"/>
    </row>
    <row r="136" ht="15.75" customHeight="1" s="149">
      <c r="A136" s="5" t="n"/>
      <c r="B136" s="5" t="n"/>
      <c r="C136" s="5" t="n"/>
      <c r="D136" s="5" t="n"/>
      <c r="E136" s="5" t="n"/>
      <c r="F136" s="5" t="n"/>
    </row>
    <row r="137" ht="15.75" customHeight="1" s="149">
      <c r="A137" s="5" t="n"/>
      <c r="B137" s="5" t="n"/>
      <c r="C137" s="5" t="n"/>
      <c r="D137" s="5" t="n"/>
      <c r="E137" s="5" t="n"/>
      <c r="F137" s="5" t="n"/>
    </row>
    <row r="138" ht="15.75" customHeight="1" s="149">
      <c r="A138" s="5" t="n"/>
      <c r="B138" s="5" t="n"/>
      <c r="C138" s="5" t="n"/>
      <c r="D138" s="5" t="n"/>
      <c r="E138" s="5" t="n"/>
      <c r="F138" s="5" t="n"/>
    </row>
    <row r="139" ht="15.75" customHeight="1" s="149">
      <c r="A139" s="5" t="n"/>
      <c r="B139" s="5" t="n"/>
      <c r="C139" s="5" t="n"/>
      <c r="D139" s="5" t="n"/>
      <c r="E139" s="5" t="n"/>
      <c r="F139" s="5" t="n"/>
    </row>
    <row r="140" ht="15.75" customHeight="1" s="149">
      <c r="A140" s="5" t="n"/>
      <c r="B140" s="5" t="n"/>
      <c r="C140" s="5" t="n"/>
      <c r="D140" s="5" t="n"/>
      <c r="E140" s="5" t="n"/>
      <c r="F140" s="5" t="n"/>
    </row>
    <row r="141" ht="15.75" customHeight="1" s="149">
      <c r="A141" s="5" t="n"/>
      <c r="B141" s="5" t="n"/>
      <c r="C141" s="5" t="n"/>
      <c r="D141" s="5" t="n"/>
      <c r="E141" s="5" t="n"/>
      <c r="F141" s="5" t="n"/>
    </row>
    <row r="142" ht="15.75" customHeight="1" s="149">
      <c r="A142" s="5" t="n"/>
      <c r="B142" s="5" t="n"/>
      <c r="C142" s="5" t="n"/>
      <c r="D142" s="5" t="n"/>
      <c r="E142" s="5" t="n"/>
      <c r="F142" s="5" t="n"/>
    </row>
    <row r="143" ht="15.75" customHeight="1" s="149">
      <c r="A143" s="5" t="n"/>
      <c r="B143" s="5" t="n"/>
      <c r="C143" s="5" t="n"/>
      <c r="D143" s="5" t="n"/>
      <c r="E143" s="5" t="n"/>
      <c r="F143" s="5" t="n"/>
    </row>
    <row r="144" ht="15.75" customHeight="1" s="149">
      <c r="A144" s="5" t="n"/>
      <c r="B144" s="5" t="n"/>
      <c r="C144" s="5" t="n"/>
      <c r="D144" s="5" t="n"/>
      <c r="E144" s="5" t="n"/>
      <c r="F144" s="5" t="n"/>
    </row>
    <row r="145" ht="15.75" customHeight="1" s="149">
      <c r="A145" s="5" t="n"/>
      <c r="B145" s="5" t="n"/>
      <c r="C145" s="5" t="n"/>
      <c r="D145" s="5" t="n"/>
      <c r="E145" s="5" t="n"/>
      <c r="F145" s="5" t="n"/>
    </row>
    <row r="146" ht="15.75" customHeight="1" s="149">
      <c r="A146" s="5" t="n"/>
      <c r="B146" s="5" t="n"/>
      <c r="C146" s="5" t="n"/>
      <c r="D146" s="5" t="n"/>
      <c r="E146" s="5" t="n"/>
      <c r="F146" s="5" t="n"/>
    </row>
    <row r="147" ht="15.75" customHeight="1" s="149">
      <c r="A147" s="5" t="n"/>
      <c r="B147" s="5" t="n"/>
      <c r="C147" s="5" t="n"/>
      <c r="D147" s="5" t="n"/>
      <c r="E147" s="5" t="n"/>
      <c r="F147" s="5" t="n"/>
    </row>
    <row r="148" ht="15.75" customHeight="1" s="149">
      <c r="A148" s="5" t="n"/>
      <c r="B148" s="5" t="n"/>
      <c r="C148" s="5" t="n"/>
      <c r="D148" s="5" t="n"/>
      <c r="E148" s="5" t="n"/>
      <c r="F148" s="5" t="n"/>
    </row>
    <row r="149" ht="15.75" customHeight="1" s="149">
      <c r="A149" s="5" t="n"/>
      <c r="B149" s="5" t="n"/>
      <c r="C149" s="5" t="n"/>
      <c r="D149" s="5" t="n"/>
      <c r="E149" s="5" t="n"/>
      <c r="F149" s="5" t="n"/>
    </row>
    <row r="150" ht="15.75" customHeight="1" s="149">
      <c r="A150" s="5" t="n"/>
      <c r="B150" s="5" t="n"/>
      <c r="C150" s="5" t="n"/>
      <c r="D150" s="5" t="n"/>
      <c r="E150" s="5" t="n"/>
      <c r="F150" s="5" t="n"/>
    </row>
    <row r="151" ht="15.75" customHeight="1" s="149">
      <c r="A151" s="5" t="n"/>
      <c r="B151" s="5" t="n"/>
      <c r="C151" s="5" t="n"/>
      <c r="D151" s="5" t="n"/>
      <c r="E151" s="5" t="n"/>
      <c r="F151" s="5" t="n"/>
    </row>
    <row r="152" ht="15.75" customHeight="1" s="149">
      <c r="A152" s="5" t="n"/>
      <c r="B152" s="5" t="n"/>
      <c r="C152" s="5" t="n"/>
      <c r="D152" s="5" t="n"/>
      <c r="E152" s="5" t="n"/>
      <c r="F152" s="5" t="n"/>
    </row>
    <row r="153" ht="15.75" customHeight="1" s="149">
      <c r="A153" s="5" t="n"/>
      <c r="B153" s="5" t="n"/>
      <c r="C153" s="5" t="n"/>
      <c r="D153" s="5" t="n"/>
      <c r="E153" s="5" t="n"/>
      <c r="F153" s="5" t="n"/>
    </row>
    <row r="154" ht="15.75" customHeight="1" s="149">
      <c r="A154" s="5" t="n"/>
      <c r="B154" s="5" t="n"/>
      <c r="C154" s="5" t="n"/>
      <c r="D154" s="5" t="n"/>
      <c r="E154" s="5" t="n"/>
      <c r="F154" s="5" t="n"/>
    </row>
    <row r="155" ht="15.75" customHeight="1" s="149">
      <c r="A155" s="5" t="n"/>
      <c r="B155" s="5" t="n"/>
      <c r="C155" s="5" t="n"/>
      <c r="D155" s="5" t="n"/>
      <c r="E155" s="5" t="n"/>
      <c r="F155" s="5" t="n"/>
    </row>
    <row r="156" ht="15.75" customHeight="1" s="149">
      <c r="A156" s="5" t="n"/>
      <c r="B156" s="5" t="n"/>
      <c r="C156" s="5" t="n"/>
      <c r="D156" s="5" t="n"/>
      <c r="E156" s="5" t="n"/>
      <c r="F156" s="5" t="n"/>
    </row>
    <row r="157" ht="15.75" customHeight="1" s="149">
      <c r="A157" s="5" t="n"/>
      <c r="B157" s="5" t="n"/>
      <c r="C157" s="5" t="n"/>
      <c r="D157" s="5" t="n"/>
      <c r="E157" s="5" t="n"/>
      <c r="F157" s="5" t="n"/>
    </row>
    <row r="158" ht="15.75" customHeight="1" s="149">
      <c r="A158" s="5" t="n"/>
      <c r="B158" s="5" t="n"/>
      <c r="C158" s="5" t="n"/>
      <c r="D158" s="5" t="n"/>
      <c r="E158" s="5" t="n"/>
      <c r="F158" s="5" t="n"/>
    </row>
    <row r="159" ht="15.75" customHeight="1" s="149">
      <c r="A159" s="5" t="n"/>
      <c r="B159" s="5" t="n"/>
      <c r="C159" s="5" t="n"/>
      <c r="D159" s="5" t="n"/>
      <c r="E159" s="5" t="n"/>
      <c r="F159" s="5" t="n"/>
    </row>
    <row r="160" ht="15.75" customHeight="1" s="149">
      <c r="A160" s="5" t="n"/>
      <c r="B160" s="5" t="n"/>
      <c r="C160" s="5" t="n"/>
      <c r="D160" s="5" t="n"/>
      <c r="E160" s="5" t="n"/>
      <c r="F160" s="5" t="n"/>
    </row>
    <row r="161" ht="15.75" customHeight="1" s="149">
      <c r="A161" s="5" t="n"/>
      <c r="B161" s="5" t="n"/>
      <c r="C161" s="5" t="n"/>
      <c r="D161" s="5" t="n"/>
      <c r="E161" s="5" t="n"/>
      <c r="F161" s="5" t="n"/>
    </row>
    <row r="162" ht="15.75" customHeight="1" s="149">
      <c r="A162" s="5" t="n"/>
      <c r="B162" s="5" t="n"/>
      <c r="C162" s="5" t="n"/>
      <c r="D162" s="5" t="n"/>
      <c r="E162" s="5" t="n"/>
      <c r="F162" s="5" t="n"/>
    </row>
    <row r="163" ht="15.75" customHeight="1" s="149">
      <c r="A163" s="5" t="n"/>
      <c r="B163" s="5" t="n"/>
      <c r="C163" s="5" t="n"/>
      <c r="D163" s="5" t="n"/>
      <c r="E163" s="5" t="n"/>
      <c r="F163" s="5" t="n"/>
    </row>
    <row r="164" ht="15.75" customHeight="1" s="149">
      <c r="A164" s="5" t="n"/>
      <c r="B164" s="5" t="n"/>
      <c r="C164" s="5" t="n"/>
      <c r="D164" s="5" t="n"/>
      <c r="E164" s="5" t="n"/>
      <c r="F164" s="5" t="n"/>
    </row>
    <row r="165" ht="15.75" customHeight="1" s="149">
      <c r="A165" s="5" t="n"/>
      <c r="B165" s="5" t="n"/>
      <c r="C165" s="5" t="n"/>
      <c r="D165" s="5" t="n"/>
      <c r="E165" s="5" t="n"/>
      <c r="F165" s="5" t="n"/>
    </row>
    <row r="166" ht="15.75" customHeight="1" s="149">
      <c r="A166" s="5" t="n"/>
      <c r="B166" s="5" t="n"/>
      <c r="C166" s="5" t="n"/>
      <c r="D166" s="5" t="n"/>
      <c r="E166" s="5" t="n"/>
      <c r="F166" s="5" t="n"/>
    </row>
    <row r="167" ht="15.75" customHeight="1" s="149">
      <c r="A167" s="5" t="n"/>
      <c r="B167" s="5" t="n"/>
      <c r="C167" s="5" t="n"/>
      <c r="D167" s="5" t="n"/>
      <c r="E167" s="5" t="n"/>
      <c r="F167" s="5" t="n"/>
    </row>
    <row r="168" ht="15.75" customHeight="1" s="149">
      <c r="A168" s="5" t="n"/>
      <c r="B168" s="5" t="n"/>
      <c r="C168" s="5" t="n"/>
      <c r="D168" s="5" t="n"/>
      <c r="E168" s="5" t="n"/>
      <c r="F168" s="5" t="n"/>
    </row>
    <row r="169" ht="15.75" customHeight="1" s="149">
      <c r="A169" s="5" t="n"/>
      <c r="B169" s="5" t="n"/>
      <c r="C169" s="5" t="n"/>
      <c r="D169" s="5" t="n"/>
      <c r="E169" s="5" t="n"/>
      <c r="F169" s="5" t="n"/>
    </row>
    <row r="170" ht="15.75" customHeight="1" s="149">
      <c r="A170" s="5" t="n"/>
      <c r="B170" s="5" t="n"/>
      <c r="C170" s="5" t="n"/>
      <c r="D170" s="5" t="n"/>
      <c r="E170" s="5" t="n"/>
      <c r="F170" s="5" t="n"/>
    </row>
    <row r="171" ht="15.75" customHeight="1" s="149">
      <c r="A171" s="5" t="n"/>
      <c r="B171" s="5" t="n"/>
      <c r="C171" s="5" t="n"/>
      <c r="D171" s="5" t="n"/>
      <c r="E171" s="5" t="n"/>
      <c r="F171" s="5" t="n"/>
    </row>
    <row r="172" ht="15.75" customHeight="1" s="149">
      <c r="A172" s="5" t="n"/>
      <c r="B172" s="5" t="n"/>
      <c r="C172" s="5" t="n"/>
      <c r="D172" s="5" t="n"/>
      <c r="E172" s="5" t="n"/>
      <c r="F172" s="5" t="n"/>
    </row>
    <row r="173" ht="15.75" customHeight="1" s="149">
      <c r="A173" s="5" t="n"/>
      <c r="B173" s="5" t="n"/>
      <c r="C173" s="5" t="n"/>
      <c r="D173" s="5" t="n"/>
      <c r="E173" s="5" t="n"/>
      <c r="F173" s="5" t="n"/>
    </row>
    <row r="174" ht="15.75" customHeight="1" s="149">
      <c r="A174" s="5" t="n"/>
      <c r="B174" s="5" t="n"/>
      <c r="C174" s="5" t="n"/>
      <c r="D174" s="5" t="n"/>
      <c r="E174" s="5" t="n"/>
      <c r="F174" s="5" t="n"/>
    </row>
    <row r="175" ht="15.75" customHeight="1" s="149">
      <c r="A175" s="5" t="n"/>
      <c r="B175" s="5" t="n"/>
      <c r="C175" s="5" t="n"/>
      <c r="D175" s="5" t="n"/>
      <c r="E175" s="5" t="n"/>
      <c r="F175" s="5" t="n"/>
    </row>
    <row r="176" ht="15.75" customHeight="1" s="149">
      <c r="A176" s="5" t="n"/>
      <c r="B176" s="5" t="n"/>
      <c r="C176" s="5" t="n"/>
      <c r="D176" s="5" t="n"/>
      <c r="E176" s="5" t="n"/>
      <c r="F176" s="5" t="n"/>
    </row>
    <row r="177" ht="15.75" customHeight="1" s="149">
      <c r="A177" s="5" t="n"/>
      <c r="B177" s="5" t="n"/>
      <c r="C177" s="5" t="n"/>
      <c r="D177" s="5" t="n"/>
      <c r="E177" s="5" t="n"/>
      <c r="F177" s="5" t="n"/>
    </row>
    <row r="178" ht="15.75" customHeight="1" s="149">
      <c r="A178" s="5" t="n"/>
      <c r="B178" s="5" t="n"/>
      <c r="C178" s="5" t="n"/>
      <c r="D178" s="5" t="n"/>
      <c r="E178" s="5" t="n"/>
      <c r="F178" s="5" t="n"/>
    </row>
    <row r="179" ht="15.75" customHeight="1" s="149">
      <c r="A179" s="5" t="n"/>
      <c r="B179" s="5" t="n"/>
      <c r="C179" s="5" t="n"/>
      <c r="D179" s="5" t="n"/>
      <c r="E179" s="5" t="n"/>
      <c r="F179" s="5" t="n"/>
    </row>
    <row r="180" ht="15.75" customHeight="1" s="149">
      <c r="A180" s="5" t="n"/>
      <c r="B180" s="5" t="n"/>
      <c r="C180" s="5" t="n"/>
      <c r="D180" s="5" t="n"/>
      <c r="E180" s="5" t="n"/>
      <c r="F180" s="5" t="n"/>
    </row>
    <row r="181" ht="15.75" customHeight="1" s="149">
      <c r="A181" s="5" t="n"/>
      <c r="B181" s="5" t="n"/>
      <c r="C181" s="5" t="n"/>
      <c r="D181" s="5" t="n"/>
      <c r="E181" s="5" t="n"/>
      <c r="F181" s="5" t="n"/>
    </row>
    <row r="182" ht="15.75" customHeight="1" s="149">
      <c r="A182" s="5" t="n"/>
      <c r="B182" s="5" t="n"/>
      <c r="C182" s="5" t="n"/>
      <c r="D182" s="5" t="n"/>
      <c r="E182" s="5" t="n"/>
      <c r="F182" s="5" t="n"/>
    </row>
    <row r="183" ht="15.75" customHeight="1" s="149">
      <c r="A183" s="5" t="n"/>
      <c r="B183" s="5" t="n"/>
      <c r="C183" s="5" t="n"/>
      <c r="D183" s="5" t="n"/>
      <c r="E183" s="5" t="n"/>
      <c r="F183" s="5" t="n"/>
    </row>
    <row r="184" ht="15.75" customHeight="1" s="149">
      <c r="A184" s="5" t="n"/>
      <c r="B184" s="5" t="n"/>
      <c r="C184" s="5" t="n"/>
      <c r="D184" s="5" t="n"/>
      <c r="E184" s="5" t="n"/>
      <c r="F184" s="5" t="n"/>
    </row>
    <row r="185" ht="15.75" customHeight="1" s="149">
      <c r="A185" s="5" t="n"/>
      <c r="B185" s="5" t="n"/>
      <c r="C185" s="5" t="n"/>
      <c r="D185" s="5" t="n"/>
      <c r="E185" s="5" t="n"/>
      <c r="F185" s="5" t="n"/>
    </row>
    <row r="186" ht="15.75" customHeight="1" s="149">
      <c r="A186" s="5" t="n"/>
      <c r="B186" s="5" t="n"/>
      <c r="C186" s="5" t="n"/>
      <c r="D186" s="5" t="n"/>
      <c r="E186" s="5" t="n"/>
      <c r="F186" s="5" t="n"/>
    </row>
    <row r="187" ht="15.75" customHeight="1" s="149">
      <c r="A187" s="5" t="n"/>
      <c r="B187" s="5" t="n"/>
      <c r="C187" s="5" t="n"/>
      <c r="D187" s="5" t="n"/>
      <c r="E187" s="5" t="n"/>
      <c r="F187" s="5" t="n"/>
    </row>
    <row r="188" ht="15.75" customHeight="1" s="149">
      <c r="A188" s="5" t="n"/>
      <c r="B188" s="5" t="n"/>
      <c r="C188" s="5" t="n"/>
      <c r="D188" s="5" t="n"/>
      <c r="E188" s="5" t="n"/>
      <c r="F188" s="5" t="n"/>
    </row>
    <row r="189" ht="15.75" customHeight="1" s="149">
      <c r="A189" s="5" t="n"/>
      <c r="B189" s="5" t="n"/>
      <c r="C189" s="5" t="n"/>
      <c r="D189" s="5" t="n"/>
      <c r="E189" s="5" t="n"/>
      <c r="F189" s="5" t="n"/>
    </row>
    <row r="190" ht="15.75" customHeight="1" s="149">
      <c r="A190" s="5" t="n"/>
      <c r="B190" s="5" t="n"/>
      <c r="C190" s="5" t="n"/>
      <c r="D190" s="5" t="n"/>
      <c r="E190" s="5" t="n"/>
      <c r="F190" s="5" t="n"/>
    </row>
    <row r="191" ht="15.75" customHeight="1" s="149">
      <c r="A191" s="5" t="n"/>
      <c r="B191" s="5" t="n"/>
      <c r="C191" s="5" t="n"/>
      <c r="D191" s="5" t="n"/>
      <c r="E191" s="5" t="n"/>
      <c r="F191" s="5" t="n"/>
    </row>
    <row r="192" ht="15.75" customHeight="1" s="149">
      <c r="A192" s="5" t="n"/>
      <c r="B192" s="5" t="n"/>
      <c r="C192" s="5" t="n"/>
      <c r="D192" s="5" t="n"/>
      <c r="E192" s="5" t="n"/>
      <c r="F192" s="5" t="n"/>
    </row>
    <row r="193" ht="15.75" customHeight="1" s="149">
      <c r="A193" s="5" t="n"/>
      <c r="B193" s="5" t="n"/>
      <c r="C193" s="5" t="n"/>
      <c r="D193" s="5" t="n"/>
      <c r="E193" s="5" t="n"/>
      <c r="F193" s="5" t="n"/>
    </row>
    <row r="194" ht="15.75" customHeight="1" s="149">
      <c r="A194" s="5" t="n"/>
      <c r="B194" s="5" t="n"/>
      <c r="C194" s="5" t="n"/>
      <c r="D194" s="5" t="n"/>
      <c r="E194" s="5" t="n"/>
      <c r="F194" s="5" t="n"/>
    </row>
    <row r="195" ht="15.75" customHeight="1" s="149">
      <c r="A195" s="5" t="n"/>
      <c r="B195" s="5" t="n"/>
      <c r="C195" s="5" t="n"/>
      <c r="D195" s="5" t="n"/>
      <c r="E195" s="5" t="n"/>
      <c r="F195" s="5" t="n"/>
    </row>
    <row r="196" ht="15.75" customHeight="1" s="149">
      <c r="A196" s="5" t="n"/>
      <c r="B196" s="5" t="n"/>
      <c r="C196" s="5" t="n"/>
      <c r="D196" s="5" t="n"/>
      <c r="E196" s="5" t="n"/>
      <c r="F196" s="5" t="n"/>
    </row>
    <row r="197" ht="15.75" customHeight="1" s="149">
      <c r="A197" s="5" t="n"/>
      <c r="B197" s="5" t="n"/>
      <c r="C197" s="5" t="n"/>
      <c r="D197" s="5" t="n"/>
      <c r="E197" s="5" t="n"/>
      <c r="F197" s="5" t="n"/>
    </row>
    <row r="198" ht="15.75" customHeight="1" s="149">
      <c r="A198" s="5" t="n"/>
      <c r="B198" s="5" t="n"/>
      <c r="C198" s="5" t="n"/>
      <c r="D198" s="5" t="n"/>
      <c r="E198" s="5" t="n"/>
      <c r="F198" s="5" t="n"/>
    </row>
    <row r="199" ht="15.75" customHeight="1" s="149">
      <c r="A199" s="5" t="n"/>
      <c r="B199" s="5" t="n"/>
      <c r="C199" s="5" t="n"/>
      <c r="D199" s="5" t="n"/>
      <c r="E199" s="5" t="n"/>
      <c r="F199" s="5" t="n"/>
    </row>
    <row r="200" ht="15.75" customHeight="1" s="149">
      <c r="A200" s="5" t="n"/>
      <c r="B200" s="5" t="n"/>
      <c r="C200" s="5" t="n"/>
      <c r="D200" s="5" t="n"/>
      <c r="E200" s="5" t="n"/>
      <c r="F200" s="5" t="n"/>
    </row>
    <row r="201" ht="15.75" customHeight="1" s="149">
      <c r="A201" s="5" t="n"/>
      <c r="B201" s="5" t="n"/>
      <c r="C201" s="5" t="n"/>
      <c r="D201" s="5" t="n"/>
      <c r="E201" s="5" t="n"/>
      <c r="F201" s="5" t="n"/>
    </row>
    <row r="202" ht="15.75" customHeight="1" s="149">
      <c r="A202" s="5" t="n"/>
      <c r="B202" s="5" t="n"/>
      <c r="C202" s="5" t="n"/>
      <c r="D202" s="5" t="n"/>
      <c r="E202" s="5" t="n"/>
      <c r="F202" s="5" t="n"/>
    </row>
    <row r="203" ht="15.75" customHeight="1" s="149">
      <c r="A203" s="5" t="n"/>
      <c r="B203" s="5" t="n"/>
      <c r="C203" s="5" t="n"/>
      <c r="D203" s="5" t="n"/>
      <c r="E203" s="5" t="n"/>
      <c r="F203" s="5" t="n"/>
    </row>
    <row r="204" ht="15.75" customHeight="1" s="149">
      <c r="A204" s="5" t="n"/>
      <c r="B204" s="5" t="n"/>
      <c r="C204" s="5" t="n"/>
      <c r="D204" s="5" t="n"/>
      <c r="E204" s="5" t="n"/>
      <c r="F204" s="5" t="n"/>
    </row>
    <row r="205" ht="15.75" customHeight="1" s="149">
      <c r="A205" s="5" t="n"/>
      <c r="B205" s="5" t="n"/>
      <c r="C205" s="5" t="n"/>
      <c r="D205" s="5" t="n"/>
      <c r="E205" s="5" t="n"/>
      <c r="F205" s="5" t="n"/>
    </row>
    <row r="206" ht="15.75" customHeight="1" s="149">
      <c r="A206" s="5" t="n"/>
      <c r="B206" s="5" t="n"/>
      <c r="C206" s="5" t="n"/>
      <c r="D206" s="5" t="n"/>
      <c r="E206" s="5" t="n"/>
      <c r="F206" s="5" t="n"/>
    </row>
    <row r="207" ht="15.75" customHeight="1" s="149">
      <c r="A207" s="5" t="n"/>
      <c r="B207" s="5" t="n"/>
      <c r="C207" s="5" t="n"/>
      <c r="D207" s="5" t="n"/>
      <c r="E207" s="5" t="n"/>
      <c r="F207" s="5" t="n"/>
    </row>
    <row r="208" ht="15.75" customHeight="1" s="149">
      <c r="A208" s="5" t="n"/>
      <c r="B208" s="5" t="n"/>
      <c r="C208" s="5" t="n"/>
      <c r="D208" s="5" t="n"/>
      <c r="E208" s="5" t="n"/>
      <c r="F208" s="5" t="n"/>
    </row>
    <row r="209" ht="15.75" customHeight="1" s="149">
      <c r="A209" s="5" t="n"/>
      <c r="B209" s="5" t="n"/>
      <c r="C209" s="5" t="n"/>
      <c r="D209" s="5" t="n"/>
      <c r="E209" s="5" t="n"/>
      <c r="F209" s="5" t="n"/>
    </row>
    <row r="210" ht="15.75" customHeight="1" s="149">
      <c r="A210" s="5" t="n"/>
      <c r="B210" s="5" t="n"/>
      <c r="C210" s="5" t="n"/>
      <c r="D210" s="5" t="n"/>
      <c r="E210" s="5" t="n"/>
      <c r="F210" s="5" t="n"/>
    </row>
    <row r="211" ht="15.75" customHeight="1" s="149">
      <c r="A211" s="5" t="n"/>
      <c r="B211" s="5" t="n"/>
      <c r="C211" s="5" t="n"/>
      <c r="D211" s="5" t="n"/>
      <c r="E211" s="5" t="n"/>
      <c r="F211" s="5" t="n"/>
    </row>
    <row r="212" ht="15.75" customHeight="1" s="149">
      <c r="A212" s="5" t="n"/>
      <c r="B212" s="5" t="n"/>
      <c r="C212" s="5" t="n"/>
      <c r="D212" s="5" t="n"/>
      <c r="E212" s="5" t="n"/>
      <c r="F212" s="5" t="n"/>
    </row>
    <row r="213" ht="15.75" customHeight="1" s="149">
      <c r="A213" s="5" t="n"/>
      <c r="B213" s="5" t="n"/>
      <c r="C213" s="5" t="n"/>
      <c r="D213" s="5" t="n"/>
      <c r="E213" s="5" t="n"/>
      <c r="F213" s="5" t="n"/>
    </row>
    <row r="214" ht="15.75" customHeight="1" s="149">
      <c r="A214" s="5" t="n"/>
      <c r="B214" s="5" t="n"/>
      <c r="C214" s="5" t="n"/>
      <c r="D214" s="5" t="n"/>
      <c r="E214" s="5" t="n"/>
      <c r="F214" s="5" t="n"/>
    </row>
    <row r="215" ht="15.75" customHeight="1" s="149">
      <c r="A215" s="5" t="n"/>
      <c r="B215" s="5" t="n"/>
      <c r="C215" s="5" t="n"/>
      <c r="D215" s="5" t="n"/>
      <c r="E215" s="5" t="n"/>
      <c r="F215" s="5" t="n"/>
    </row>
    <row r="216" ht="15.75" customHeight="1" s="149">
      <c r="A216" s="5" t="n"/>
      <c r="B216" s="5" t="n"/>
      <c r="C216" s="5" t="n"/>
      <c r="D216" s="5" t="n"/>
      <c r="E216" s="5" t="n"/>
      <c r="F216" s="5" t="n"/>
    </row>
    <row r="217" ht="15.75" customHeight="1" s="149">
      <c r="A217" s="5" t="n"/>
      <c r="B217" s="5" t="n"/>
      <c r="C217" s="5" t="n"/>
      <c r="D217" s="5" t="n"/>
      <c r="E217" s="5" t="n"/>
      <c r="F217" s="5" t="n"/>
    </row>
    <row r="218" ht="15.75" customHeight="1" s="149">
      <c r="A218" s="5" t="n"/>
      <c r="B218" s="5" t="n"/>
      <c r="C218" s="5" t="n"/>
      <c r="D218" s="5" t="n"/>
      <c r="E218" s="5" t="n"/>
      <c r="F218" s="5" t="n"/>
    </row>
    <row r="219" ht="15.75" customHeight="1" s="149">
      <c r="A219" s="5" t="n"/>
      <c r="B219" s="5" t="n"/>
      <c r="C219" s="5" t="n"/>
      <c r="D219" s="5" t="n"/>
      <c r="E219" s="5" t="n"/>
      <c r="F219" s="5" t="n"/>
    </row>
    <row r="220" ht="15.75" customHeight="1" s="149">
      <c r="A220" s="5" t="n"/>
      <c r="B220" s="5" t="n"/>
      <c r="C220" s="5" t="n"/>
      <c r="D220" s="5" t="n"/>
      <c r="E220" s="5" t="n"/>
      <c r="F220" s="5" t="n"/>
    </row>
    <row r="221" ht="15.75" customHeight="1" s="149">
      <c r="A221" s="5" t="n"/>
      <c r="B221" s="5" t="n"/>
      <c r="C221" s="5" t="n"/>
      <c r="D221" s="5" t="n"/>
      <c r="E221" s="5" t="n"/>
      <c r="F221" s="5" t="n"/>
    </row>
    <row r="222" ht="15.75" customHeight="1" s="149">
      <c r="A222" s="5" t="n"/>
      <c r="B222" s="5" t="n"/>
      <c r="C222" s="5" t="n"/>
      <c r="D222" s="5" t="n"/>
      <c r="E222" s="5" t="n"/>
      <c r="F222" s="5" t="n"/>
    </row>
    <row r="223" ht="15.75" customHeight="1" s="149">
      <c r="A223" s="5" t="n"/>
      <c r="B223" s="5" t="n"/>
      <c r="C223" s="5" t="n"/>
      <c r="D223" s="5" t="n"/>
      <c r="E223" s="5" t="n"/>
      <c r="F223" s="5" t="n"/>
    </row>
    <row r="224" ht="15.75" customHeight="1" s="149">
      <c r="A224" s="5" t="n"/>
      <c r="B224" s="5" t="n"/>
      <c r="C224" s="5" t="n"/>
      <c r="D224" s="5" t="n"/>
      <c r="E224" s="5" t="n"/>
      <c r="F224" s="5" t="n"/>
    </row>
    <row r="225" ht="15.75" customHeight="1" s="149">
      <c r="A225" s="5" t="n"/>
      <c r="B225" s="5" t="n"/>
      <c r="C225" s="5" t="n"/>
      <c r="D225" s="5" t="n"/>
      <c r="E225" s="5" t="n"/>
      <c r="F225" s="5" t="n"/>
    </row>
    <row r="226" ht="15.75" customHeight="1" s="149">
      <c r="A226" s="5" t="n"/>
      <c r="B226" s="5" t="n"/>
      <c r="C226" s="5" t="n"/>
      <c r="D226" s="5" t="n"/>
      <c r="E226" s="5" t="n"/>
      <c r="F226" s="5" t="n"/>
    </row>
    <row r="227" ht="15.75" customHeight="1" s="149">
      <c r="A227" s="5" t="n"/>
      <c r="B227" s="5" t="n"/>
      <c r="C227" s="5" t="n"/>
      <c r="D227" s="5" t="n"/>
      <c r="E227" s="5" t="n"/>
      <c r="F227" s="5" t="n"/>
    </row>
    <row r="228" ht="15.75" customHeight="1" s="149">
      <c r="A228" s="5" t="n"/>
      <c r="B228" s="5" t="n"/>
      <c r="C228" s="5" t="n"/>
      <c r="D228" s="5" t="n"/>
      <c r="E228" s="5" t="n"/>
      <c r="F228" s="5" t="n"/>
    </row>
    <row r="229" ht="15.75" customHeight="1" s="149">
      <c r="A229" s="5" t="n"/>
      <c r="B229" s="5" t="n"/>
      <c r="C229" s="5" t="n"/>
      <c r="D229" s="5" t="n"/>
      <c r="E229" s="5" t="n"/>
      <c r="F229" s="5" t="n"/>
    </row>
    <row r="230" ht="15.75" customHeight="1" s="149">
      <c r="A230" s="5" t="n"/>
      <c r="B230" s="5" t="n"/>
      <c r="C230" s="5" t="n"/>
      <c r="D230" s="5" t="n"/>
      <c r="E230" s="5" t="n"/>
      <c r="F230" s="5" t="n"/>
    </row>
    <row r="231" ht="15.75" customHeight="1" s="149">
      <c r="A231" s="5" t="n"/>
      <c r="B231" s="5" t="n"/>
      <c r="C231" s="5" t="n"/>
      <c r="D231" s="5" t="n"/>
      <c r="E231" s="5" t="n"/>
      <c r="F231" s="5" t="n"/>
    </row>
    <row r="232" ht="15.75" customHeight="1" s="149">
      <c r="A232" s="5" t="n"/>
      <c r="B232" s="5" t="n"/>
      <c r="C232" s="5" t="n"/>
      <c r="D232" s="5" t="n"/>
      <c r="E232" s="5" t="n"/>
      <c r="F232" s="5" t="n"/>
    </row>
    <row r="233" ht="15.75" customHeight="1" s="149">
      <c r="A233" s="5" t="n"/>
      <c r="B233" s="5" t="n"/>
      <c r="C233" s="5" t="n"/>
      <c r="D233" s="5" t="n"/>
      <c r="E233" s="5" t="n"/>
      <c r="F233" s="5" t="n"/>
    </row>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223"/>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83" t="inlineStr">
        <is>
          <t>NUR235  ·  Review videos (SimpleNursing, LevelUpRN)</t>
        </is>
      </c>
    </row>
    <row r="2">
      <c r="A2" s="9" t="inlineStr">
        <is>
          <t>NUR234</t>
        </is>
      </c>
      <c r="B2" s="11" t="inlineStr">
        <is>
          <t>NUR235</t>
        </is>
      </c>
      <c r="C2" s="9" t="inlineStr">
        <is>
          <t>NUR258</t>
        </is>
      </c>
      <c r="D2" s="17" t="inlineStr">
        <is>
          <t>🏠 START HERE</t>
        </is>
      </c>
      <c r="E2" s="15" t="inlineStr">
        <is>
          <t>📥 Sort me</t>
        </is>
      </c>
      <c r="F2" s="16" t="n"/>
      <c r="G2" s="16" t="n"/>
    </row>
    <row r="3">
      <c r="A3" s="19" t="inlineStr">
        <is>
          <t>Fadell</t>
        </is>
      </c>
      <c r="B3" s="19" t="inlineStr">
        <is>
          <t>Fuller</t>
        </is>
      </c>
      <c r="C3" s="19" t="inlineStr">
        <is>
          <t>Exam Reviews</t>
        </is>
      </c>
      <c r="D3" s="19" t="n"/>
      <c r="E3" s="19">
        <f>HYPERLINK('START HERE'!$B$36,"Zoom")</f>
        <v/>
      </c>
      <c r="F3" s="93" t="inlineStr">
        <is>
          <t>Review videos</t>
        </is>
      </c>
      <c r="G3" s="16" t="n"/>
    </row>
    <row r="4">
      <c r="A4" s="16" t="n"/>
      <c r="B4" s="16" t="n"/>
      <c r="C4" s="16" t="n"/>
      <c r="D4" s="16" t="n"/>
      <c r="E4" s="16" t="n"/>
      <c r="F4" s="16" t="n"/>
      <c r="G4" s="16" t="n"/>
    </row>
    <row r="5">
      <c r="A5" s="184" t="inlineStr">
        <is>
          <t>Module</t>
        </is>
      </c>
      <c r="B5" s="184" t="inlineStr">
        <is>
          <t>Day</t>
        </is>
      </c>
      <c r="C5" s="184" t="inlineStr">
        <is>
          <t>Date</t>
        </is>
      </c>
      <c r="D5" s="184" t="inlineStr">
        <is>
          <t>Lecturer</t>
        </is>
      </c>
      <c r="E5" s="184" t="inlineStr">
        <is>
          <t>Recording</t>
        </is>
      </c>
      <c r="F5" s="184" t="inlineStr">
        <is>
          <t>File</t>
        </is>
      </c>
      <c r="G5" s="184" t="inlineStr">
        <is>
          <t>Notes</t>
        </is>
      </c>
    </row>
    <row r="6">
      <c r="A6" s="185" t="inlineStr">
        <is>
          <t>Module 1</t>
        </is>
      </c>
      <c r="B6" s="185" t="n"/>
      <c r="C6" s="186" t="inlineStr">
        <is>
          <t>Fall 2026</t>
        </is>
      </c>
      <c r="D6" s="186" t="inlineStr">
        <is>
          <t>SimpleNursing</t>
        </is>
      </c>
      <c r="E6" s="187">
        <f>HYPERLINK("https://drive.google.com/file/d/1WgVa1Vbn8CUeYQ-DB8WdxUGk-IPIi-1S/view","▶  Watch")</f>
        <v/>
      </c>
      <c r="F6" s="186" t="inlineStr">
        <is>
          <t>NUR235_Fall2026_SimpleNursing_Wk01_DayNA_Pediatric vital signs.mp4</t>
        </is>
      </c>
      <c r="G6" s="186" t="inlineStr">
        <is>
          <t>Pediatric vital signs</t>
        </is>
      </c>
    </row>
    <row r="7">
      <c r="A7" s="188" t="inlineStr">
        <is>
          <t>Module 1</t>
        </is>
      </c>
      <c r="B7" s="188" t="n"/>
      <c r="C7" s="189" t="inlineStr">
        <is>
          <t>Fall 2026</t>
        </is>
      </c>
      <c r="D7" s="189" t="inlineStr">
        <is>
          <t>SimpleNursing</t>
        </is>
      </c>
      <c r="E7" s="190">
        <f>HYPERLINK("https://drive.google.com/file/d/1WuqT5JLJpFYCzdzz7EmGI-wmTLvzxXXm/view","▶  Watch")</f>
        <v/>
      </c>
      <c r="F7" s="189" t="inlineStr">
        <is>
          <t>NUR235_Fall2026_SimpleNursing_Wk01_DayNA_Child development.mp4</t>
        </is>
      </c>
      <c r="G7" s="189" t="inlineStr">
        <is>
          <t>Child development</t>
        </is>
      </c>
    </row>
    <row r="8">
      <c r="A8" s="185" t="inlineStr">
        <is>
          <t>Module 2</t>
        </is>
      </c>
      <c r="B8" s="185" t="n"/>
      <c r="C8" s="186" t="inlineStr">
        <is>
          <t>Fall 2026</t>
        </is>
      </c>
      <c r="D8" s="186" t="inlineStr">
        <is>
          <t>SimpleNursing</t>
        </is>
      </c>
      <c r="E8" s="187">
        <f>HYPERLINK("https://drive.google.com/file/d/14GTOBinaa-CP2ELuLbGaP80H8YP3xxJc/view","▶  Watch")</f>
        <v/>
      </c>
      <c r="F8" s="186" t="inlineStr">
        <is>
          <t>NUR235_Fall2026_SimpleNursing_Wk02_DayNA_Immunizations.mp4</t>
        </is>
      </c>
      <c r="G8" s="186" t="inlineStr">
        <is>
          <t>Immunizations</t>
        </is>
      </c>
    </row>
    <row r="9">
      <c r="A9" s="188" t="inlineStr">
        <is>
          <t>Module 5</t>
        </is>
      </c>
      <c r="B9" s="188" t="n"/>
      <c r="C9" s="189" t="inlineStr">
        <is>
          <t>Fall 2026</t>
        </is>
      </c>
      <c r="D9" s="189" t="inlineStr">
        <is>
          <t>SimpleNursing</t>
        </is>
      </c>
      <c r="E9" s="190">
        <f>HYPERLINK("https://drive.google.com/file/d/1K7fZTaw2YrPY31-2Py5z3h8yo4Wh2NmI/view","▶  Watch")</f>
        <v/>
      </c>
      <c r="F9" s="189" t="inlineStr">
        <is>
          <t>NUR235_Fall2026_SimpleNursing_Wk05_DayNA_Epistaxis (nosebleed) - short clip.mp4</t>
        </is>
      </c>
      <c r="G9" s="189" t="inlineStr">
        <is>
          <t>Epistaxis (nosebleed) - short clip</t>
        </is>
      </c>
    </row>
    <row r="10">
      <c r="A10" s="185" t="inlineStr">
        <is>
          <t>Module 1</t>
        </is>
      </c>
      <c r="B10" s="185" t="n"/>
      <c r="C10" s="186" t="inlineStr">
        <is>
          <t>Fall 2026</t>
        </is>
      </c>
      <c r="D10" s="186" t="inlineStr">
        <is>
          <t>SimpleNursing</t>
        </is>
      </c>
      <c r="E10" s="187">
        <f>HYPERLINK("https://drive.google.com/file/d/1LJA-UCPkQcPVhtpUjWVppatjFP-TThur/view","▶  Watch")</f>
        <v/>
      </c>
      <c r="F10" s="186" t="inlineStr">
        <is>
          <t>NUR235_Fall2026_SimpleNursing_Wk01_DayNA_Child's concept of death, palliative and hospice care.mp4</t>
        </is>
      </c>
      <c r="G10" s="186" t="inlineStr">
        <is>
          <t>Child's concept of death, palliative and hospice care</t>
        </is>
      </c>
    </row>
    <row r="11" ht="15.75" customHeight="1" s="149">
      <c r="A11" s="188" t="inlineStr">
        <is>
          <t>Module 5</t>
        </is>
      </c>
      <c r="B11" s="188" t="n"/>
      <c r="C11" s="189" t="inlineStr">
        <is>
          <t>Fall 2026</t>
        </is>
      </c>
      <c r="D11" s="189" t="inlineStr">
        <is>
          <t>SimpleNursing</t>
        </is>
      </c>
      <c r="E11" s="190">
        <f>HYPERLINK("https://drive.google.com/file/d/1ZPuYyXsTCOg8RljRIERYN-fb4x_iq6J2/view","▶  Watch")</f>
        <v/>
      </c>
      <c r="F11" s="189" t="inlineStr">
        <is>
          <t>NUR235_Fall2026_SimpleNursing_Wk05_DayNA_Osteosarcoma and Ewing sarcoma.mp4</t>
        </is>
      </c>
      <c r="G11" s="189" t="inlineStr">
        <is>
          <t>Osteosarcoma and Ewing sarcoma</t>
        </is>
      </c>
    </row>
    <row r="12" ht="15.75" customHeight="1" s="149">
      <c r="A12" s="185" t="inlineStr">
        <is>
          <t>Module 5</t>
        </is>
      </c>
      <c r="B12" s="185" t="n"/>
      <c r="C12" s="186" t="inlineStr">
        <is>
          <t>Fall 2026</t>
        </is>
      </c>
      <c r="D12" s="186" t="inlineStr">
        <is>
          <t>SimpleNursing</t>
        </is>
      </c>
      <c r="E12" s="187">
        <f>HYPERLINK("https://drive.google.com/file/d/1T6nL1Yz7hRg5J-3S6IzBURivqIzHQYgx/view","▶  Watch")</f>
        <v/>
      </c>
      <c r="F12" s="186" t="inlineStr">
        <is>
          <t>NUR235_Fall2026_SimpleNursing_Wk05_DayNA_Childhood leukemia.mp4</t>
        </is>
      </c>
      <c r="G12" s="186" t="inlineStr">
        <is>
          <t>Childhood leukemia</t>
        </is>
      </c>
    </row>
    <row r="13" ht="15.75" customHeight="1" s="149">
      <c r="A13" s="188" t="inlineStr">
        <is>
          <t>Module 5</t>
        </is>
      </c>
      <c r="B13" s="188" t="n"/>
      <c r="C13" s="189" t="inlineStr">
        <is>
          <t>Fall 2026</t>
        </is>
      </c>
      <c r="D13" s="189" t="inlineStr">
        <is>
          <t>SimpleNursing</t>
        </is>
      </c>
      <c r="E13" s="190">
        <f>HYPERLINK("https://drive.google.com/file/d/1YXwmU0qqnFw8SFgrWFISpWAJ3IDbEVg8/view","▶  Watch")</f>
        <v/>
      </c>
      <c r="F13" s="189" t="inlineStr">
        <is>
          <t>NUR235_Fall2026_SimpleNursing_Wk05_DayNA_Neuroblastoma vs Wilms tumor.mp4</t>
        </is>
      </c>
      <c r="G13" s="189" t="inlineStr">
        <is>
          <t>Neuroblastoma vs Wilms tumor</t>
        </is>
      </c>
    </row>
    <row r="14" ht="15.75" customHeight="1" s="149">
      <c r="A14" s="185" t="inlineStr">
        <is>
          <t>Module 5</t>
        </is>
      </c>
      <c r="B14" s="185" t="n"/>
      <c r="C14" s="186" t="inlineStr">
        <is>
          <t>Fall 2026</t>
        </is>
      </c>
      <c r="D14" s="186" t="inlineStr">
        <is>
          <t>SimpleNursing</t>
        </is>
      </c>
      <c r="E14" s="187">
        <f>HYPERLINK("https://drive.google.com/file/d/19pqW9CceVJ1UOrhrIppU4H1VYPyZA4SA/view","▶  Watch")</f>
        <v/>
      </c>
      <c r="F14" s="186" t="inlineStr">
        <is>
          <t>NUR235_Fall2026_SimpleNursing_Wk05_DayNA_Retinoblastoma.mp4</t>
        </is>
      </c>
      <c r="G14" s="186" t="inlineStr">
        <is>
          <t>Retinoblastoma</t>
        </is>
      </c>
    </row>
    <row r="15" ht="15.75" customHeight="1" s="149">
      <c r="A15" s="188" t="inlineStr">
        <is>
          <t>Module 5</t>
        </is>
      </c>
      <c r="B15" s="188" t="n"/>
      <c r="C15" s="189" t="inlineStr">
        <is>
          <t>Fall 2026</t>
        </is>
      </c>
      <c r="D15" s="189" t="inlineStr">
        <is>
          <t>SimpleNursing</t>
        </is>
      </c>
      <c r="E15" s="190">
        <f>HYPERLINK("https://drive.google.com/file/d/1G3BCt5NJZpY7A4Y7odGQyjUxgsGSa2Zr/view","▶  Watch")</f>
        <v/>
      </c>
      <c r="F15" s="189" t="inlineStr">
        <is>
          <t>NUR235_Fall2026_SimpleNursing_Wk05_DayNA_Chemotherapy, neutropenic precautions and radiation.mp4</t>
        </is>
      </c>
      <c r="G15" s="189" t="inlineStr">
        <is>
          <t>Chemotherapy, neutropenic precautions and radiation</t>
        </is>
      </c>
    </row>
    <row r="16" ht="15.75" customHeight="1" s="149">
      <c r="A16" s="185" t="inlineStr">
        <is>
          <t>Module 5</t>
        </is>
      </c>
      <c r="B16" s="185" t="n"/>
      <c r="C16" s="186" t="inlineStr">
        <is>
          <t>Fall 2026</t>
        </is>
      </c>
      <c r="D16" s="186" t="inlineStr">
        <is>
          <t>SimpleNursing</t>
        </is>
      </c>
      <c r="E16" s="187">
        <f>HYPERLINK("https://drive.google.com/file/d/1IC6G86_Rf6lGoi8HsC63Mqij8A1AQoGL/view","▶  Watch")</f>
        <v/>
      </c>
      <c r="F16" s="186" t="inlineStr">
        <is>
          <t>NUR235_Fall2026_SimpleNursing_Wk05_DayNA_Wilms tumor (nephroblastoma).mp4</t>
        </is>
      </c>
      <c r="G16" s="186" t="inlineStr">
        <is>
          <t>Wilms tumor (nephroblastoma)</t>
        </is>
      </c>
    </row>
    <row r="17" ht="15.75" customHeight="1" s="149">
      <c r="A17" s="188" t="inlineStr">
        <is>
          <t>Module 5</t>
        </is>
      </c>
      <c r="B17" s="188" t="n"/>
      <c r="C17" s="189" t="inlineStr">
        <is>
          <t>Fall 2026</t>
        </is>
      </c>
      <c r="D17" s="189" t="inlineStr">
        <is>
          <t>SimpleNursing</t>
        </is>
      </c>
      <c r="E17" s="190">
        <f>HYPERLINK("https://drive.google.com/file/d/17dtckcm7otMMXhVDXX44-OVWcCT8DDJa/view","▶  Watch")</f>
        <v/>
      </c>
      <c r="F17" s="189" t="inlineStr">
        <is>
          <t>NUR235_Fall2026_SimpleNursing_Wk05_DayNA_Anemia - iron deficiency, sickle cell, pernicious.mp4</t>
        </is>
      </c>
      <c r="G17" s="189" t="inlineStr">
        <is>
          <t>Anemia - iron deficiency, sickle cell, pernicious</t>
        </is>
      </c>
    </row>
    <row r="18" ht="15.75" customHeight="1" s="149">
      <c r="A18" s="185" t="inlineStr">
        <is>
          <t>Module 5</t>
        </is>
      </c>
      <c r="B18" s="185" t="n"/>
      <c r="C18" s="186" t="inlineStr">
        <is>
          <t>Fall 2026</t>
        </is>
      </c>
      <c r="D18" s="186" t="inlineStr">
        <is>
          <t>SimpleNursing</t>
        </is>
      </c>
      <c r="E18" s="187">
        <f>HYPERLINK("https://drive.google.com/file/d/1s_2KbdHhyDUsKz-J2bMc-ZAbIGdYOICC/view","▶  Watch")</f>
        <v/>
      </c>
      <c r="F18" s="186" t="inlineStr">
        <is>
          <t>NUR235_Fall2026_SimpleNursing_Wk05_DayNA_Hemophilia.mp4</t>
        </is>
      </c>
      <c r="G18" s="186" t="inlineStr">
        <is>
          <t>Hemophilia</t>
        </is>
      </c>
    </row>
    <row r="19" ht="15.75" customHeight="1" s="149">
      <c r="A19" s="188" t="inlineStr">
        <is>
          <t>Module 5</t>
        </is>
      </c>
      <c r="B19" s="188" t="n"/>
      <c r="C19" s="189" t="inlineStr">
        <is>
          <t>Fall 2026</t>
        </is>
      </c>
      <c r="D19" s="189" t="inlineStr">
        <is>
          <t>SimpleNursing</t>
        </is>
      </c>
      <c r="E19" s="190">
        <f>HYPERLINK("https://drive.google.com/file/d/16XQMVnF5a7f--a6FqCF9XrjxCZ6cS4zZ/view","▶  Watch")</f>
        <v/>
      </c>
      <c r="F19" s="189" t="inlineStr">
        <is>
          <t>NUR235_Fall2026_SimpleNursing_Wk05_DayNA_Thrombocytopenia and ITP - bleeding precautions.mp4</t>
        </is>
      </c>
      <c r="G19" s="189" t="inlineStr">
        <is>
          <t>Thrombocytopenia and ITP - bleeding precautions</t>
        </is>
      </c>
    </row>
    <row r="20">
      <c r="A20" s="185" t="inlineStr">
        <is>
          <t>Module 6</t>
        </is>
      </c>
      <c r="B20" s="185" t="n"/>
      <c r="C20" s="186" t="inlineStr">
        <is>
          <t>Fall 2026</t>
        </is>
      </c>
      <c r="D20" s="186" t="inlineStr">
        <is>
          <t>SimpleNursing</t>
        </is>
      </c>
      <c r="E20" s="187">
        <f>HYPERLINK("https://drive.google.com/file/d/1zBJOhufV67A7YHyBVERTD4j0H_PHS_a3/view","▶  Watch")</f>
        <v/>
      </c>
      <c r="F20" s="186" t="inlineStr">
        <is>
          <t>NUR235_Fall2026_SimpleNursing_Wk06_DayNA_Pediatric skin - acne, eczema, impetigo, lice, tinea.mp4</t>
        </is>
      </c>
      <c r="G20" s="186" t="inlineStr">
        <is>
          <t>Pediatric skin - acne, eczema, impetigo, lice, tinea</t>
        </is>
      </c>
    </row>
    <row r="21" ht="15.75" customHeight="1" s="149">
      <c r="A21" s="188" t="inlineStr">
        <is>
          <t>Module 7</t>
        </is>
      </c>
      <c r="B21" s="188" t="n"/>
      <c r="C21" s="189" t="inlineStr">
        <is>
          <t>Fall 2026</t>
        </is>
      </c>
      <c r="D21" s="189" t="inlineStr">
        <is>
          <t>SimpleNursing</t>
        </is>
      </c>
      <c r="E21" s="190">
        <f>HYPERLINK("https://drive.google.com/file/d/1A7xlNql11qkTwW9E07hHRcUO6tP4aRU5/view","▶  Watch")</f>
        <v/>
      </c>
      <c r="F21" s="189" t="inlineStr">
        <is>
          <t>NUR235_Fall2026_SimpleNursing_Wk07_DayNA_Pediatric neuro - cerebral palsy, head injury, hydrocephalus, ICP, meningitis.mp4</t>
        </is>
      </c>
      <c r="G21" s="189" t="inlineStr">
        <is>
          <t>Pediatric neuro - cerebral palsy, head injury, hydrocephalus, ICP, meningitis</t>
        </is>
      </c>
    </row>
    <row r="22" ht="15.75" customHeight="1" s="149">
      <c r="A22" s="185" t="inlineStr">
        <is>
          <t>Module 11</t>
        </is>
      </c>
      <c r="B22" s="185" t="n"/>
      <c r="C22" s="186" t="inlineStr">
        <is>
          <t>Fall 2026</t>
        </is>
      </c>
      <c r="D22" s="186" t="inlineStr">
        <is>
          <t>SimpleNursing</t>
        </is>
      </c>
      <c r="E22" s="187">
        <f>HYPERLINK("https://drive.google.com/file/d/1eIviqxcWn45s5pCfLahFBekb9uts8x_J/view","▶  Watch")</f>
        <v/>
      </c>
      <c r="F22" s="186" t="inlineStr">
        <is>
          <t>NUR235_Fall2026_SimpleNursing_Wk11_DayNA_Pediatric diabetes - type 1 and 2, insulin, hypoglycemia, pumps.mp4</t>
        </is>
      </c>
      <c r="G22" s="186" t="inlineStr">
        <is>
          <t>Pediatric diabetes - type 1 and 2, insulin, hypoglycemia, pumps</t>
        </is>
      </c>
    </row>
    <row r="23" ht="15.75" customHeight="1" s="149">
      <c r="A23" s="188" t="inlineStr">
        <is>
          <t>Module 11</t>
        </is>
      </c>
      <c r="B23" s="188" t="n"/>
      <c r="C23" s="189" t="inlineStr">
        <is>
          <t>Fall 2026</t>
        </is>
      </c>
      <c r="D23" s="189" t="inlineStr">
        <is>
          <t>SimpleNursing</t>
        </is>
      </c>
      <c r="E23" s="190">
        <f>HYPERLINK("https://drive.google.com/file/d/1n1mFFjdwdN_8mktApgV_zHwvjkkHHvjS/view","▶  Watch")</f>
        <v/>
      </c>
      <c r="F23" s="189" t="inlineStr">
        <is>
          <t>NUR235_Fall2026_SimpleNursing_Wk11_DayNA_DKA vs HHNS (pediatric).mp4</t>
        </is>
      </c>
      <c r="G23" s="189" t="inlineStr">
        <is>
          <t>DKA vs HHNS (pediatric)</t>
        </is>
      </c>
    </row>
    <row r="24" ht="15.75" customHeight="1" s="149">
      <c r="A24" s="185" t="n"/>
      <c r="B24" s="185" t="n"/>
      <c r="C24" s="186" t="n"/>
      <c r="D24" s="186" t="n"/>
      <c r="E24" s="187" t="n"/>
      <c r="F24" s="186" t="n"/>
      <c r="G24" s="186" t="n"/>
    </row>
    <row r="25" ht="15.75" customHeight="1" s="149">
      <c r="A25" s="188" t="n"/>
      <c r="B25" s="188" t="n"/>
      <c r="C25" s="189" t="n"/>
      <c r="D25" s="189" t="n"/>
      <c r="E25" s="190" t="n"/>
      <c r="F25" s="189" t="n"/>
      <c r="G25" s="189" t="n"/>
    </row>
    <row r="26" ht="15.75" customHeight="1" s="149">
      <c r="A26" s="185" t="n"/>
      <c r="B26" s="185" t="n"/>
      <c r="C26" s="186" t="n"/>
      <c r="D26" s="186" t="n"/>
      <c r="E26" s="187" t="n"/>
      <c r="F26" s="186" t="n"/>
      <c r="G26" s="186" t="n"/>
    </row>
    <row r="27" ht="15.75" customHeight="1" s="149">
      <c r="A27" s="188" t="n"/>
      <c r="B27" s="188" t="n"/>
      <c r="C27" s="189" t="n"/>
      <c r="D27" s="189" t="n"/>
      <c r="E27" s="190" t="n"/>
      <c r="F27" s="189" t="n"/>
      <c r="G27" s="189" t="n"/>
    </row>
    <row r="28" ht="15.75" customHeight="1" s="149">
      <c r="A28" s="185" t="n"/>
      <c r="B28" s="185" t="n"/>
      <c r="C28" s="186" t="n"/>
      <c r="D28" s="186" t="n"/>
      <c r="E28" s="187" t="n"/>
      <c r="F28" s="186" t="n"/>
      <c r="G28" s="186" t="n"/>
    </row>
    <row r="29" ht="15.75" customHeight="1" s="149">
      <c r="A29" s="188" t="n"/>
      <c r="B29" s="188" t="n"/>
      <c r="C29" s="189" t="n"/>
      <c r="D29" s="189" t="n"/>
      <c r="E29" s="190" t="n"/>
      <c r="F29" s="189" t="n"/>
      <c r="G29" s="189" t="n"/>
    </row>
    <row r="30" ht="15.75" customHeight="1" s="149">
      <c r="A30" s="185" t="n"/>
      <c r="B30" s="185" t="n"/>
      <c r="C30" s="186" t="n"/>
      <c r="D30" s="186" t="n"/>
      <c r="E30" s="187" t="n"/>
      <c r="F30" s="186" t="n"/>
      <c r="G30" s="186" t="n"/>
    </row>
    <row r="31" ht="15.75" customHeight="1" s="149">
      <c r="A31" s="188" t="n"/>
      <c r="B31" s="188" t="n"/>
      <c r="C31" s="189" t="n"/>
      <c r="D31" s="189" t="n"/>
      <c r="E31" s="190" t="n"/>
      <c r="F31" s="189" t="n"/>
      <c r="G31" s="189" t="n"/>
    </row>
    <row r="32" ht="15.75" customHeight="1" s="149">
      <c r="A32" s="185" t="n"/>
      <c r="B32" s="185" t="n"/>
      <c r="C32" s="186" t="n"/>
      <c r="D32" s="186" t="n"/>
      <c r="E32" s="187" t="n"/>
      <c r="F32" s="186" t="n"/>
      <c r="G32" s="186" t="n"/>
    </row>
    <row r="33" ht="15.75" customHeight="1" s="149">
      <c r="A33" s="188" t="n"/>
      <c r="B33" s="188" t="n"/>
      <c r="C33" s="189" t="n"/>
      <c r="D33" s="189" t="n"/>
      <c r="E33" s="190" t="n"/>
      <c r="F33" s="189" t="n"/>
      <c r="G33" s="189" t="n"/>
    </row>
    <row r="34" ht="15.75" customHeight="1" s="149">
      <c r="A34" s="185" t="n"/>
      <c r="B34" s="185" t="n"/>
      <c r="C34" s="186" t="n"/>
      <c r="D34" s="186" t="n"/>
      <c r="E34" s="187" t="n"/>
      <c r="F34" s="186" t="n"/>
      <c r="G34" s="186" t="n"/>
    </row>
    <row r="35" ht="15.75" customHeight="1" s="149">
      <c r="A35" s="188" t="n"/>
      <c r="B35" s="188" t="n"/>
      <c r="C35" s="189" t="n"/>
      <c r="D35" s="189" t="n"/>
      <c r="E35" s="190" t="n"/>
      <c r="F35" s="189" t="n"/>
      <c r="G35" s="189" t="n"/>
    </row>
    <row r="36" ht="15.75" customHeight="1" s="149">
      <c r="A36" s="185" t="n"/>
      <c r="B36" s="185" t="n"/>
      <c r="C36" s="186" t="n"/>
      <c r="D36" s="186" t="n"/>
      <c r="E36" s="187" t="n"/>
      <c r="F36" s="186" t="n"/>
      <c r="G36" s="186" t="n"/>
    </row>
    <row r="37" ht="15.75" customHeight="1" s="149">
      <c r="A37" s="188" t="n"/>
      <c r="B37" s="188" t="n"/>
      <c r="C37" s="189" t="n"/>
      <c r="D37" s="189" t="n"/>
      <c r="E37" s="190" t="n"/>
      <c r="F37" s="189" t="n"/>
      <c r="G37" s="189" t="n"/>
    </row>
    <row r="38" ht="15.75" customHeight="1" s="149">
      <c r="A38" s="185" t="n"/>
      <c r="B38" s="185" t="n"/>
      <c r="C38" s="186" t="n"/>
      <c r="D38" s="186" t="n"/>
      <c r="E38" s="187" t="n"/>
      <c r="F38" s="186" t="n"/>
      <c r="G38" s="186" t="n"/>
    </row>
    <row r="39" ht="15.75" customHeight="1" s="149">
      <c r="A39" s="88" t="n"/>
      <c r="B39" s="88" t="n"/>
      <c r="C39" s="119" t="n"/>
      <c r="D39" s="89" t="n"/>
      <c r="E39" s="90" t="n"/>
      <c r="F39" s="89" t="n"/>
      <c r="G39" s="89" t="n"/>
    </row>
    <row r="40" ht="15.75" customHeight="1" s="149">
      <c r="A40" s="118" t="n"/>
      <c r="B40" s="118" t="n"/>
      <c r="C40" s="119" t="n"/>
      <c r="D40" s="119" t="n"/>
      <c r="E40" s="87" t="n"/>
      <c r="F40" s="119" t="n"/>
      <c r="G40" s="119" t="n"/>
    </row>
    <row r="41" ht="15.75" customHeight="1" s="149">
      <c r="A41" s="118" t="n"/>
      <c r="B41" s="118" t="n"/>
      <c r="C41" s="119" t="n"/>
      <c r="D41" s="119" t="n"/>
      <c r="E41" s="87" t="n"/>
      <c r="F41" s="119" t="n"/>
      <c r="G41" s="119" t="n"/>
    </row>
    <row r="42" ht="15.75" customHeight="1" s="149">
      <c r="A42" s="88" t="n"/>
      <c r="B42" s="88" t="n"/>
      <c r="C42" s="119" t="n"/>
      <c r="D42" s="89" t="n"/>
      <c r="E42" s="90" t="n"/>
      <c r="F42" s="89" t="n"/>
      <c r="G42" s="89" t="n"/>
    </row>
    <row r="43" ht="15.75" customHeight="1" s="149">
      <c r="A43" s="88" t="n"/>
      <c r="B43" s="88" t="n"/>
      <c r="C43" s="119" t="n"/>
      <c r="D43" s="89" t="n"/>
      <c r="E43" s="90" t="n"/>
      <c r="F43" s="89" t="n"/>
      <c r="G43" s="89" t="n"/>
    </row>
    <row r="44" ht="15.75" customHeight="1" s="149">
      <c r="A44" s="118" t="n"/>
      <c r="B44" s="118" t="n"/>
      <c r="C44" s="119" t="n"/>
      <c r="D44" s="119" t="n"/>
      <c r="E44" s="87" t="n"/>
      <c r="F44" s="119" t="n"/>
      <c r="G44" s="119" t="n"/>
    </row>
    <row r="45" ht="15.75" customHeight="1" s="149">
      <c r="A45" s="88" t="n"/>
      <c r="B45" s="88" t="n"/>
      <c r="C45" s="119" t="n"/>
      <c r="D45" s="89" t="n"/>
      <c r="E45" s="90" t="n"/>
      <c r="F45" s="89" t="n"/>
      <c r="G45" s="89" t="n"/>
    </row>
    <row r="46" ht="15.75" customHeight="1" s="149">
      <c r="A46" s="118" t="n"/>
      <c r="B46" s="118" t="n"/>
      <c r="C46" s="119" t="n"/>
      <c r="D46" s="119" t="n"/>
      <c r="E46" s="87" t="n"/>
      <c r="F46" s="119" t="n"/>
      <c r="G46" s="91" t="n"/>
    </row>
    <row r="47" ht="15.75" customHeight="1" s="149">
      <c r="A47" s="118" t="n"/>
      <c r="B47" s="118" t="n"/>
      <c r="C47" s="119" t="n"/>
      <c r="D47" s="119" t="n"/>
      <c r="E47" s="87" t="n"/>
      <c r="F47" s="119" t="n"/>
      <c r="G47" s="119" t="n"/>
    </row>
    <row r="48" ht="15.75" customHeight="1" s="149">
      <c r="A48" s="88" t="n"/>
      <c r="B48" s="88" t="n"/>
      <c r="C48" s="119" t="n"/>
      <c r="D48" s="89" t="n"/>
      <c r="E48" s="90" t="n"/>
      <c r="F48" s="89" t="n"/>
      <c r="G48" s="89" t="n"/>
    </row>
    <row r="49" ht="15.75" customHeight="1" s="149">
      <c r="A49" s="118" t="n"/>
      <c r="B49" s="118" t="n"/>
      <c r="C49" s="119" t="n"/>
      <c r="D49" s="119" t="n"/>
      <c r="E49" s="87" t="n"/>
      <c r="F49" s="119" t="n"/>
      <c r="G49" s="119" t="n"/>
    </row>
    <row r="50" ht="15.75" customHeight="1" s="149">
      <c r="A50" s="88" t="n"/>
      <c r="B50" s="88" t="n"/>
      <c r="C50" s="119" t="n"/>
      <c r="D50" s="89" t="n"/>
      <c r="E50" s="90" t="n"/>
      <c r="F50" s="89" t="n"/>
      <c r="G50" s="89" t="n"/>
    </row>
    <row r="51" ht="15.75" customHeight="1" s="149">
      <c r="A51" s="88" t="n"/>
      <c r="B51" s="88" t="n"/>
      <c r="C51" s="119" t="n"/>
      <c r="D51" s="89" t="n"/>
      <c r="E51" s="89" t="n"/>
      <c r="F51" s="89" t="n"/>
      <c r="G51" s="89" t="n"/>
    </row>
    <row r="52" ht="15.75" customHeight="1" s="149">
      <c r="A52" s="88" t="n"/>
      <c r="B52" s="88" t="n"/>
      <c r="C52" s="119" t="n"/>
      <c r="D52" s="89" t="n"/>
      <c r="E52" s="90" t="n"/>
      <c r="F52" s="89" t="n"/>
      <c r="G52" s="89"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23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Halecka</t>
        </is>
      </c>
    </row>
    <row r="2">
      <c r="A2" s="9" t="inlineStr">
        <is>
          <t>NUR234</t>
        </is>
      </c>
      <c r="B2" s="9" t="inlineStr">
        <is>
          <t>NUR235</t>
        </is>
      </c>
      <c r="C2" s="14" t="inlineStr">
        <is>
          <t>NUR258</t>
        </is>
      </c>
      <c r="D2" s="17" t="inlineStr">
        <is>
          <t>🏠 START HERE</t>
        </is>
      </c>
      <c r="E2" s="15" t="inlineStr">
        <is>
          <t>📥 Sort me</t>
        </is>
      </c>
      <c r="F2" s="16" t="n"/>
      <c r="G2" s="16" t="n"/>
    </row>
    <row r="3">
      <c r="A3" s="98" t="inlineStr">
        <is>
          <t>Halecka</t>
        </is>
      </c>
      <c r="B3" s="19" t="inlineStr">
        <is>
          <t>Wagner</t>
        </is>
      </c>
      <c r="C3" s="19" t="inlineStr">
        <is>
          <t>Simmons</t>
        </is>
      </c>
      <c r="D3" s="19" t="inlineStr">
        <is>
          <t>Exams</t>
        </is>
      </c>
      <c r="E3" s="27">
        <f>HYPERLINK('START HERE'!$B$36,"Zoom")</f>
        <v/>
      </c>
      <c r="F3" s="19" t="inlineStr">
        <is>
          <t>Review videos</t>
        </is>
      </c>
      <c r="G3" s="16" t="n"/>
    </row>
    <row r="4">
      <c r="A4" s="16" t="n"/>
      <c r="B4" s="16" t="n"/>
      <c r="C4" s="16" t="n"/>
      <c r="D4" s="16" t="n"/>
      <c r="E4" s="16" t="n"/>
      <c r="F4" s="16" t="n"/>
      <c r="G4" s="16"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Day 1</t>
        </is>
      </c>
      <c r="C6" s="199" t="n"/>
      <c r="D6" s="199" t="inlineStr">
        <is>
          <t>Halecka</t>
        </is>
      </c>
      <c r="E6" s="200">
        <f>HYPERLINK("https://drive.google.com/file/d/1tPNIpDo5thT9xV08IoqnbNcp-83Oz_It/view","▶  Watch")</f>
        <v/>
      </c>
      <c r="F6" s="199" t="inlineStr">
        <is>
          <t>Halecka W1D1.mp4</t>
        </is>
      </c>
      <c r="G6" s="199" t="inlineStr">
        <is>
          <t>Topic: Sensory Disorders - Eye &amp; Ear</t>
        </is>
      </c>
    </row>
    <row r="7">
      <c r="A7" s="201" t="inlineStr">
        <is>
          <t>Week 1</t>
        </is>
      </c>
      <c r="B7" s="201" t="inlineStr">
        <is>
          <t>Day 1</t>
        </is>
      </c>
      <c r="C7" s="202" t="inlineStr">
        <is>
          <t>Fall 2026</t>
        </is>
      </c>
      <c r="D7" s="202" t="inlineStr">
        <is>
          <t>Halecka</t>
        </is>
      </c>
      <c r="E7" s="203">
        <f>HYPERLINK("https://drive.google.com/file/d/15LGIidwMDA6Izf9Yy9B0Ebfy2JaKL2ur/view?usp=drive_link","▶  Watch")</f>
        <v/>
      </c>
      <c r="F7" s="202" t="n"/>
      <c r="G7" s="202" t="inlineStr">
        <is>
          <t>Topic: Sensory Disorders - Eye &amp; Ear</t>
        </is>
      </c>
    </row>
    <row r="8">
      <c r="A8" s="198" t="inlineStr">
        <is>
          <t>Week 1</t>
        </is>
      </c>
      <c r="B8" s="198" t="inlineStr">
        <is>
          <t>Day 2</t>
        </is>
      </c>
      <c r="C8" s="199" t="n"/>
      <c r="D8" s="199" t="inlineStr">
        <is>
          <t>Halecka</t>
        </is>
      </c>
      <c r="E8" s="200">
        <f>HYPERLINK("https://drive.google.com/file/d/1kG0OZwXihOteY2lgZ56LaP7Po995puwx/view","▶  Watch")</f>
        <v/>
      </c>
      <c r="F8" s="199" t="inlineStr">
        <is>
          <t>Halecka W1D2.mp4</t>
        </is>
      </c>
      <c r="G8" s="199" t="inlineStr">
        <is>
          <t>Topic: Sensory Disorders - Eye &amp; Ear</t>
        </is>
      </c>
    </row>
    <row r="9">
      <c r="A9" s="201" t="inlineStr">
        <is>
          <t>Week 1</t>
        </is>
      </c>
      <c r="B9" s="201" t="inlineStr">
        <is>
          <t>Day 2</t>
        </is>
      </c>
      <c r="C9" s="202" t="inlineStr">
        <is>
          <t>Fall 2026</t>
        </is>
      </c>
      <c r="D9" s="202" t="inlineStr">
        <is>
          <t>Halecka</t>
        </is>
      </c>
      <c r="E9" s="203">
        <f>HYPERLINK("https://drive.google.com/file/d/16mAzKU1zMFeeDs-hOXANHHNywNeEfNv4/view","▶  Watch")</f>
        <v/>
      </c>
      <c r="F9" s="202" t="inlineStr">
        <is>
          <t>Screen_Recording_20260903_015842_Messenger.mp4</t>
        </is>
      </c>
      <c r="G9" s="202" t="inlineStr">
        <is>
          <t>Recorded 3 Sep on your phone - check it really is Day 2</t>
        </is>
      </c>
    </row>
    <row r="10">
      <c r="A10" s="198" t="inlineStr">
        <is>
          <t>Week 2</t>
        </is>
      </c>
      <c r="B10" s="198" t="inlineStr">
        <is>
          <t>Day 1</t>
        </is>
      </c>
      <c r="C10" s="199" t="n"/>
      <c r="D10" s="199" t="inlineStr">
        <is>
          <t>Halecka</t>
        </is>
      </c>
      <c r="E10" s="200">
        <f>HYPERLINK("https://drive.google.com/file/d/1eEW_OANxw5ZaN1RpmULhcfPWlx81jgVL/view","▶  Watch")</f>
        <v/>
      </c>
      <c r="F10" s="199" t="inlineStr">
        <is>
          <t>Halecka W2D1.mp4</t>
        </is>
      </c>
      <c r="G10" s="199" t="inlineStr">
        <is>
          <t>Topic: Infectious Diseases &amp; HIV</t>
        </is>
      </c>
    </row>
    <row r="11">
      <c r="A11" s="201" t="inlineStr">
        <is>
          <t>Week 2</t>
        </is>
      </c>
      <c r="B11" s="201" t="inlineStr">
        <is>
          <t>Day 2</t>
        </is>
      </c>
      <c r="C11" s="202" t="n"/>
      <c r="D11" s="202" t="inlineStr">
        <is>
          <t>Halecka</t>
        </is>
      </c>
      <c r="E11" s="203">
        <f>HYPERLINK("https://drive.google.com/file/d/1wztDegrV8RIypFru-l-A9D5pgmosW6kx/view","▶  Watch")</f>
        <v/>
      </c>
      <c r="F11" s="202" t="inlineStr">
        <is>
          <t>Halecka W2D2.mp4</t>
        </is>
      </c>
      <c r="G11" s="202" t="inlineStr">
        <is>
          <t>Topic: Infectious Diseases &amp; HIV</t>
        </is>
      </c>
    </row>
    <row r="12">
      <c r="A12" s="198" t="inlineStr">
        <is>
          <t>Week 3</t>
        </is>
      </c>
      <c r="B12" s="198" t="inlineStr">
        <is>
          <t>Day 1</t>
        </is>
      </c>
      <c r="C12" s="199" t="n"/>
      <c r="D12" s="199" t="inlineStr">
        <is>
          <t>Halecka</t>
        </is>
      </c>
      <c r="E12" s="200">
        <f>HYPERLINK("https://drive.google.com/file/d/12s1QL5nnwj9QhbN3ouHe5GQk6rkxv07O/view","▶  Watch")</f>
        <v/>
      </c>
      <c r="F12" s="199" t="inlineStr">
        <is>
          <t>Halecka W3 only day.mp4</t>
        </is>
      </c>
      <c r="G12" s="199" t="inlineStr">
        <is>
          <t>Only session that week</t>
        </is>
      </c>
    </row>
    <row r="13">
      <c r="A13" s="201" t="inlineStr">
        <is>
          <t>Week 3</t>
        </is>
      </c>
      <c r="B13" s="201" t="inlineStr">
        <is>
          <t>Day 2</t>
        </is>
      </c>
      <c r="C13" s="202" t="n"/>
      <c r="D13" s="202" t="inlineStr">
        <is>
          <t>Halecka</t>
        </is>
      </c>
      <c r="E13" s="202" t="n"/>
      <c r="F13" s="202" t="n"/>
      <c r="G13" s="202" t="n"/>
    </row>
    <row r="14">
      <c r="A14" s="198" t="inlineStr">
        <is>
          <t>Week 4</t>
        </is>
      </c>
      <c r="B14" s="198" t="inlineStr">
        <is>
          <t>Day 1</t>
        </is>
      </c>
      <c r="C14" s="199" t="n"/>
      <c r="D14" s="199" t="inlineStr">
        <is>
          <t>Halecka</t>
        </is>
      </c>
      <c r="E14" s="200">
        <f>HYPERLINK("https://drive.google.com/file/d/1MgsSYBfirqOZZQEARkWluIoUX2c7qI6s/view","▶  Watch")</f>
        <v/>
      </c>
      <c r="F14" s="199" t="inlineStr">
        <is>
          <t>Halecka W4d1.mp4</t>
        </is>
      </c>
      <c r="G14" s="199" t="inlineStr">
        <is>
          <t>Topic: Burns</t>
        </is>
      </c>
    </row>
    <row r="15">
      <c r="A15" s="201" t="inlineStr">
        <is>
          <t>Week 4</t>
        </is>
      </c>
      <c r="B15" s="201" t="inlineStr">
        <is>
          <t>Day 2</t>
        </is>
      </c>
      <c r="C15" s="202" t="n"/>
      <c r="D15" s="202" t="inlineStr">
        <is>
          <t>Halecka</t>
        </is>
      </c>
      <c r="E15" s="203">
        <f>HYPERLINK("https://drive.google.com/file/d/1UhvvqJX98mKkGjfFcUd2v2gPkK7Zb3nX/view","▶  Watch")</f>
        <v/>
      </c>
      <c r="F15" s="202" t="inlineStr">
        <is>
          <t>Halecka W4d2.mp4</t>
        </is>
      </c>
      <c r="G15" s="202" t="inlineStr">
        <is>
          <t>Topic: Burns</t>
        </is>
      </c>
    </row>
    <row r="16">
      <c r="A16" s="198" t="inlineStr">
        <is>
          <t>Week 4</t>
        </is>
      </c>
      <c r="B16" s="198" t="inlineStr">
        <is>
          <t>Full session</t>
        </is>
      </c>
      <c r="C16" s="199" t="n"/>
      <c r="D16" s="199" t="inlineStr">
        <is>
          <t>Halecka</t>
        </is>
      </c>
      <c r="E16" s="200">
        <f>HYPERLINK("https://drive.google.com/file/d/1-CUW56rDy1JKFsQEb9r0W89jwvVtrBxM/view","▶  Watch")</f>
        <v/>
      </c>
      <c r="F16" s="199" t="inlineStr">
        <is>
          <t>NUR258_PriorTerm_Halecka_Wk04_DayNA_Burns (full session).mp4</t>
        </is>
      </c>
      <c r="G16" s="199" t="inlineStr">
        <is>
          <t>Burns. Uploaded 3 Oct as "Nur 258_Halecka_Burns". 229 MB - not a copy of either day above (those are 85 MB and 53 MB), and longer than both together, so it is filed as its own session rather than a day. Day is unknown, so none is claimed.</t>
        </is>
      </c>
    </row>
    <row r="17">
      <c r="A17" s="201" t="inlineStr">
        <is>
          <t>Week 4</t>
        </is>
      </c>
      <c r="B17" s="201" t="inlineStr">
        <is>
          <t>Burns</t>
        </is>
      </c>
      <c r="C17" s="202" t="inlineStr">
        <is>
          <t>Fall 2026</t>
        </is>
      </c>
      <c r="D17" s="202" t="inlineStr">
        <is>
          <t>Halecka</t>
        </is>
      </c>
      <c r="E17" s="203">
        <f>HYPERLINK("https://drive.google.com/file/d/1WKUQJJPxdrH_YOCAKH4gX3Na54bPXTPA/view","▶  Watch")</f>
        <v/>
      </c>
      <c r="F17" s="202" t="inlineStr">
        <is>
          <t>NUR258_Fall2026_Halecka_Wk04_DayNA_Burns.mp4</t>
        </is>
      </c>
      <c r="G17" s="202" t="inlineStr">
        <is>
          <t>Fall 2026 burns lecture, uploaded 6 Oct as "NUR 258 Halecka Burns" (420 MB). Day not stated.</t>
        </is>
      </c>
    </row>
    <row r="18">
      <c r="A18" s="198" t="inlineStr">
        <is>
          <t>Week 5</t>
        </is>
      </c>
      <c r="B18" s="198" t="inlineStr">
        <is>
          <t>Day 1</t>
        </is>
      </c>
      <c r="C18" s="199" t="n"/>
      <c r="D18" s="199" t="inlineStr">
        <is>
          <t>Halecka</t>
        </is>
      </c>
      <c r="E18" s="200">
        <f>HYPERLINK("https://drive.google.com/file/d/1_VyUz4E-0B8mzqKzTJbzjFYLDpgENPJt/view","▶  Watch")</f>
        <v/>
      </c>
      <c r="F18" s="199" t="inlineStr">
        <is>
          <t>Halecka W5d1.mp4</t>
        </is>
      </c>
      <c r="G18" s="199" t="inlineStr">
        <is>
          <t>Topic: Endocrine Disorders</t>
        </is>
      </c>
    </row>
    <row r="19">
      <c r="A19" s="201" t="inlineStr">
        <is>
          <t>Week 5</t>
        </is>
      </c>
      <c r="B19" s="201" t="inlineStr">
        <is>
          <t>Day 1</t>
        </is>
      </c>
      <c r="C19" s="202" t="inlineStr">
        <is>
          <t>Fall 2026</t>
        </is>
      </c>
      <c r="D19" s="202" t="inlineStr">
        <is>
          <t>Halecka</t>
        </is>
      </c>
      <c r="E19" s="203">
        <f>HYPERLINK("https://drive.google.com/file/d/1wrzKU5lN8CsSWhAkTppcEMnLgUjFNL83/view","▶  Watch")</f>
        <v/>
      </c>
      <c r="F19" s="202" t="inlineStr">
        <is>
          <t>NUR258_Fall2026_Halecka_Wk05_Day1_Endocrine disorders.mp4</t>
        </is>
      </c>
      <c r="G19" s="202" t="inlineStr">
        <is>
          <t>Uploaded 6 Oct as "Halecka Wk 5 D 1" (233 MB). The row above is last cohort's Week 5 Day 1.</t>
        </is>
      </c>
    </row>
    <row r="20">
      <c r="A20" s="198" t="inlineStr">
        <is>
          <t>Week 5</t>
        </is>
      </c>
      <c r="B20" s="198" t="inlineStr">
        <is>
          <t>Day 2</t>
        </is>
      </c>
      <c r="C20" s="199" t="n"/>
      <c r="D20" s="199" t="inlineStr">
        <is>
          <t>Halecka</t>
        </is>
      </c>
      <c r="E20" s="200">
        <f>HYPERLINK("https://drive.google.com/file/d/1biuSi5a914MbS38zloMU6m57WXSiTQcS/view","▶  Watch")</f>
        <v/>
      </c>
      <c r="F20" s="199" t="inlineStr">
        <is>
          <t>Halecka W5d2.mp4</t>
        </is>
      </c>
      <c r="G20" s="199" t="inlineStr">
        <is>
          <t>Topic: Endocrine Disorders</t>
        </is>
      </c>
    </row>
    <row r="21" ht="15.75" customHeight="1" s="149">
      <c r="A21" s="201" t="inlineStr">
        <is>
          <t>Week 6</t>
        </is>
      </c>
      <c r="B21" s="201" t="inlineStr">
        <is>
          <t>Day 1</t>
        </is>
      </c>
      <c r="C21" s="202" t="n"/>
      <c r="D21" s="202" t="inlineStr">
        <is>
          <t>Halecka</t>
        </is>
      </c>
      <c r="E21" s="203">
        <f>HYPERLINK("https://drive.google.com/file/d/1N4A_VJbw2pfSuXHUDKJADPUa_i_Coj99/view","▶  Watch")</f>
        <v/>
      </c>
      <c r="F21" s="202" t="inlineStr">
        <is>
          <t>Halecka W6d1.mp4</t>
        </is>
      </c>
      <c r="G21" s="202" t="inlineStr">
        <is>
          <t>Topic: Diabetes</t>
        </is>
      </c>
    </row>
    <row r="22" ht="15.75" customHeight="1" s="149">
      <c r="A22" s="198" t="inlineStr">
        <is>
          <t>Week 6</t>
        </is>
      </c>
      <c r="B22" s="198" t="inlineStr">
        <is>
          <t>Day 2</t>
        </is>
      </c>
      <c r="C22" s="199" t="n"/>
      <c r="D22" s="199" t="inlineStr">
        <is>
          <t>Halecka</t>
        </is>
      </c>
      <c r="E22" s="200">
        <f>HYPERLINK("https://drive.google.com/file/d/1Co9ZVEXkP7XvnDHDk591bY_2TBco5nkb/view","▶  Watch")</f>
        <v/>
      </c>
      <c r="F22" s="199" t="inlineStr">
        <is>
          <t>Halecka W6d2.mp4</t>
        </is>
      </c>
      <c r="G22" s="199" t="inlineStr">
        <is>
          <t>Topic: Diabetes</t>
        </is>
      </c>
    </row>
    <row r="23" ht="15.75" customHeight="1" s="149">
      <c r="A23" s="201" t="inlineStr">
        <is>
          <t>Week 6</t>
        </is>
      </c>
      <c r="B23" s="201" t="inlineStr">
        <is>
          <t>Diabetes</t>
        </is>
      </c>
      <c r="C23" s="202" t="inlineStr">
        <is>
          <t>Fall 2026</t>
        </is>
      </c>
      <c r="D23" s="202" t="inlineStr">
        <is>
          <t>Halecka</t>
        </is>
      </c>
      <c r="E23" s="203">
        <f>HYPERLINK("https://drive.google.com/file/d/1qHOSgJRqT6ZmPQP6KxFvg1PuedG4qNtP/view","▶  Watch")</f>
        <v/>
      </c>
      <c r="F23" s="202" t="inlineStr">
        <is>
          <t>NUR258_Fall2026_Halecka_Wk06_DayNA_Diabetes.mp4</t>
        </is>
      </c>
      <c r="G23" s="202" t="inlineStr">
        <is>
          <t>Uploaded 6 Oct as "Nur 258 Halecka" (184 MB); you confirmed it is the Week 6 diabetes lecture.</t>
        </is>
      </c>
    </row>
    <row r="24" ht="15.75" customHeight="1" s="149">
      <c r="A24" s="198" t="inlineStr">
        <is>
          <t>Week 7</t>
        </is>
      </c>
      <c r="B24" s="198" t="inlineStr">
        <is>
          <t>Day 1</t>
        </is>
      </c>
      <c r="C24" s="199" t="n"/>
      <c r="D24" s="199" t="inlineStr">
        <is>
          <t>Halecka</t>
        </is>
      </c>
      <c r="E24" s="200">
        <f>HYPERLINK("https://drive.google.com/file/d/1L7ijGH3mp0GJ1IoHuV4JAdU99cq8Za8B/view","▶  Watch")</f>
        <v/>
      </c>
      <c r="F24" s="199" t="inlineStr">
        <is>
          <t>Halecka W7D1.mp4</t>
        </is>
      </c>
      <c r="G24" s="199" t="inlineStr">
        <is>
          <t>Topic: Neurologic Dysfunction &amp; Cerebrovascular Disorders</t>
        </is>
      </c>
    </row>
    <row r="25" ht="15.75" customHeight="1" s="149">
      <c r="A25" s="201" t="inlineStr">
        <is>
          <t>Week 7</t>
        </is>
      </c>
      <c r="B25" s="201" t="inlineStr">
        <is>
          <t>Day 2</t>
        </is>
      </c>
      <c r="C25" s="202" t="n"/>
      <c r="D25" s="202" t="inlineStr">
        <is>
          <t>Halecka</t>
        </is>
      </c>
      <c r="E25" s="203">
        <f>HYPERLINK("https://drive.google.com/file/d/1jwtY9AuiAQY8Odir88Y7iHajay988jZo/view","▶  Watch")</f>
        <v/>
      </c>
      <c r="F25" s="202" t="inlineStr">
        <is>
          <t>Halecka W7D2.mp4</t>
        </is>
      </c>
      <c r="G25" s="202" t="inlineStr">
        <is>
          <t>Topic: Neurologic Dysfunction &amp; Cerebrovascular Disorders</t>
        </is>
      </c>
    </row>
    <row r="26" ht="15.75" customHeight="1" s="149">
      <c r="A26" s="198" t="inlineStr">
        <is>
          <t>Week 8</t>
        </is>
      </c>
      <c r="B26" s="198" t="inlineStr">
        <is>
          <t>Day 1</t>
        </is>
      </c>
      <c r="C26" s="199" t="n"/>
      <c r="D26" s="199" t="inlineStr">
        <is>
          <t>Halecka</t>
        </is>
      </c>
      <c r="E26" s="200">
        <f>HYPERLINK("https://drive.google.com/file/d/1nJhuxvxXj5ORPnI8_aMnNFkD3BzQ368P/view","▶  Watch")</f>
        <v/>
      </c>
      <c r="F26" s="199" t="inlineStr">
        <is>
          <t>Halecka W8D1.mp4</t>
        </is>
      </c>
      <c r="G26" s="199" t="inlineStr">
        <is>
          <t>Topic: Traumatic, Infectious, Oncologic &amp; Degenerative Neuro</t>
        </is>
      </c>
    </row>
    <row r="27" ht="15.75" customHeight="1" s="149">
      <c r="A27" s="201" t="inlineStr">
        <is>
          <t>Week 8</t>
        </is>
      </c>
      <c r="B27" s="201" t="inlineStr">
        <is>
          <t>Day 2</t>
        </is>
      </c>
      <c r="C27" s="202" t="n"/>
      <c r="D27" s="202" t="inlineStr">
        <is>
          <t>Halecka</t>
        </is>
      </c>
      <c r="E27" s="203">
        <f>HYPERLINK("https://drive.google.com/file/d/1Z_ioeEJjFmq0TXZaGrsYRga7hfqLwfW8/view","▶  Watch")</f>
        <v/>
      </c>
      <c r="F27" s="202" t="inlineStr">
        <is>
          <t>Halecka W8D2.mp4</t>
        </is>
      </c>
      <c r="G27" s="202" t="inlineStr">
        <is>
          <t>Topic: Traumatic, Infectious, Oncologic &amp; Degenerative Neuro</t>
        </is>
      </c>
    </row>
    <row r="28" ht="15.75" customHeight="1" s="149">
      <c r="A28" s="198" t="inlineStr">
        <is>
          <t>Week 9</t>
        </is>
      </c>
      <c r="B28" s="198" t="inlineStr">
        <is>
          <t>Day 1</t>
        </is>
      </c>
      <c r="C28" s="199" t="n"/>
      <c r="D28" s="199" t="inlineStr">
        <is>
          <t>Halecka</t>
        </is>
      </c>
      <c r="E28" s="200">
        <f>HYPERLINK("https://drive.google.com/file/d/14DoxMb-Jl4KhSoqhubzcSXzzFDM1KiJe/view","▶  Watch")</f>
        <v/>
      </c>
      <c r="F28" s="199" t="inlineStr">
        <is>
          <t>Halecka W9D1.mp4</t>
        </is>
      </c>
      <c r="G28" s="199" t="inlineStr">
        <is>
          <t>Topic: Hematologic Disorders</t>
        </is>
      </c>
    </row>
    <row r="29" ht="15.75" customHeight="1" s="149">
      <c r="A29" s="201" t="inlineStr">
        <is>
          <t>Week 9</t>
        </is>
      </c>
      <c r="B29" s="201" t="inlineStr">
        <is>
          <t>Day 2</t>
        </is>
      </c>
      <c r="C29" s="202" t="n"/>
      <c r="D29" s="202" t="inlineStr">
        <is>
          <t>Halecka</t>
        </is>
      </c>
      <c r="E29" s="203">
        <f>HYPERLINK("https://drive.google.com/file/d/1MYhzhQmtnV3UFHR6ccvhANTss8KH_WAg/view","▶  Watch")</f>
        <v/>
      </c>
      <c r="F29" s="202" t="inlineStr">
        <is>
          <t>Halecka W9D2.mp4</t>
        </is>
      </c>
      <c r="G29" s="202" t="inlineStr">
        <is>
          <t>Topic: Hematologic Disorders</t>
        </is>
      </c>
    </row>
    <row r="30" ht="15.75" customHeight="1" s="149">
      <c r="A30" s="198" t="inlineStr">
        <is>
          <t>Week 10</t>
        </is>
      </c>
      <c r="B30" s="198" t="inlineStr">
        <is>
          <t>Day 1</t>
        </is>
      </c>
      <c r="C30" s="199" t="n"/>
      <c r="D30" s="199" t="inlineStr">
        <is>
          <t>Halecka</t>
        </is>
      </c>
      <c r="E30" s="200">
        <f>HYPERLINK("https://drive.google.com/file/d/1xxojEKWOl4VO6__6wBIZiEtCQtkFd8qv/view","▶  Watch")</f>
        <v/>
      </c>
      <c r="F30" s="199" t="inlineStr">
        <is>
          <t>Halecka W10D1.mp4</t>
        </is>
      </c>
      <c r="G30" s="199" t="inlineStr">
        <is>
          <t>Topic: Oncologic Disorders &amp; End-of-Life Care</t>
        </is>
      </c>
    </row>
    <row r="31" ht="15.75" customHeight="1" s="149">
      <c r="A31" s="201" t="inlineStr">
        <is>
          <t>Week 10</t>
        </is>
      </c>
      <c r="B31" s="201" t="inlineStr">
        <is>
          <t>Day 2</t>
        </is>
      </c>
      <c r="C31" s="202" t="n"/>
      <c r="D31" s="202" t="inlineStr">
        <is>
          <t>Halecka</t>
        </is>
      </c>
      <c r="E31" s="203">
        <f>HYPERLINK("https://drive.google.com/file/d/1_Mt6lPo2rgA2UTAFUk1QAThHBe_Jux1U/view","▶  Watch")</f>
        <v/>
      </c>
      <c r="F31" s="202" t="inlineStr">
        <is>
          <t>Halecka W10D2.mp4</t>
        </is>
      </c>
      <c r="G31" s="202" t="inlineStr">
        <is>
          <t>Topic: Oncologic Disorders &amp; End-of-Life Care</t>
        </is>
      </c>
    </row>
    <row r="32" ht="15.75" customHeight="1" s="149">
      <c r="A32" s="198" t="inlineStr">
        <is>
          <t>Week 11</t>
        </is>
      </c>
      <c r="B32" s="198" t="inlineStr">
        <is>
          <t>Day 1</t>
        </is>
      </c>
      <c r="C32" s="199" t="n"/>
      <c r="D32" s="199" t="inlineStr">
        <is>
          <t>Halecka</t>
        </is>
      </c>
      <c r="E32" s="200">
        <f>HYPERLINK("https://drive.google.com/file/d/1WfPT27PAQr_pC3rts6sSw6HaZO2Nh1mj/view","▶  Watch")</f>
        <v/>
      </c>
      <c r="F32" s="199" t="inlineStr">
        <is>
          <t>Halecka W11D1.mp4</t>
        </is>
      </c>
      <c r="G32" s="199" t="inlineStr">
        <is>
          <t>Topic: Reproductive Disorders</t>
        </is>
      </c>
    </row>
    <row r="33" ht="15.75" customHeight="1" s="149">
      <c r="A33" s="201" t="inlineStr">
        <is>
          <t>Week 11</t>
        </is>
      </c>
      <c r="B33" s="201" t="inlineStr">
        <is>
          <t>Day 2</t>
        </is>
      </c>
      <c r="C33" s="202" t="n"/>
      <c r="D33" s="202" t="inlineStr">
        <is>
          <t>Halecka</t>
        </is>
      </c>
      <c r="E33" s="203">
        <f>HYPERLINK("https://drive.google.com/file/d/1oldJm9iNLhtPjuLYKgRp3JRSL3VLEThG/view","▶  Watch")</f>
        <v/>
      </c>
      <c r="F33" s="202" t="inlineStr">
        <is>
          <t>Halecka W11D2.mp4</t>
        </is>
      </c>
      <c r="G33" s="202" t="inlineStr">
        <is>
          <t>Topic: Reproductive Disorders</t>
        </is>
      </c>
    </row>
    <row r="34" ht="15.75" customHeight="1" s="149">
      <c r="A34" s="198" t="inlineStr">
        <is>
          <t>Week 12</t>
        </is>
      </c>
      <c r="B34" s="198" t="inlineStr">
        <is>
          <t>Day 1</t>
        </is>
      </c>
      <c r="C34" s="199" t="n"/>
      <c r="D34" s="199" t="inlineStr">
        <is>
          <t>Halecka</t>
        </is>
      </c>
      <c r="E34" s="200">
        <f>HYPERLINK("https://drive.google.com/file/d/19ZrcWgDP34L_aYDnmQTwVsqD3T8NxVNk/view","▶  Watch")</f>
        <v/>
      </c>
      <c r="F34" s="199" t="inlineStr">
        <is>
          <t>Halecka W12D1.mp4</t>
        </is>
      </c>
      <c r="G34" s="199" t="inlineStr">
        <is>
          <t>Topic: Disaster, Mass Casualty &amp; Emergency Nursing</t>
        </is>
      </c>
    </row>
    <row r="35" ht="15.75" customHeight="1" s="149">
      <c r="A35" s="201" t="inlineStr">
        <is>
          <t>Week 12</t>
        </is>
      </c>
      <c r="B35" s="201" t="inlineStr">
        <is>
          <t>Day 2</t>
        </is>
      </c>
      <c r="C35" s="202" t="n"/>
      <c r="D35" s="202" t="inlineStr">
        <is>
          <t>Halecka</t>
        </is>
      </c>
      <c r="E35" s="203">
        <f>HYPERLINK("https://drive.google.com/file/d/1xP-bxF04ILbD1qvSbe8WFVsH5nB0yWXr/view","▶  Watch")</f>
        <v/>
      </c>
      <c r="F35" s="202" t="inlineStr">
        <is>
          <t>Halecka W12D2.mp4</t>
        </is>
      </c>
      <c r="G35" s="202" t="inlineStr">
        <is>
          <t>Topic: Disaster, Mass Casualty &amp; Emergency Nursing</t>
        </is>
      </c>
    </row>
    <row r="36" ht="15.75" customHeight="1" s="149">
      <c r="A36" s="198" t="inlineStr">
        <is>
          <t>Week 13</t>
        </is>
      </c>
      <c r="B36" s="198" t="inlineStr">
        <is>
          <t>Day 1</t>
        </is>
      </c>
      <c r="C36" s="199" t="n"/>
      <c r="D36" s="199" t="inlineStr">
        <is>
          <t>Halecka</t>
        </is>
      </c>
      <c r="E36" s="200">
        <f>HYPERLINK("https://drive.google.com/file/d/1dmJCDM5IPNYi_xRR4fIWAth_Vd0Nj4Mv/view","▶  Watch")</f>
        <v/>
      </c>
      <c r="F36" s="199" t="inlineStr">
        <is>
          <t>Halecka W13D1.mp4</t>
        </is>
      </c>
      <c r="G36" s="199" t="inlineStr">
        <is>
          <t>Topic: Shock &amp; MODS</t>
        </is>
      </c>
    </row>
    <row r="37" ht="15.75" customHeight="1" s="149">
      <c r="A37" s="201" t="inlineStr">
        <is>
          <t>Week 13</t>
        </is>
      </c>
      <c r="B37" s="201" t="inlineStr">
        <is>
          <t>Day 2</t>
        </is>
      </c>
      <c r="C37" s="202" t="n"/>
      <c r="D37" s="202" t="inlineStr">
        <is>
          <t>Halecka</t>
        </is>
      </c>
      <c r="E37" s="203">
        <f>HYPERLINK("https://drive.google.com/file/d/1Qokym4aSlBm2IqqVUcu-uQ5towdH6Ftb/view","▶  Watch")</f>
        <v/>
      </c>
      <c r="F37" s="202" t="inlineStr">
        <is>
          <t>Halecka W13D2.mp4</t>
        </is>
      </c>
      <c r="G37" s="202" t="inlineStr">
        <is>
          <t>Topic: Shock &amp; MODS</t>
        </is>
      </c>
    </row>
    <row r="38" ht="15.75" customHeight="1" s="149">
      <c r="A38" s="198" t="inlineStr">
        <is>
          <t>Week 14</t>
        </is>
      </c>
      <c r="B38" s="198" t="inlineStr">
        <is>
          <t>Day 1</t>
        </is>
      </c>
      <c r="C38" s="199" t="n"/>
      <c r="D38" s="199" t="inlineStr">
        <is>
          <t>Halecka</t>
        </is>
      </c>
      <c r="E38" s="200">
        <f>HYPERLINK("https://drive.google.com/file/d/1a1q2htiGkSbDtVr7xa10OLL1pV6dvzBx/view","▶  Watch")</f>
        <v/>
      </c>
      <c r="F38" s="199" t="inlineStr">
        <is>
          <t>Halecka W14D1.mp4</t>
        </is>
      </c>
      <c r="G38" s="199" t="inlineStr">
        <is>
          <t>Topic: Final Exam Review</t>
        </is>
      </c>
    </row>
    <row r="39" ht="15.75" customHeight="1" s="149">
      <c r="A39" s="201" t="inlineStr">
        <is>
          <t>Week 14</t>
        </is>
      </c>
      <c r="B39" s="201" t="inlineStr">
        <is>
          <t>Day 2</t>
        </is>
      </c>
      <c r="C39" s="202" t="n"/>
      <c r="D39" s="202" t="inlineStr">
        <is>
          <t>Halecka</t>
        </is>
      </c>
      <c r="E39" s="203">
        <f>HYPERLINK("https://drive.google.com/file/d/1CSwQrZ9FscsqFYe5J0oishTCN8pV6W6I/view","▶  Watch")</f>
        <v/>
      </c>
      <c r="F39" s="202" t="inlineStr">
        <is>
          <t>Halecka W14D2.mp4</t>
        </is>
      </c>
      <c r="G39" s="202" t="inlineStr">
        <is>
          <t>Topic: Final Exam Review</t>
        </is>
      </c>
    </row>
    <row r="40" ht="15.75" customHeight="1" s="149">
      <c r="A40" s="199" t="n"/>
      <c r="B40" s="199" t="n"/>
      <c r="C40" s="199" t="n"/>
      <c r="D40" s="199" t="n"/>
      <c r="E40" s="199" t="n"/>
      <c r="F40" s="199" t="n"/>
      <c r="G40" s="199" t="n"/>
    </row>
    <row r="41" ht="15.75" customHeight="1" s="149">
      <c r="A41" s="202" t="n"/>
      <c r="B41" s="202" t="n"/>
      <c r="C41" s="202" t="n"/>
      <c r="D41" s="202" t="n"/>
      <c r="E41" s="202" t="n"/>
      <c r="F41" s="202" t="n"/>
      <c r="G41" s="202" t="n"/>
    </row>
    <row r="42" ht="15.75" customHeight="1" s="149">
      <c r="A42" s="199" t="n"/>
      <c r="B42" s="199" t="n"/>
      <c r="C42" s="199" t="n"/>
      <c r="D42" s="199" t="n"/>
      <c r="E42" s="199" t="n"/>
      <c r="F42" s="199" t="n"/>
      <c r="G42" s="199" t="n"/>
    </row>
    <row r="43" ht="15.75" customHeight="1" s="149">
      <c r="A43" s="202" t="n"/>
      <c r="B43" s="202" t="n"/>
      <c r="C43" s="202" t="n"/>
      <c r="D43" s="202" t="n"/>
      <c r="E43" s="202" t="n"/>
      <c r="F43" s="202" t="n"/>
      <c r="G43" s="202" t="n"/>
    </row>
    <row r="44" ht="15.75" customHeight="1" s="149">
      <c r="A44" s="199" t="n"/>
      <c r="B44" s="199" t="n"/>
      <c r="C44" s="199" t="n"/>
      <c r="D44" s="199" t="n"/>
      <c r="E44" s="199" t="n"/>
      <c r="F44" s="199" t="n"/>
      <c r="G44" s="199" t="n"/>
    </row>
    <row r="45" ht="15.75" customHeight="1" s="149">
      <c r="A45" s="202" t="n"/>
      <c r="B45" s="202" t="n"/>
      <c r="C45" s="202" t="n"/>
      <c r="D45" s="202" t="n"/>
      <c r="E45" s="202" t="n"/>
      <c r="F45" s="202" t="n"/>
      <c r="G45" s="202"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204" t="n"/>
      <c r="B50" s="204" t="n"/>
      <c r="C50" s="204" t="n"/>
      <c r="D50" s="204" t="n"/>
      <c r="E50" s="204" t="n"/>
      <c r="F50" s="204" t="n"/>
      <c r="G50" s="204" t="n"/>
    </row>
    <row r="51" ht="15.75" customHeight="1" s="149">
      <c r="A51" s="205" t="n"/>
      <c r="B51" s="205" t="n"/>
      <c r="C51" s="205" t="n"/>
      <c r="D51" s="205" t="n"/>
      <c r="E51" s="205" t="n"/>
      <c r="F51" s="205" t="n"/>
      <c r="G51" s="205" t="n"/>
    </row>
    <row r="52" ht="15.75" customHeight="1" s="149">
      <c r="A52" s="204" t="n"/>
      <c r="B52" s="204" t="n"/>
      <c r="C52" s="204" t="n"/>
      <c r="D52" s="204" t="n"/>
      <c r="E52" s="204" t="n"/>
      <c r="F52" s="204" t="n"/>
      <c r="G52" s="204" t="n"/>
    </row>
    <row r="53" ht="15.75" customHeight="1" s="149">
      <c r="A53" s="205" t="n"/>
      <c r="B53" s="205" t="n"/>
      <c r="C53" s="205" t="n"/>
      <c r="D53" s="205" t="n"/>
      <c r="E53" s="205" t="n"/>
      <c r="F53" s="205" t="n"/>
      <c r="G53" s="205" t="n"/>
    </row>
    <row r="54" ht="15.75" customHeight="1" s="149">
      <c r="A54" s="204" t="n"/>
      <c r="B54" s="204" t="n"/>
      <c r="C54" s="204" t="n"/>
      <c r="D54" s="204" t="n"/>
      <c r="E54" s="204" t="n"/>
      <c r="F54" s="204" t="n"/>
      <c r="G54" s="204"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c r="A235" s="5" t="n"/>
      <c r="B235" s="5" t="n"/>
      <c r="C235" s="5" t="n"/>
      <c r="D235" s="5" t="n"/>
      <c r="E235" s="5" t="n"/>
      <c r="F235" s="5" t="n"/>
      <c r="G235" s="5" t="n"/>
    </row>
    <row r="236" ht="15.75" customHeight="1" s="149">
      <c r="A236" s="5" t="n"/>
      <c r="B236" s="5" t="n"/>
      <c r="C236" s="5" t="n"/>
      <c r="D236" s="5" t="n"/>
      <c r="E236" s="5" t="n"/>
      <c r="F236" s="5" t="n"/>
      <c r="G236" s="5" t="n"/>
    </row>
    <row r="237" ht="15.75" customHeight="1" s="149">
      <c r="A237" s="5" t="n"/>
      <c r="B237" s="5" t="n"/>
      <c r="C237" s="5" t="n"/>
      <c r="D237" s="5" t="n"/>
      <c r="E237" s="5" t="n"/>
      <c r="F237" s="5" t="n"/>
      <c r="G237" s="5" t="n"/>
    </row>
    <row r="238" ht="15.75" customHeight="1" s="149">
      <c r="A238" s="5" t="n"/>
      <c r="B238" s="5" t="n"/>
      <c r="C238" s="5" t="n"/>
      <c r="D238" s="5" t="n"/>
      <c r="E238" s="5" t="n"/>
      <c r="F238" s="5" t="n"/>
      <c r="G238" s="5" t="n"/>
    </row>
    <row r="239" ht="15.75" customHeight="1" s="149">
      <c r="A239" s="5" t="n"/>
      <c r="B239" s="5" t="n"/>
      <c r="C239" s="5" t="n"/>
      <c r="D239" s="5" t="n"/>
      <c r="E239" s="5" t="n"/>
      <c r="F239" s="5" t="n"/>
      <c r="G239" s="5" t="n"/>
    </row>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23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Wagner</t>
        </is>
      </c>
    </row>
    <row r="2">
      <c r="A2" s="9" t="inlineStr">
        <is>
          <t>NUR234</t>
        </is>
      </c>
      <c r="B2" s="9" t="inlineStr">
        <is>
          <t>NUR235</t>
        </is>
      </c>
      <c r="C2" s="14" t="inlineStr">
        <is>
          <t>NUR258</t>
        </is>
      </c>
      <c r="D2" s="17" t="inlineStr">
        <is>
          <t>🏠 START HERE</t>
        </is>
      </c>
      <c r="E2" s="15" t="inlineStr">
        <is>
          <t>📥 Sort me</t>
        </is>
      </c>
      <c r="F2" s="16" t="n"/>
      <c r="G2" s="16" t="n"/>
    </row>
    <row r="3">
      <c r="A3" s="19" t="inlineStr">
        <is>
          <t>Halecka</t>
        </is>
      </c>
      <c r="B3" s="98" t="inlineStr">
        <is>
          <t>Wagner</t>
        </is>
      </c>
      <c r="C3" s="19" t="inlineStr">
        <is>
          <t>Simmons</t>
        </is>
      </c>
      <c r="D3" s="19" t="inlineStr">
        <is>
          <t>Exams</t>
        </is>
      </c>
      <c r="E3" s="27">
        <f>HYPERLINK('START HERE'!$B$36,"Zoom")</f>
        <v/>
      </c>
      <c r="F3" s="19" t="inlineStr">
        <is>
          <t>Review videos</t>
        </is>
      </c>
      <c r="G3" s="16" t="n"/>
    </row>
    <row r="4">
      <c r="A4" s="16" t="n"/>
      <c r="B4" s="16" t="n"/>
      <c r="C4" s="16" t="n"/>
      <c r="D4" s="16" t="n"/>
      <c r="E4" s="16" t="n"/>
      <c r="F4" s="16" t="n"/>
      <c r="G4" s="16"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Day 1</t>
        </is>
      </c>
      <c r="C6" s="199" t="n"/>
      <c r="D6" s="199" t="inlineStr">
        <is>
          <t>Wagner</t>
        </is>
      </c>
      <c r="E6" s="200">
        <f>HYPERLINK("https://drive.google.com/file/d/1wtklIvJcD059j3j2ydf30LJdilUZbRO7/view?usp=drive_link","▶  Watch")</f>
        <v/>
      </c>
      <c r="F6" s="199" t="n"/>
      <c r="G6" s="199" t="inlineStr">
        <is>
          <t>Topic: Sensory Disorders - Eye &amp; Ear</t>
        </is>
      </c>
    </row>
    <row r="7">
      <c r="A7" s="201" t="inlineStr">
        <is>
          <t>Week 1</t>
        </is>
      </c>
      <c r="B7" s="201" t="inlineStr">
        <is>
          <t>Day 2</t>
        </is>
      </c>
      <c r="C7" s="202" t="n"/>
      <c r="D7" s="202" t="inlineStr">
        <is>
          <t>Wagner</t>
        </is>
      </c>
      <c r="E7" s="203">
        <f>HYPERLINK("https://drive.google.com/file/d/16hwJnlASQ_miHbHjnSaKlAgUCBSTfKKD/view","▶  Watch")</f>
        <v/>
      </c>
      <c r="F7" s="202" t="inlineStr">
        <is>
          <t>Wagner M1D2.mp4</t>
        </is>
      </c>
      <c r="G7" s="202" t="inlineStr">
        <is>
          <t>Topic: Sensory Disorders - Eye &amp; Ear</t>
        </is>
      </c>
    </row>
    <row r="8">
      <c r="A8" s="198" t="inlineStr">
        <is>
          <t>Week 1</t>
        </is>
      </c>
      <c r="B8" s="198" t="inlineStr">
        <is>
          <t>Day 3</t>
        </is>
      </c>
      <c r="C8" s="199" t="n"/>
      <c r="D8" s="199" t="inlineStr">
        <is>
          <t>Wagner</t>
        </is>
      </c>
      <c r="E8" s="200">
        <f>HYPERLINK("https://drive.google.com/file/d/1wtklIvJcD059j3j2ydf30LJdilUZbRO7/view","▶  Watch")</f>
        <v/>
      </c>
      <c r="F8" s="199" t="inlineStr">
        <is>
          <t>Wagner M1d3.mp4</t>
        </is>
      </c>
      <c r="G8" s="199" t="inlineStr">
        <is>
          <t>Topic: Sensory Disorders - Eye &amp; Ear</t>
        </is>
      </c>
    </row>
    <row r="9">
      <c r="A9" s="201" t="inlineStr">
        <is>
          <t>Week 2</t>
        </is>
      </c>
      <c r="B9" s="201" t="inlineStr">
        <is>
          <t>Day 1</t>
        </is>
      </c>
      <c r="C9" s="202" t="n"/>
      <c r="D9" s="202" t="inlineStr">
        <is>
          <t>Wagner</t>
        </is>
      </c>
      <c r="E9" s="203">
        <f>HYPERLINK("https://drive.google.com/file/d/1MCvGqSq0VeaMojSXq6_8QgmYM3VY54V3/view","▶  Watch")</f>
        <v/>
      </c>
      <c r="F9" s="202" t="inlineStr">
        <is>
          <t>Wagner M2D1.mp4</t>
        </is>
      </c>
      <c r="G9" s="202" t="inlineStr">
        <is>
          <t>Topic: Infectious Diseases &amp; HIV</t>
        </is>
      </c>
    </row>
    <row r="10">
      <c r="A10" s="198" t="inlineStr">
        <is>
          <t>Week 2</t>
        </is>
      </c>
      <c r="B10" s="198" t="inlineStr">
        <is>
          <t>Day 2</t>
        </is>
      </c>
      <c r="C10" s="199" t="n"/>
      <c r="D10" s="199" t="inlineStr">
        <is>
          <t>Wagner</t>
        </is>
      </c>
      <c r="E10" s="200">
        <f>HYPERLINK("https://drive.google.com/file/d/1H5EHGXzFX278nFTWV7sUu6d8S8Al4V1Z/view","▶  Watch")</f>
        <v/>
      </c>
      <c r="F10" s="199" t="inlineStr">
        <is>
          <t>Wagner M2D2.mp4</t>
        </is>
      </c>
      <c r="G10" s="199" t="inlineStr">
        <is>
          <t>Topic: Infectious Diseases &amp; HIV</t>
        </is>
      </c>
    </row>
    <row r="11">
      <c r="A11" s="201" t="inlineStr">
        <is>
          <t>Week 3</t>
        </is>
      </c>
      <c r="B11" s="201" t="inlineStr">
        <is>
          <t>Day 1</t>
        </is>
      </c>
      <c r="C11" s="202" t="n"/>
      <c r="D11" s="202" t="inlineStr">
        <is>
          <t>Wagner</t>
        </is>
      </c>
      <c r="E11" s="203">
        <f>HYPERLINK("https://drive.google.com/file/d/1GWwGtHSuUxtEafJ5RUlKTIMCD7prtOyV/view","▶  Watch")</f>
        <v/>
      </c>
      <c r="F11" s="202" t="inlineStr">
        <is>
          <t>Wagner M3D1.mp4</t>
        </is>
      </c>
      <c r="G11" s="202" t="inlineStr">
        <is>
          <t>Topic: Allergic, Inflammatory &amp; Immunologic Disorders</t>
        </is>
      </c>
    </row>
    <row r="12">
      <c r="A12" s="198" t="inlineStr">
        <is>
          <t>Week 3</t>
        </is>
      </c>
      <c r="B12" s="198" t="inlineStr">
        <is>
          <t>Day 2</t>
        </is>
      </c>
      <c r="C12" s="199" t="n"/>
      <c r="D12" s="199" t="inlineStr">
        <is>
          <t>Wagner</t>
        </is>
      </c>
      <c r="E12" s="200">
        <f>HYPERLINK("https://drive.google.com/file/d/14h7QaQPftFeWKqWmyPLMHRAlp4D1DViW/view","▶  Watch")</f>
        <v/>
      </c>
      <c r="F12" s="199" t="inlineStr">
        <is>
          <t>Wagner M3D2.mp4</t>
        </is>
      </c>
      <c r="G12" s="199" t="inlineStr">
        <is>
          <t>Topic: Allergic, Inflammatory &amp; Immunologic Disorders</t>
        </is>
      </c>
    </row>
    <row r="13">
      <c r="A13" s="201" t="inlineStr">
        <is>
          <t>Week 4</t>
        </is>
      </c>
      <c r="B13" s="201" t="inlineStr">
        <is>
          <t>Day 1</t>
        </is>
      </c>
      <c r="C13" s="202" t="n"/>
      <c r="D13" s="202" t="inlineStr">
        <is>
          <t>Wagner</t>
        </is>
      </c>
      <c r="E13" s="203">
        <f>HYPERLINK("https://drive.google.com/file/d/1V93YTwkHnN_moZZB1ScOXleatBLk8tjp/view","▶  Watch")</f>
        <v/>
      </c>
      <c r="F13" s="202" t="inlineStr">
        <is>
          <t>Wagner W4D1.mp4</t>
        </is>
      </c>
      <c r="G13" s="202" t="inlineStr">
        <is>
          <t>Topic: Burns</t>
        </is>
      </c>
    </row>
    <row r="14">
      <c r="A14" s="198" t="inlineStr">
        <is>
          <t>Week 4</t>
        </is>
      </c>
      <c r="B14" s="198" t="inlineStr">
        <is>
          <t>Day 2</t>
        </is>
      </c>
      <c r="C14" s="199" t="n"/>
      <c r="D14" s="199" t="inlineStr">
        <is>
          <t>Wagner</t>
        </is>
      </c>
      <c r="E14" s="200">
        <f>HYPERLINK("https://drive.google.com/file/d/1iuG4OPyP4ncermN7KOeAib0TJ1N0fUGB/view","▶  Watch")</f>
        <v/>
      </c>
      <c r="F14" s="199" t="inlineStr">
        <is>
          <t>Wagner W4D2.mp4</t>
        </is>
      </c>
      <c r="G14" s="199" t="inlineStr">
        <is>
          <t>Topic: Burns</t>
        </is>
      </c>
    </row>
    <row r="15">
      <c r="A15" s="201" t="inlineStr">
        <is>
          <t>Week 5</t>
        </is>
      </c>
      <c r="B15" s="201" t="inlineStr">
        <is>
          <t>Day 1</t>
        </is>
      </c>
      <c r="C15" s="202" t="n"/>
      <c r="D15" s="202" t="inlineStr">
        <is>
          <t>Wagner</t>
        </is>
      </c>
      <c r="E15" s="203">
        <f>HYPERLINK("https://drive.google.com/file/d/1hIdwcnajMloBB9_GuZnY1jrnU8WViAdZ/view","▶  Watch")</f>
        <v/>
      </c>
      <c r="F15" s="202" t="inlineStr">
        <is>
          <t>Wagner W5D1.mp4</t>
        </is>
      </c>
      <c r="G15" s="202" t="inlineStr">
        <is>
          <t>Topic: Endocrine Disorders</t>
        </is>
      </c>
    </row>
    <row r="16">
      <c r="A16" s="198" t="inlineStr">
        <is>
          <t>Week 5</t>
        </is>
      </c>
      <c r="B16" s="198" t="inlineStr">
        <is>
          <t>Day 2</t>
        </is>
      </c>
      <c r="C16" s="199" t="n"/>
      <c r="D16" s="199" t="inlineStr">
        <is>
          <t>Wagner</t>
        </is>
      </c>
      <c r="E16" s="200">
        <f>HYPERLINK("https://drive.google.com/file/d/1gP4XUFWs4UEPG0S22U5Mjh3iLhe6m1uh/view","▶  Watch")</f>
        <v/>
      </c>
      <c r="F16" s="199" t="inlineStr">
        <is>
          <t>Wagner W5D2.mp4</t>
        </is>
      </c>
      <c r="G16" s="199" t="inlineStr">
        <is>
          <t>Topic: Endocrine Disorders</t>
        </is>
      </c>
    </row>
    <row r="17">
      <c r="A17" s="201" t="inlineStr">
        <is>
          <t>Week 6</t>
        </is>
      </c>
      <c r="B17" s="201" t="inlineStr">
        <is>
          <t>Day 1</t>
        </is>
      </c>
      <c r="C17" s="202" t="n"/>
      <c r="D17" s="202" t="inlineStr">
        <is>
          <t>Wagner</t>
        </is>
      </c>
      <c r="E17" s="202" t="n"/>
      <c r="F17" s="202" t="n"/>
      <c r="G17" s="202" t="n"/>
    </row>
    <row r="18">
      <c r="A18" s="198" t="inlineStr">
        <is>
          <t>Week 6</t>
        </is>
      </c>
      <c r="B18" s="198" t="inlineStr">
        <is>
          <t>Day 2</t>
        </is>
      </c>
      <c r="C18" s="199" t="n"/>
      <c r="D18" s="199" t="inlineStr">
        <is>
          <t>Wagner</t>
        </is>
      </c>
      <c r="E18" s="199" t="n"/>
      <c r="F18" s="199" t="n"/>
      <c r="G18" s="199" t="n"/>
    </row>
    <row r="19">
      <c r="A19" s="201" t="inlineStr">
        <is>
          <t>Week 7</t>
        </is>
      </c>
      <c r="B19" s="201" t="inlineStr">
        <is>
          <t>Day 1</t>
        </is>
      </c>
      <c r="C19" s="202" t="n"/>
      <c r="D19" s="202" t="inlineStr">
        <is>
          <t>Wagner</t>
        </is>
      </c>
      <c r="E19" s="202" t="n"/>
      <c r="F19" s="202" t="n"/>
      <c r="G19" s="202" t="n"/>
    </row>
    <row r="20">
      <c r="A20" s="198" t="inlineStr">
        <is>
          <t>Week 7</t>
        </is>
      </c>
      <c r="B20" s="198" t="inlineStr">
        <is>
          <t>Day 2</t>
        </is>
      </c>
      <c r="C20" s="199" t="n"/>
      <c r="D20" s="199" t="inlineStr">
        <is>
          <t>Wagner</t>
        </is>
      </c>
      <c r="E20" s="199" t="n"/>
      <c r="F20" s="199" t="n"/>
      <c r="G20" s="199" t="n"/>
    </row>
    <row r="21" ht="15.75" customHeight="1" s="149">
      <c r="A21" s="201" t="inlineStr">
        <is>
          <t>Week 8</t>
        </is>
      </c>
      <c r="B21" s="201" t="inlineStr">
        <is>
          <t>Day 1</t>
        </is>
      </c>
      <c r="C21" s="202" t="n"/>
      <c r="D21" s="202" t="inlineStr">
        <is>
          <t>Wagner</t>
        </is>
      </c>
      <c r="E21" s="202" t="n"/>
      <c r="F21" s="202" t="n"/>
      <c r="G21" s="202" t="n"/>
    </row>
    <row r="22" ht="15.75" customHeight="1" s="149">
      <c r="A22" s="198" t="inlineStr">
        <is>
          <t>Week 8</t>
        </is>
      </c>
      <c r="B22" s="198" t="inlineStr">
        <is>
          <t>Day 2</t>
        </is>
      </c>
      <c r="C22" s="199" t="n"/>
      <c r="D22" s="199" t="inlineStr">
        <is>
          <t>Wagner</t>
        </is>
      </c>
      <c r="E22" s="199" t="n"/>
      <c r="F22" s="199" t="n"/>
      <c r="G22" s="199" t="n"/>
    </row>
    <row r="23" ht="15.75" customHeight="1" s="149">
      <c r="A23" s="201" t="inlineStr">
        <is>
          <t>Week 9</t>
        </is>
      </c>
      <c r="B23" s="201" t="inlineStr">
        <is>
          <t>Day 1</t>
        </is>
      </c>
      <c r="C23" s="202" t="n"/>
      <c r="D23" s="202" t="inlineStr">
        <is>
          <t>Wagner</t>
        </is>
      </c>
      <c r="E23" s="202" t="n"/>
      <c r="F23" s="202" t="n"/>
      <c r="G23" s="202" t="n"/>
    </row>
    <row r="24" ht="15.75" customHeight="1" s="149">
      <c r="A24" s="198" t="inlineStr">
        <is>
          <t>Week 9</t>
        </is>
      </c>
      <c r="B24" s="198" t="inlineStr">
        <is>
          <t>Day 2</t>
        </is>
      </c>
      <c r="C24" s="199" t="n"/>
      <c r="D24" s="199" t="inlineStr">
        <is>
          <t>Wagner</t>
        </is>
      </c>
      <c r="E24" s="199" t="n"/>
      <c r="F24" s="199" t="n"/>
      <c r="G24" s="199" t="n"/>
    </row>
    <row r="25" ht="15.75" customHeight="1" s="149">
      <c r="A25" s="201" t="inlineStr">
        <is>
          <t>Week 10</t>
        </is>
      </c>
      <c r="B25" s="201" t="inlineStr">
        <is>
          <t>Day 1</t>
        </is>
      </c>
      <c r="C25" s="202" t="n"/>
      <c r="D25" s="202" t="inlineStr">
        <is>
          <t>Wagner</t>
        </is>
      </c>
      <c r="E25" s="203">
        <f>HYPERLINK("https://drive.google.com/file/d/1_sDBTyzdfdPa3wk1s_Xrh5Hf4mrrCF5u/view","▶  Watch")</f>
        <v/>
      </c>
      <c r="F25" s="202" t="inlineStr">
        <is>
          <t>Wagner W10D1.mp4</t>
        </is>
      </c>
      <c r="G25" s="202" t="inlineStr">
        <is>
          <t>Topic: Oncologic Disorders &amp; End-of-Life Care</t>
        </is>
      </c>
    </row>
    <row r="26" ht="15.75" customHeight="1" s="149">
      <c r="A26" s="198" t="inlineStr">
        <is>
          <t>Week 10</t>
        </is>
      </c>
      <c r="B26" s="198" t="inlineStr">
        <is>
          <t>Day 2</t>
        </is>
      </c>
      <c r="C26" s="199" t="n"/>
      <c r="D26" s="199" t="inlineStr">
        <is>
          <t>Wagner</t>
        </is>
      </c>
      <c r="E26" s="200">
        <f>HYPERLINK("https://drive.google.com/file/d/1s6ZSywz0_vjOUACKMdcw_g4Wj3hEc94Q/view","▶  Watch")</f>
        <v/>
      </c>
      <c r="F26" s="199" t="inlineStr">
        <is>
          <t>Wagner W10D2.mp4</t>
        </is>
      </c>
      <c r="G26" s="199" t="inlineStr">
        <is>
          <t>Topic: Oncologic Disorders &amp; End-of-Life Care</t>
        </is>
      </c>
    </row>
    <row r="27" ht="15.75" customHeight="1" s="149">
      <c r="A27" s="201" t="inlineStr">
        <is>
          <t>Week 11</t>
        </is>
      </c>
      <c r="B27" s="201" t="inlineStr">
        <is>
          <t>Day 1</t>
        </is>
      </c>
      <c r="C27" s="202" t="n"/>
      <c r="D27" s="202" t="inlineStr">
        <is>
          <t>Wagner</t>
        </is>
      </c>
      <c r="E27" s="203">
        <f>HYPERLINK("https://drive.google.com/file/d/1fjug2mIicHY7nX9vuO4Y1sJL1_lRp0vU/view","▶  Watch")</f>
        <v/>
      </c>
      <c r="F27" s="202" t="inlineStr">
        <is>
          <t>Wagner W11D1.mp4</t>
        </is>
      </c>
      <c r="G27" s="202" t="inlineStr">
        <is>
          <t>Topic: Reproductive Disorders</t>
        </is>
      </c>
    </row>
    <row r="28" ht="15.75" customHeight="1" s="149">
      <c r="A28" s="198" t="inlineStr">
        <is>
          <t>Week 11</t>
        </is>
      </c>
      <c r="B28" s="198" t="inlineStr">
        <is>
          <t>Day 2</t>
        </is>
      </c>
      <c r="C28" s="199" t="n"/>
      <c r="D28" s="199" t="inlineStr">
        <is>
          <t>Wagner</t>
        </is>
      </c>
      <c r="E28" s="200">
        <f>HYPERLINK("https://drive.google.com/file/d/1Dfopme6sdvh-T26mYeXd_D3Abt-nrRcf/view","▶  Watch")</f>
        <v/>
      </c>
      <c r="F28" s="199" t="inlineStr">
        <is>
          <t>Wagner W11D2.mp4</t>
        </is>
      </c>
      <c r="G28" s="199" t="inlineStr">
        <is>
          <t>Topic: Reproductive Disorders</t>
        </is>
      </c>
    </row>
    <row r="29" ht="15.75" customHeight="1" s="149">
      <c r="A29" s="201" t="inlineStr">
        <is>
          <t>Week 12</t>
        </is>
      </c>
      <c r="B29" s="201" t="inlineStr">
        <is>
          <t>Day 1</t>
        </is>
      </c>
      <c r="C29" s="202" t="n"/>
      <c r="D29" s="202" t="inlineStr">
        <is>
          <t>Wagner</t>
        </is>
      </c>
      <c r="E29" s="203">
        <f>HYPERLINK("https://drive.google.com/file/d/1Na6pkJCCJvGzyCzAf03J8VeyVS63iLjw/view","▶  Watch")</f>
        <v/>
      </c>
      <c r="F29" s="202" t="inlineStr">
        <is>
          <t>Wagner W12D1.mp4</t>
        </is>
      </c>
      <c r="G29" s="202" t="inlineStr">
        <is>
          <t>Topic: Disaster, Mass Casualty &amp; Emergency Nursing</t>
        </is>
      </c>
    </row>
    <row r="30" ht="15.75" customHeight="1" s="149">
      <c r="A30" s="198" t="inlineStr">
        <is>
          <t>Week 12</t>
        </is>
      </c>
      <c r="B30" s="198" t="inlineStr">
        <is>
          <t>Day 2</t>
        </is>
      </c>
      <c r="C30" s="199" t="n"/>
      <c r="D30" s="199" t="inlineStr">
        <is>
          <t>Wagner</t>
        </is>
      </c>
      <c r="E30" s="200">
        <f>HYPERLINK("https://drive.google.com/file/d/1KBCU-z_KkCcozDXbb-XtF4WS_ZRze-jt/view","▶  Watch")</f>
        <v/>
      </c>
      <c r="F30" s="199" t="inlineStr">
        <is>
          <t>Wagner W12D2.mp4</t>
        </is>
      </c>
      <c r="G30" s="199" t="inlineStr">
        <is>
          <t>Topic: Disaster, Mass Casualty &amp; Emergency Nursing</t>
        </is>
      </c>
    </row>
    <row r="31" ht="15.75" customHeight="1" s="149">
      <c r="A31" s="201" t="inlineStr">
        <is>
          <t>Week 13</t>
        </is>
      </c>
      <c r="B31" s="201" t="inlineStr">
        <is>
          <t>Day 1</t>
        </is>
      </c>
      <c r="C31" s="202" t="n"/>
      <c r="D31" s="202" t="inlineStr">
        <is>
          <t>Wagner</t>
        </is>
      </c>
      <c r="E31" s="203">
        <f>HYPERLINK("https://drive.google.com/file/d/14okttGuurXwz3vU_Fr1oJ4P3XIE7qR_x/view","▶  Watch")</f>
        <v/>
      </c>
      <c r="F31" s="202" t="inlineStr">
        <is>
          <t>Wagner W13D1.mp4</t>
        </is>
      </c>
      <c r="G31" s="202" t="inlineStr">
        <is>
          <t>Topic: Shock &amp; MODS</t>
        </is>
      </c>
    </row>
    <row r="32" ht="15.75" customHeight="1" s="149">
      <c r="A32" s="198" t="inlineStr">
        <is>
          <t>Week 13</t>
        </is>
      </c>
      <c r="B32" s="198" t="inlineStr">
        <is>
          <t>Day 2</t>
        </is>
      </c>
      <c r="C32" s="199" t="n"/>
      <c r="D32" s="199" t="inlineStr">
        <is>
          <t>Wagner</t>
        </is>
      </c>
      <c r="E32" s="200">
        <f>HYPERLINK("https://drive.google.com/file/d/17j2Fm5hSFing77SVbMQwGi4sYuuIxyZ6/view","▶  Watch")</f>
        <v/>
      </c>
      <c r="F32" s="199" t="inlineStr">
        <is>
          <t>Wagner W13D2.mp4</t>
        </is>
      </c>
      <c r="G32" s="199" t="inlineStr">
        <is>
          <t>Topic: Shock &amp; MODS</t>
        </is>
      </c>
    </row>
    <row r="33" ht="15.75" customHeight="1" s="149">
      <c r="A33" s="201" t="inlineStr">
        <is>
          <t>Week 14</t>
        </is>
      </c>
      <c r="B33" s="201" t="inlineStr">
        <is>
          <t>Day 1</t>
        </is>
      </c>
      <c r="C33" s="202" t="n"/>
      <c r="D33" s="202" t="inlineStr">
        <is>
          <t>Wagner</t>
        </is>
      </c>
      <c r="E33" s="203">
        <f>HYPERLINK("https://drive.google.com/file/d/1XXi5LxISHmt44ffQ_5sOb-2LqquKsDQJ/view","▶  Watch")</f>
        <v/>
      </c>
      <c r="F33" s="202" t="inlineStr">
        <is>
          <t>Wagner W14D1.mp4</t>
        </is>
      </c>
      <c r="G33" s="202" t="inlineStr">
        <is>
          <t>Topic: Final Exam Review</t>
        </is>
      </c>
    </row>
    <row r="34" ht="15.75" customHeight="1" s="149">
      <c r="A34" s="198" t="inlineStr">
        <is>
          <t>Week 14</t>
        </is>
      </c>
      <c r="B34" s="198" t="inlineStr">
        <is>
          <t>Day 2</t>
        </is>
      </c>
      <c r="C34" s="199" t="n"/>
      <c r="D34" s="199" t="inlineStr">
        <is>
          <t>Wagner</t>
        </is>
      </c>
      <c r="E34" s="200">
        <f>HYPERLINK("https://drive.google.com/file/d/1W6BH-fS4Qj_O922nNOnHjm8NPBNi_rvR/view","▶  Watch")</f>
        <v/>
      </c>
      <c r="F34" s="199" t="inlineStr">
        <is>
          <t>Wagner W14D2.mp4</t>
        </is>
      </c>
      <c r="G34" s="199" t="inlineStr">
        <is>
          <t>Topic: Final Exam Review</t>
        </is>
      </c>
    </row>
    <row r="35" ht="15.75" customHeight="1" s="149">
      <c r="A35" s="202" t="n"/>
      <c r="B35" s="202" t="n"/>
      <c r="C35" s="202" t="n"/>
      <c r="D35" s="202" t="n"/>
      <c r="E35" s="202"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99" t="n"/>
      <c r="B38" s="199" t="n"/>
      <c r="C38" s="199" t="n"/>
      <c r="D38" s="199" t="n"/>
      <c r="E38" s="199" t="n"/>
      <c r="F38" s="199" t="n"/>
      <c r="G38" s="199" t="n"/>
    </row>
    <row r="39" ht="15.75" customHeight="1" s="149">
      <c r="A39" s="202" t="n"/>
      <c r="B39" s="202" t="n"/>
      <c r="C39" s="202" t="n"/>
      <c r="D39" s="202" t="n"/>
      <c r="E39" s="202" t="n"/>
      <c r="F39" s="202" t="n"/>
      <c r="G39" s="202" t="n"/>
    </row>
    <row r="40" ht="15.75" customHeight="1" s="149">
      <c r="A40" s="199" t="n"/>
      <c r="B40" s="199" t="n"/>
      <c r="C40" s="199" t="n"/>
      <c r="D40" s="199" t="n"/>
      <c r="E40" s="199" t="n"/>
      <c r="F40" s="199" t="n"/>
      <c r="G40" s="199" t="n"/>
    </row>
    <row r="41" ht="15.75" customHeight="1" s="149">
      <c r="A41" s="205" t="n"/>
      <c r="B41" s="205" t="n"/>
      <c r="C41" s="205" t="n"/>
      <c r="D41" s="205" t="n"/>
      <c r="E41" s="205" t="n"/>
      <c r="F41" s="205" t="n"/>
      <c r="G41" s="205" t="n"/>
    </row>
    <row r="42" ht="15.75" customHeight="1" s="149">
      <c r="A42" s="204" t="n"/>
      <c r="B42" s="204" t="n"/>
      <c r="C42" s="204" t="n"/>
      <c r="D42" s="204" t="n"/>
      <c r="E42" s="204" t="n"/>
      <c r="F42" s="204" t="n"/>
      <c r="G42" s="204" t="n"/>
    </row>
    <row r="43" ht="15.75" customHeight="1" s="149">
      <c r="A43" s="205" t="n"/>
      <c r="B43" s="205" t="n"/>
      <c r="C43" s="205" t="n"/>
      <c r="D43" s="205" t="n"/>
      <c r="E43" s="205" t="n"/>
      <c r="F43" s="205" t="n"/>
      <c r="G43" s="205" t="n"/>
    </row>
    <row r="44" ht="15.75" customHeight="1" s="149">
      <c r="A44" s="204" t="n"/>
      <c r="B44" s="204" t="n"/>
      <c r="C44" s="204" t="n"/>
      <c r="D44" s="204" t="n"/>
      <c r="E44" s="204" t="n"/>
      <c r="F44" s="204" t="n"/>
      <c r="G44" s="204" t="n"/>
    </row>
    <row r="45" ht="15.75" customHeight="1" s="149">
      <c r="A45" s="205" t="n"/>
      <c r="B45" s="205" t="n"/>
      <c r="C45" s="205" t="n"/>
      <c r="D45" s="205" t="n"/>
      <c r="E45" s="205" t="n"/>
      <c r="F45" s="205" t="n"/>
      <c r="G45" s="205"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23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169" t="inlineStr">
        <is>
          <t>NUR258  ·  Simmons</t>
        </is>
      </c>
    </row>
    <row r="2">
      <c r="A2" s="9" t="inlineStr">
        <is>
          <t>NUR234</t>
        </is>
      </c>
      <c r="B2" s="9" t="inlineStr">
        <is>
          <t>NUR235</t>
        </is>
      </c>
      <c r="C2" s="14" t="inlineStr">
        <is>
          <t>NUR258</t>
        </is>
      </c>
      <c r="D2" s="17" t="inlineStr">
        <is>
          <t>🏠 START HERE</t>
        </is>
      </c>
      <c r="E2" s="15" t="inlineStr">
        <is>
          <t>📥 Sort me</t>
        </is>
      </c>
      <c r="F2" s="16" t="n"/>
      <c r="G2" s="16" t="n"/>
    </row>
    <row r="3">
      <c r="A3" s="19" t="inlineStr">
        <is>
          <t>Halecka</t>
        </is>
      </c>
      <c r="B3" s="19" t="inlineStr">
        <is>
          <t>Wagner</t>
        </is>
      </c>
      <c r="C3" s="98" t="inlineStr">
        <is>
          <t>Simmons</t>
        </is>
      </c>
      <c r="D3" s="19" t="inlineStr">
        <is>
          <t>Exams</t>
        </is>
      </c>
      <c r="E3" s="27">
        <f>HYPERLINK('START HERE'!$B$36,"Zoom")</f>
        <v/>
      </c>
      <c r="F3" s="19" t="inlineStr">
        <is>
          <t>Review videos</t>
        </is>
      </c>
      <c r="G3" s="16" t="n"/>
    </row>
    <row r="4">
      <c r="A4" s="16" t="n"/>
      <c r="B4" s="16" t="n"/>
      <c r="C4" s="16" t="n"/>
      <c r="D4" s="16" t="n"/>
      <c r="E4" s="16" t="n"/>
      <c r="F4" s="16" t="n"/>
      <c r="G4" s="16"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1</t>
        </is>
      </c>
      <c r="B6" s="198" t="inlineStr">
        <is>
          <t>Orientation</t>
        </is>
      </c>
      <c r="C6" s="199" t="inlineStr">
        <is>
          <t>Fall 2026</t>
        </is>
      </c>
      <c r="D6" s="199" t="inlineStr">
        <is>
          <t>Simmons</t>
        </is>
      </c>
      <c r="E6" s="200">
        <f>HYPERLINK("https://drive.google.com/file/d/1vELNw9yEfC3KyPu3v5p8IQWKlkErLRjO/view","▶  Watch")</f>
        <v/>
      </c>
      <c r="F6" s="199" t="inlineStr">
        <is>
          <t>Nur258_Simmons_Wk01_Day1_Orientation.mp4</t>
        </is>
      </c>
      <c r="G6" s="199" t="inlineStr">
        <is>
          <t>Course orientation, first meeting</t>
        </is>
      </c>
    </row>
    <row r="7">
      <c r="A7" s="201" t="inlineStr">
        <is>
          <t>Week 1</t>
        </is>
      </c>
      <c r="B7" s="201" t="inlineStr">
        <is>
          <t>Day 1</t>
        </is>
      </c>
      <c r="C7" s="202" t="inlineStr">
        <is>
          <t>Fall 2026</t>
        </is>
      </c>
      <c r="D7" s="202" t="inlineStr">
        <is>
          <t>Simmons</t>
        </is>
      </c>
      <c r="E7" s="203">
        <f>HYPERLINK("https://drive.google.com/file/d/1l4lkSJ2F1akNyjw44c7mO5-SeA8a7VU8/view","▶  Watch")</f>
        <v/>
      </c>
      <c r="F7" s="202" t="inlineStr">
        <is>
          <t>Nur 258_Simmons_Wk 1.mp4</t>
        </is>
      </c>
      <c r="G7" s="202" t="inlineStr">
        <is>
          <t>Sensory disorders: eye and ear</t>
        </is>
      </c>
    </row>
    <row r="8">
      <c r="A8" s="198" t="inlineStr">
        <is>
          <t>Week 1</t>
        </is>
      </c>
      <c r="B8" s="198" t="inlineStr">
        <is>
          <t>Day 2</t>
        </is>
      </c>
      <c r="C8" s="199" t="inlineStr">
        <is>
          <t>Fall 2026</t>
        </is>
      </c>
      <c r="D8" s="199" t="inlineStr">
        <is>
          <t>Simmons</t>
        </is>
      </c>
      <c r="E8" s="200">
        <f>HYPERLINK("https://drive.google.com/file/d/1nibIelmSIxz4_UZkHdUR20OvMw1yUUWx/view","▶  Watch")</f>
        <v/>
      </c>
      <c r="F8" s="199" t="inlineStr">
        <is>
          <t>Nur 258 Simmons Wk 1 D 2.mp4</t>
        </is>
      </c>
      <c r="G8" s="199" t="inlineStr">
        <is>
          <t>Sensory disorders: eye and ear</t>
        </is>
      </c>
    </row>
    <row r="9">
      <c r="A9" s="201" t="inlineStr">
        <is>
          <t>Week 1</t>
        </is>
      </c>
      <c r="B9" s="201" t="inlineStr">
        <is>
          <t>Day 3</t>
        </is>
      </c>
      <c r="C9" s="202" t="inlineStr">
        <is>
          <t>Fall 2026</t>
        </is>
      </c>
      <c r="D9" s="202" t="inlineStr">
        <is>
          <t>Simmons</t>
        </is>
      </c>
      <c r="E9" s="203">
        <f>HYPERLINK("https://drive.google.com/file/d/1l_giGND--xWFLRqBk6zLGcL0eMAXcHX-/view","▶  Watch")</f>
        <v/>
      </c>
      <c r="F9" s="202" t="inlineStr">
        <is>
          <t>Sun 7 Sep 7-57 PM - Sensory eye and ear, burns, HIV, sepsis, diabetes overview.mp4</t>
        </is>
      </c>
      <c r="G9" s="206" t="inlineStr">
        <is>
          <t>Screen recording, Sun 7 Sep 7:57 PM. Caroline confirmed this one is Simmons. Filed as Week 1 Day 3 - move the row if it belongs to another day</t>
        </is>
      </c>
    </row>
    <row r="10">
      <c r="A10" s="198" t="inlineStr">
        <is>
          <t>Week 2</t>
        </is>
      </c>
      <c r="B10" s="198" t="inlineStr">
        <is>
          <t>Day 1</t>
        </is>
      </c>
      <c r="C10" s="199" t="inlineStr">
        <is>
          <t>Fall 2026</t>
        </is>
      </c>
      <c r="D10" s="199" t="inlineStr">
        <is>
          <t>Simmons</t>
        </is>
      </c>
      <c r="E10" s="207" t="n"/>
      <c r="F10" s="199" t="n"/>
      <c r="G10" s="199" t="n"/>
    </row>
    <row r="11">
      <c r="A11" s="201" t="inlineStr">
        <is>
          <t>Week 2</t>
        </is>
      </c>
      <c r="B11" s="201" t="inlineStr">
        <is>
          <t>Day 2</t>
        </is>
      </c>
      <c r="C11" s="202" t="inlineStr">
        <is>
          <t>Fall 2026</t>
        </is>
      </c>
      <c r="D11" s="202" t="inlineStr">
        <is>
          <t>Simmons</t>
        </is>
      </c>
      <c r="E11" s="208" t="n"/>
      <c r="F11" s="202" t="n"/>
      <c r="G11" s="202" t="n"/>
    </row>
    <row r="12">
      <c r="A12" s="198" t="inlineStr">
        <is>
          <t>Week 3</t>
        </is>
      </c>
      <c r="B12" s="198" t="inlineStr">
        <is>
          <t>Day 1</t>
        </is>
      </c>
      <c r="C12" s="199" t="inlineStr">
        <is>
          <t>Fall 2026</t>
        </is>
      </c>
      <c r="D12" s="199" t="inlineStr">
        <is>
          <t>Simmons</t>
        </is>
      </c>
      <c r="E12" s="207" t="n"/>
      <c r="F12" s="199" t="n"/>
      <c r="G12" s="199" t="n"/>
    </row>
    <row r="13">
      <c r="A13" s="201" t="inlineStr">
        <is>
          <t>Week 3</t>
        </is>
      </c>
      <c r="B13" s="201" t="inlineStr">
        <is>
          <t>Day 2</t>
        </is>
      </c>
      <c r="C13" s="202" t="inlineStr">
        <is>
          <t>Fall 2026</t>
        </is>
      </c>
      <c r="D13" s="202" t="inlineStr">
        <is>
          <t>Simmons</t>
        </is>
      </c>
      <c r="E13" s="208" t="n"/>
      <c r="F13" s="202" t="n"/>
      <c r="G13" s="202" t="n"/>
    </row>
    <row r="14">
      <c r="A14" s="198" t="inlineStr">
        <is>
          <t>Week 4</t>
        </is>
      </c>
      <c r="B14" s="198" t="inlineStr">
        <is>
          <t>Day 1</t>
        </is>
      </c>
      <c r="C14" s="199" t="inlineStr">
        <is>
          <t>Fall 2026</t>
        </is>
      </c>
      <c r="D14" s="199" t="inlineStr">
        <is>
          <t>Simmons</t>
        </is>
      </c>
      <c r="E14" s="200">
        <f>HYPERLINK("https://drive.google.com/file/d/1mQ5_1LTAl8D1uRYt2cr9No8fFFWNdYuo/view","▶  Watch")</f>
        <v/>
      </c>
      <c r="F14" s="199" t="inlineStr">
        <is>
          <t>NUR258_Fall2026_Simmons_Wk04_DayNA_Module 4 - Burns - Parkland, Curling ulcer (topic from Drive speech index).mp4</t>
        </is>
      </c>
      <c r="G14" s="199" t="inlineStr">
        <is>
          <t>Module 4, burns. Day not stated on the upload; topic from the Drive speech index (Parkland, Curling ulcer), not from listening.</t>
        </is>
      </c>
    </row>
    <row r="15">
      <c r="A15" s="201" t="inlineStr">
        <is>
          <t>Week 4</t>
        </is>
      </c>
      <c r="B15" s="201" t="inlineStr">
        <is>
          <t>Day 2</t>
        </is>
      </c>
      <c r="C15" s="202" t="inlineStr">
        <is>
          <t>Fall 2026</t>
        </is>
      </c>
      <c r="D15" s="202" t="inlineStr">
        <is>
          <t>Simmons</t>
        </is>
      </c>
      <c r="E15" s="208" t="n"/>
      <c r="F15" s="202" t="n"/>
      <c r="G15" s="202" t="n"/>
    </row>
    <row r="16">
      <c r="A16" s="198" t="inlineStr">
        <is>
          <t>Week 5</t>
        </is>
      </c>
      <c r="B16" s="198" t="inlineStr">
        <is>
          <t>Day 1</t>
        </is>
      </c>
      <c r="C16" s="199" t="inlineStr">
        <is>
          <t>Fall 2026</t>
        </is>
      </c>
      <c r="D16" s="199" t="inlineStr">
        <is>
          <t>Simmons</t>
        </is>
      </c>
      <c r="E16" s="200">
        <f>HYPERLINK("https://drive.google.com/file/d/1gdm8e33xA3moNJS2cnHyGWtARPnx5-VK/view","▶  Watch")</f>
        <v/>
      </c>
      <c r="F16" s="199" t="inlineStr">
        <is>
          <t>NUR258_Fall2026_Simmons_Wk05_DayNA_Module 5 - Endocrine disorders - pituitary, thyroid, adrenal (topic from Drive speech index).mp4</t>
        </is>
      </c>
      <c r="G16" s="199" t="inlineStr">
        <is>
          <t>Module 5, endocrine. Day not stated on the upload; topic from the Drive speech index (Cushing, Addison, thyroid, pituitary), not from listening.</t>
        </is>
      </c>
    </row>
    <row r="17">
      <c r="A17" s="201" t="inlineStr">
        <is>
          <t>Week 5</t>
        </is>
      </c>
      <c r="B17" s="201" t="inlineStr">
        <is>
          <t>Day 2</t>
        </is>
      </c>
      <c r="C17" s="202" t="inlineStr">
        <is>
          <t>Fall 2026</t>
        </is>
      </c>
      <c r="D17" s="202" t="inlineStr">
        <is>
          <t>Simmons</t>
        </is>
      </c>
      <c r="E17" s="208" t="n"/>
      <c r="F17" s="202" t="n"/>
      <c r="G17" s="202" t="n"/>
    </row>
    <row r="18">
      <c r="A18" s="198" t="inlineStr">
        <is>
          <t>Week 6</t>
        </is>
      </c>
      <c r="B18" s="198" t="inlineStr">
        <is>
          <t>Day 1</t>
        </is>
      </c>
      <c r="C18" s="199" t="inlineStr">
        <is>
          <t>Fall 2026</t>
        </is>
      </c>
      <c r="D18" s="199" t="inlineStr">
        <is>
          <t>Simmons</t>
        </is>
      </c>
      <c r="E18" s="200">
        <f>HYPERLINK("https://drive.google.com/file/d/1b9_VQuLuEJO8Oxkfkgh6R8tliXlwiTHe/view","▶  Watch")</f>
        <v/>
      </c>
      <c r="F18" s="199" t="inlineStr">
        <is>
          <t>NUR258_Fall2026_Simmons_Wk06_DayNA_Module 6 - Diabetes (named from the week number).mp4</t>
        </is>
      </c>
      <c r="G18" s="199" t="inlineStr">
        <is>
          <t>Module 6, diabetes. Uploaded 6 Oct as "NUR 258 Simmons Wk 6" (1.68 GB); day not stated, topic taken from the module title. Copy also in 258 lectures.</t>
        </is>
      </c>
    </row>
    <row r="19">
      <c r="A19" s="201" t="inlineStr">
        <is>
          <t>Week 6</t>
        </is>
      </c>
      <c r="B19" s="201" t="inlineStr">
        <is>
          <t>Day 2</t>
        </is>
      </c>
      <c r="C19" s="202" t="inlineStr">
        <is>
          <t>Fall 2026</t>
        </is>
      </c>
      <c r="D19" s="202" t="inlineStr">
        <is>
          <t>Simmons</t>
        </is>
      </c>
      <c r="E19" s="203">
        <f>HYPERLINK("https://drive.google.com/file/d/1Ddu9C9PKmJeJIAp3rms9yKN_aJOW5cMH/view","▶  Watch")</f>
        <v/>
      </c>
      <c r="F19" s="202" t="inlineStr">
        <is>
          <t>NUR258_Fall2026_Simmons_Wk06_DayNA_Module 6 - Diabetes (second recording, topic from the speech index).mp4</t>
        </is>
      </c>
      <c r="G19" s="202"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198" t="inlineStr">
        <is>
          <t>Week 7</t>
        </is>
      </c>
      <c r="B20" s="198" t="inlineStr">
        <is>
          <t>Day 1</t>
        </is>
      </c>
      <c r="C20" s="199" t="inlineStr">
        <is>
          <t>Fall 2026</t>
        </is>
      </c>
      <c r="D20" s="199" t="inlineStr">
        <is>
          <t>Simmons</t>
        </is>
      </c>
      <c r="E20" s="200">
        <f>HYPERLINK("https://drive.google.com/file/d/1dEApSof8CrGkfjqyOWd6yaeUf7vWgQfP/view","▶  Watch")</f>
        <v/>
      </c>
      <c r="F20" s="199" t="inlineStr">
        <is>
          <t>NUR258_Fall2026_Simmons_Wk07_DayNA_Module 7 - Neurologic and cerebrovascular disorders.mp4</t>
        </is>
      </c>
      <c r="G20" s="199" t="inlineStr">
        <is>
          <t>Module 7, neurologic and cerebrovascular disorders. Screen recording of the Mon 12 Oct class (450 MB); Caroline named Simmons as the lecturer. Day not stated, so it sits on Day 1.</t>
        </is>
      </c>
    </row>
    <row r="21" ht="15.75" customHeight="1" s="149">
      <c r="A21" s="201" t="inlineStr">
        <is>
          <t>Week 7</t>
        </is>
      </c>
      <c r="B21" s="201" t="inlineStr">
        <is>
          <t>Day 2</t>
        </is>
      </c>
      <c r="C21" s="202" t="inlineStr">
        <is>
          <t>Fall 2026</t>
        </is>
      </c>
      <c r="D21" s="202" t="inlineStr">
        <is>
          <t>Simmons</t>
        </is>
      </c>
      <c r="E21" s="208" t="n"/>
      <c r="F21" s="202" t="n"/>
      <c r="G21" s="202" t="n"/>
    </row>
    <row r="22" ht="15.75" customHeight="1" s="149">
      <c r="A22" s="198" t="inlineStr">
        <is>
          <t>Week 8</t>
        </is>
      </c>
      <c r="B22" s="198" t="inlineStr">
        <is>
          <t>Day 1</t>
        </is>
      </c>
      <c r="C22" s="199" t="inlineStr">
        <is>
          <t>Fall 2026</t>
        </is>
      </c>
      <c r="D22" s="199" t="inlineStr">
        <is>
          <t>Simmons</t>
        </is>
      </c>
      <c r="E22" s="207" t="n"/>
      <c r="F22" s="199" t="n"/>
      <c r="G22" s="199" t="n"/>
    </row>
    <row r="23" ht="15.75" customHeight="1" s="149">
      <c r="A23" s="201" t="inlineStr">
        <is>
          <t>Week 8</t>
        </is>
      </c>
      <c r="B23" s="201" t="inlineStr">
        <is>
          <t>Day 2</t>
        </is>
      </c>
      <c r="C23" s="202" t="inlineStr">
        <is>
          <t>Fall 2026</t>
        </is>
      </c>
      <c r="D23" s="202" t="inlineStr">
        <is>
          <t>Simmons</t>
        </is>
      </c>
      <c r="E23" s="208" t="n"/>
      <c r="F23" s="202" t="n"/>
      <c r="G23" s="202" t="n"/>
    </row>
    <row r="24" ht="15.75" customHeight="1" s="149">
      <c r="A24" s="198" t="inlineStr">
        <is>
          <t>Week 9</t>
        </is>
      </c>
      <c r="B24" s="198" t="inlineStr">
        <is>
          <t>Day 1</t>
        </is>
      </c>
      <c r="C24" s="199" t="inlineStr">
        <is>
          <t>Fall 2026</t>
        </is>
      </c>
      <c r="D24" s="199" t="inlineStr">
        <is>
          <t>Simmons</t>
        </is>
      </c>
      <c r="E24" s="207" t="n"/>
      <c r="F24" s="199" t="n"/>
      <c r="G24" s="199" t="n"/>
    </row>
    <row r="25" ht="15.75" customHeight="1" s="149">
      <c r="A25" s="201" t="inlineStr">
        <is>
          <t>Week 9</t>
        </is>
      </c>
      <c r="B25" s="201" t="inlineStr">
        <is>
          <t>Day 2</t>
        </is>
      </c>
      <c r="C25" s="202" t="inlineStr">
        <is>
          <t>Fall 2026</t>
        </is>
      </c>
      <c r="D25" s="202" t="inlineStr">
        <is>
          <t>Simmons</t>
        </is>
      </c>
      <c r="E25" s="208" t="n"/>
      <c r="F25" s="202" t="n"/>
      <c r="G25" s="202" t="n"/>
    </row>
    <row r="26" ht="15.75" customHeight="1" s="149">
      <c r="A26" s="198" t="inlineStr">
        <is>
          <t>Week 10</t>
        </is>
      </c>
      <c r="B26" s="198" t="inlineStr">
        <is>
          <t>Day 1</t>
        </is>
      </c>
      <c r="C26" s="199" t="inlineStr">
        <is>
          <t>Fall 2026</t>
        </is>
      </c>
      <c r="D26" s="199" t="inlineStr">
        <is>
          <t>Simmons</t>
        </is>
      </c>
      <c r="E26" s="207" t="n"/>
      <c r="F26" s="199" t="n"/>
      <c r="G26" s="199" t="n"/>
    </row>
    <row r="27" ht="15.75" customHeight="1" s="149">
      <c r="A27" s="201" t="inlineStr">
        <is>
          <t>Week 10</t>
        </is>
      </c>
      <c r="B27" s="201" t="inlineStr">
        <is>
          <t>Day 2</t>
        </is>
      </c>
      <c r="C27" s="202" t="inlineStr">
        <is>
          <t>Fall 2026</t>
        </is>
      </c>
      <c r="D27" s="202" t="inlineStr">
        <is>
          <t>Simmons</t>
        </is>
      </c>
      <c r="E27" s="208" t="n"/>
      <c r="F27" s="202" t="n"/>
      <c r="G27" s="202" t="n"/>
    </row>
    <row r="28" ht="15.75" customHeight="1" s="149">
      <c r="A28" s="198" t="inlineStr">
        <is>
          <t>Week 11</t>
        </is>
      </c>
      <c r="B28" s="198" t="inlineStr">
        <is>
          <t>Day 1</t>
        </is>
      </c>
      <c r="C28" s="199" t="inlineStr">
        <is>
          <t>Fall 2026</t>
        </is>
      </c>
      <c r="D28" s="199" t="inlineStr">
        <is>
          <t>Simmons</t>
        </is>
      </c>
      <c r="E28" s="207" t="n"/>
      <c r="F28" s="199" t="n"/>
      <c r="G28" s="199" t="n"/>
    </row>
    <row r="29" ht="15.75" customHeight="1" s="149">
      <c r="A29" s="201" t="inlineStr">
        <is>
          <t>Week 11</t>
        </is>
      </c>
      <c r="B29" s="201" t="inlineStr">
        <is>
          <t>Day 2</t>
        </is>
      </c>
      <c r="C29" s="202" t="inlineStr">
        <is>
          <t>Fall 2026</t>
        </is>
      </c>
      <c r="D29" s="202" t="inlineStr">
        <is>
          <t>Simmons</t>
        </is>
      </c>
      <c r="E29" s="208" t="n"/>
      <c r="F29" s="202" t="n"/>
      <c r="G29" s="202" t="n"/>
    </row>
    <row r="30" ht="15.75" customHeight="1" s="149">
      <c r="A30" s="198" t="inlineStr">
        <is>
          <t>Week 12</t>
        </is>
      </c>
      <c r="B30" s="198" t="inlineStr">
        <is>
          <t>Day 1</t>
        </is>
      </c>
      <c r="C30" s="199" t="inlineStr">
        <is>
          <t>Fall 2026</t>
        </is>
      </c>
      <c r="D30" s="199" t="inlineStr">
        <is>
          <t>Simmons</t>
        </is>
      </c>
      <c r="E30" s="207" t="n"/>
      <c r="F30" s="199" t="n"/>
      <c r="G30" s="199" t="n"/>
    </row>
    <row r="31" ht="15.75" customHeight="1" s="149">
      <c r="A31" s="201" t="inlineStr">
        <is>
          <t>Week 12</t>
        </is>
      </c>
      <c r="B31" s="201" t="inlineStr">
        <is>
          <t>Day 2</t>
        </is>
      </c>
      <c r="C31" s="202" t="inlineStr">
        <is>
          <t>Fall 2026</t>
        </is>
      </c>
      <c r="D31" s="202" t="inlineStr">
        <is>
          <t>Simmons</t>
        </is>
      </c>
      <c r="E31" s="208" t="n"/>
      <c r="F31" s="202" t="n"/>
      <c r="G31" s="202" t="n"/>
    </row>
    <row r="32" ht="15.75" customHeight="1" s="149">
      <c r="A32" s="198" t="inlineStr">
        <is>
          <t>Week 13</t>
        </is>
      </c>
      <c r="B32" s="198" t="inlineStr">
        <is>
          <t>Day 1</t>
        </is>
      </c>
      <c r="C32" s="199" t="inlineStr">
        <is>
          <t>Fall 2026</t>
        </is>
      </c>
      <c r="D32" s="199" t="inlineStr">
        <is>
          <t>Simmons</t>
        </is>
      </c>
      <c r="E32" s="207" t="n"/>
      <c r="F32" s="199" t="n"/>
      <c r="G32" s="199" t="n"/>
    </row>
    <row r="33" ht="15.75" customHeight="1" s="149">
      <c r="A33" s="201" t="inlineStr">
        <is>
          <t>Week 13</t>
        </is>
      </c>
      <c r="B33" s="201" t="inlineStr">
        <is>
          <t>Day 2</t>
        </is>
      </c>
      <c r="C33" s="202" t="inlineStr">
        <is>
          <t>Fall 2026</t>
        </is>
      </c>
      <c r="D33" s="202" t="inlineStr">
        <is>
          <t>Simmons</t>
        </is>
      </c>
      <c r="E33" s="208" t="n"/>
      <c r="F33" s="202" t="n"/>
      <c r="G33" s="202" t="n"/>
    </row>
    <row r="34" ht="15.75" customHeight="1" s="149">
      <c r="A34" s="198" t="inlineStr">
        <is>
          <t>Week 14</t>
        </is>
      </c>
      <c r="B34" s="198" t="inlineStr">
        <is>
          <t>Day 1</t>
        </is>
      </c>
      <c r="C34" s="199" t="inlineStr">
        <is>
          <t>Fall 2026</t>
        </is>
      </c>
      <c r="D34" s="199" t="inlineStr">
        <is>
          <t>Simmons</t>
        </is>
      </c>
      <c r="E34" s="207" t="n"/>
      <c r="F34" s="199" t="n"/>
      <c r="G34" s="199" t="n"/>
    </row>
    <row r="35" ht="15.75" customHeight="1" s="149">
      <c r="A35" s="201" t="inlineStr">
        <is>
          <t>Week 14</t>
        </is>
      </c>
      <c r="B35" s="201" t="inlineStr">
        <is>
          <t>Day 2</t>
        </is>
      </c>
      <c r="C35" s="202" t="inlineStr">
        <is>
          <t>Fall 2026</t>
        </is>
      </c>
      <c r="D35" s="202" t="inlineStr">
        <is>
          <t>Simmons</t>
        </is>
      </c>
      <c r="E35" s="208"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99" t="n"/>
      <c r="B38" s="199" t="n"/>
      <c r="C38" s="199" t="n"/>
      <c r="D38" s="199" t="n"/>
      <c r="E38" s="199" t="n"/>
      <c r="F38" s="199" t="n"/>
      <c r="G38" s="199" t="n"/>
    </row>
    <row r="39" ht="15.75" customHeight="1" s="149">
      <c r="A39" s="202" t="n"/>
      <c r="B39" s="202" t="n"/>
      <c r="C39" s="202" t="n"/>
      <c r="D39" s="202" t="n"/>
      <c r="E39" s="202" t="n"/>
      <c r="F39" s="202" t="n"/>
      <c r="G39" s="202" t="n"/>
    </row>
    <row r="40" ht="15.75" customHeight="1" s="149">
      <c r="A40" s="199" t="n"/>
      <c r="B40" s="199" t="n"/>
      <c r="C40" s="199" t="n"/>
      <c r="D40" s="199" t="n"/>
      <c r="E40" s="199" t="n"/>
      <c r="F40" s="199" t="n"/>
      <c r="G40" s="199" t="n"/>
    </row>
    <row r="41" ht="15.75" customHeight="1" s="149">
      <c r="A41" s="205" t="n"/>
      <c r="B41" s="205" t="n"/>
      <c r="C41" s="205" t="n"/>
      <c r="D41" s="205" t="n"/>
      <c r="E41" s="205" t="n"/>
      <c r="F41" s="205" t="n"/>
      <c r="G41" s="205" t="n"/>
    </row>
    <row r="42" ht="15.75" customHeight="1" s="149">
      <c r="A42" s="204" t="n"/>
      <c r="B42" s="204" t="n"/>
      <c r="C42" s="204" t="n"/>
      <c r="D42" s="204" t="n"/>
      <c r="E42" s="204" t="n"/>
      <c r="F42" s="204" t="n"/>
      <c r="G42" s="204" t="n"/>
    </row>
    <row r="43" ht="15.75" customHeight="1" s="149">
      <c r="A43" s="205" t="n"/>
      <c r="B43" s="205" t="n"/>
      <c r="C43" s="205" t="n"/>
      <c r="D43" s="205" t="n"/>
      <c r="E43" s="205" t="n"/>
      <c r="F43" s="205" t="n"/>
      <c r="G43" s="205" t="n"/>
    </row>
    <row r="44" ht="15.75" customHeight="1" s="149">
      <c r="A44" s="204" t="n"/>
      <c r="B44" s="204" t="n"/>
      <c r="C44" s="204" t="n"/>
      <c r="D44" s="204" t="n"/>
      <c r="E44" s="204" t="n"/>
      <c r="F44" s="204" t="n"/>
      <c r="G44" s="204" t="n"/>
    </row>
    <row r="45" ht="15.75" customHeight="1" s="149">
      <c r="A45" s="205" t="n"/>
      <c r="B45" s="205" t="n"/>
      <c r="C45" s="205" t="n"/>
      <c r="D45" s="205" t="n"/>
      <c r="E45" s="205" t="n"/>
      <c r="F45" s="205" t="n"/>
      <c r="G45" s="205" t="n"/>
    </row>
    <row r="46" ht="15.75" customHeight="1" s="149">
      <c r="A46" s="204" t="n"/>
      <c r="B46" s="204" t="n"/>
      <c r="C46" s="204" t="n"/>
      <c r="D46" s="204" t="n"/>
      <c r="E46" s="204" t="n"/>
      <c r="F46" s="204" t="n"/>
      <c r="G46" s="204" t="n"/>
    </row>
    <row r="47" ht="15.75" customHeight="1" s="149">
      <c r="A47" s="205" t="n"/>
      <c r="B47" s="205" t="n"/>
      <c r="C47" s="205" t="n"/>
      <c r="D47" s="205" t="n"/>
      <c r="E47" s="205" t="n"/>
      <c r="F47" s="205" t="n"/>
      <c r="G47" s="205" t="n"/>
    </row>
    <row r="48" ht="15.75" customHeight="1" s="149">
      <c r="A48" s="204" t="n"/>
      <c r="B48" s="204" t="n"/>
      <c r="C48" s="204" t="n"/>
      <c r="D48" s="204" t="n"/>
      <c r="E48" s="204" t="n"/>
      <c r="F48" s="204" t="n"/>
      <c r="G48" s="204" t="n"/>
    </row>
    <row r="49" ht="15.75" customHeight="1" s="149">
      <c r="A49" s="205" t="n"/>
      <c r="B49" s="205" t="n"/>
      <c r="C49" s="205" t="n"/>
      <c r="D49" s="205" t="n"/>
      <c r="E49" s="205" t="n"/>
      <c r="F49" s="205" t="n"/>
      <c r="G49" s="205" t="n"/>
    </row>
    <row r="50" ht="15.75" customHeight="1" s="149">
      <c r="A50" s="204" t="n"/>
      <c r="B50" s="204" t="n"/>
      <c r="C50" s="204" t="n"/>
      <c r="D50" s="204" t="n"/>
      <c r="E50" s="204" t="n"/>
      <c r="F50" s="204" t="n"/>
      <c r="G50" s="204"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c r="A235" s="5" t="n"/>
      <c r="B235" s="5" t="n"/>
      <c r="C235" s="5" t="n"/>
      <c r="D235" s="5" t="n"/>
      <c r="E235" s="5" t="n"/>
      <c r="F235" s="5" t="n"/>
      <c r="G235" s="5" t="n"/>
    </row>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22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55.43" customWidth="1" style="149" min="3" max="3"/>
    <col width="16" customWidth="1" style="149" min="4" max="4"/>
    <col width="18" customWidth="1" style="149" min="5" max="5"/>
    <col width="59.29" customWidth="1" style="149" min="6" max="6"/>
    <col width="44" customWidth="1" style="149" min="7" max="7"/>
  </cols>
  <sheetData>
    <row r="1">
      <c r="A1" s="169" t="inlineStr">
        <is>
          <t>NUR258  ·  LSC Exam Reviews</t>
        </is>
      </c>
    </row>
    <row r="2">
      <c r="A2" s="9" t="inlineStr">
        <is>
          <t>NUR234</t>
        </is>
      </c>
      <c r="B2" s="9" t="inlineStr">
        <is>
          <t>NUR235</t>
        </is>
      </c>
      <c r="C2" s="14" t="inlineStr">
        <is>
          <t>NUR258</t>
        </is>
      </c>
      <c r="D2" s="17" t="inlineStr">
        <is>
          <t>🏠 START HERE</t>
        </is>
      </c>
      <c r="E2" s="15" t="inlineStr">
        <is>
          <t>📥 Sort me</t>
        </is>
      </c>
      <c r="F2" s="16" t="n"/>
      <c r="G2" s="16" t="n"/>
    </row>
    <row r="3">
      <c r="A3" s="19" t="inlineStr">
        <is>
          <t>Halecka</t>
        </is>
      </c>
      <c r="B3" s="19" t="inlineStr">
        <is>
          <t>Wagner</t>
        </is>
      </c>
      <c r="C3" s="19" t="inlineStr">
        <is>
          <t>Simmons</t>
        </is>
      </c>
      <c r="D3" s="108" t="inlineStr">
        <is>
          <t>Exams</t>
        </is>
      </c>
      <c r="E3" s="27">
        <f>HYPERLINK('START HERE'!$B$36,"Zoom")</f>
        <v/>
      </c>
      <c r="F3" s="19" t="inlineStr">
        <is>
          <t>Review videos</t>
        </is>
      </c>
      <c r="G3" s="16" t="n"/>
    </row>
    <row r="4">
      <c r="A4" s="16" t="n"/>
      <c r="B4" s="16" t="n"/>
      <c r="C4" s="16" t="n"/>
      <c r="D4" s="16" t="n"/>
      <c r="E4" s="16" t="n"/>
      <c r="F4" s="16" t="n"/>
      <c r="G4" s="16" t="n"/>
    </row>
    <row r="5">
      <c r="A5" s="197" t="inlineStr">
        <is>
          <t>Exam</t>
        </is>
      </c>
      <c r="B5" s="197" t="inlineStr">
        <is>
          <t>Date</t>
        </is>
      </c>
      <c r="C5" s="197" t="inlineStr">
        <is>
          <t>Item</t>
        </is>
      </c>
      <c r="D5" s="197" t="inlineStr">
        <is>
          <t>Lecturer</t>
        </is>
      </c>
      <c r="E5" s="197" t="inlineStr">
        <is>
          <t>Type</t>
        </is>
      </c>
      <c r="F5" s="197" t="inlineStr">
        <is>
          <t>Link</t>
        </is>
      </c>
      <c r="G5" s="197" t="inlineStr">
        <is>
          <t>Notes</t>
        </is>
      </c>
    </row>
    <row r="6">
      <c r="A6" s="198" t="inlineStr">
        <is>
          <t>Exam 1</t>
        </is>
      </c>
      <c r="B6" s="199" t="inlineStr">
        <is>
          <t>Fall 2026</t>
        </is>
      </c>
      <c r="C6" s="199" t="inlineStr">
        <is>
          <t>Exam Review Session Module 1 - Sensory Perception</t>
        </is>
      </c>
      <c r="D6" s="199" t="n"/>
      <c r="E6" s="199" t="inlineStr">
        <is>
          <t>Video</t>
        </is>
      </c>
      <c r="F6" s="200">
        <f>HYPERLINK("https://drive.google.com/file/d/1n_MoNcyp3z65eFCtCR4f7dp8nTgy7sBS/view","▶  Watch")</f>
        <v/>
      </c>
      <c r="G6" s="199" t="inlineStr">
        <is>
          <t>Exam prep session recording</t>
        </is>
      </c>
    </row>
    <row r="7">
      <c r="A7" s="201" t="inlineStr">
        <is>
          <t>Exam 1</t>
        </is>
      </c>
      <c r="B7" s="202" t="inlineStr">
        <is>
          <t>Fall 2026</t>
        </is>
      </c>
      <c r="C7" s="202" t="inlineStr">
        <is>
          <t>Exam 1 Lecture - Chronic Illness and Disability</t>
        </is>
      </c>
      <c r="D7" s="202" t="n"/>
      <c r="E7" s="202" t="inlineStr">
        <is>
          <t>Video</t>
        </is>
      </c>
      <c r="F7" s="203">
        <f>HYPERLINK("https://drive.google.com/file/d/1ZrWFZmG2OfhegGjI35YY85MHppUuee6l/view","▶  Watch")</f>
        <v/>
      </c>
      <c r="G7" s="202" t="inlineStr">
        <is>
          <t>From the Exam Prep &gt; FINAL Exam &gt; Lecture Review Videos folder</t>
        </is>
      </c>
    </row>
    <row r="8">
      <c r="A8" s="198" t="inlineStr">
        <is>
          <t>Exam 1</t>
        </is>
      </c>
      <c r="B8" s="199" t="inlineStr">
        <is>
          <t>Fall 2026</t>
        </is>
      </c>
      <c r="C8" s="199" t="inlineStr">
        <is>
          <t>Module 1 - Exam Review Session, Sensory Issues</t>
        </is>
      </c>
      <c r="D8" s="199" t="n"/>
      <c r="E8" s="199" t="inlineStr">
        <is>
          <t>Exam prep (LSC)</t>
        </is>
      </c>
      <c r="F8" s="200">
        <f>HYPERLINK("https://drive.google.com/file/d/1NIAwYKi0eS0TO-BnVf74OLGxlZGUNfQ1/view","▶  Watch")</f>
        <v/>
      </c>
      <c r="G8" s="199" t="inlineStr">
        <is>
          <t>Topic: Module 1 - Exam Review Session, Sensory Issues</t>
        </is>
      </c>
      <c r="H8" s="5" t="inlineStr">
        <is>
          <t>Exam prep (LSC)</t>
        </is>
      </c>
    </row>
    <row r="9">
      <c r="A9" s="201" t="inlineStr">
        <is>
          <t>Exam 1</t>
        </is>
      </c>
      <c r="B9" s="202" t="inlineStr">
        <is>
          <t>Fall 2026</t>
        </is>
      </c>
      <c r="C9" s="202" t="inlineStr">
        <is>
          <t>Module 2 - Infectious Diseases</t>
        </is>
      </c>
      <c r="D9" s="202" t="n"/>
      <c r="E9" s="202" t="inlineStr">
        <is>
          <t>Exam prep (LSC)</t>
        </is>
      </c>
      <c r="F9" s="203">
        <f>HYPERLINK("https://drive.google.com/file/d/1n2XHRXYmR6U1Zw6QPjJDQ65461PQc1Yf/view","▶  Watch")</f>
        <v/>
      </c>
      <c r="G9" s="202" t="inlineStr">
        <is>
          <t>Topic: Module 2 - Infectious Diseases</t>
        </is>
      </c>
      <c r="H9" s="5" t="inlineStr">
        <is>
          <t>LSC exam prep, 59:14</t>
        </is>
      </c>
    </row>
    <row r="10">
      <c r="A10" s="198" t="inlineStr">
        <is>
          <t>Exam 1</t>
        </is>
      </c>
      <c r="B10" s="199" t="inlineStr">
        <is>
          <t>Fall 2026</t>
        </is>
      </c>
      <c r="C10" s="199" t="inlineStr">
        <is>
          <t>Module 3 - Inflammatory Disorders</t>
        </is>
      </c>
      <c r="D10" s="199" t="n"/>
      <c r="E10" s="199" t="inlineStr">
        <is>
          <t>Exam prep (LSC)</t>
        </is>
      </c>
      <c r="F10" s="200">
        <f>HYPERLINK("https://drive.google.com/file/d/18QxQvERtngH_lYv0-BF6NDMYxDj3G_wq/view","▶  Watch")</f>
        <v/>
      </c>
      <c r="G10" s="199" t="inlineStr">
        <is>
          <t>Topic: Module 3 - Inflammatory Disorders</t>
        </is>
      </c>
      <c r="H10" s="5" t="inlineStr">
        <is>
          <t>LSC exam prep, 34:49</t>
        </is>
      </c>
    </row>
    <row r="11">
      <c r="A11" s="201" t="inlineStr">
        <is>
          <t>Exam 1</t>
        </is>
      </c>
      <c r="B11" s="202" t="inlineStr">
        <is>
          <t>Fall 2026</t>
        </is>
      </c>
      <c r="C11" s="202" t="inlineStr">
        <is>
          <t>Module 3 - Immunologic Disorders (RA, SLE, fibromyalgia)</t>
        </is>
      </c>
      <c r="D11" s="202" t="n"/>
      <c r="E11" s="202" t="inlineStr">
        <is>
          <t>Exam prep (LSC)</t>
        </is>
      </c>
      <c r="F11" s="203">
        <f>HYPERLINK("https://drive.google.com/file/d/18EXHL_6NcAl0aqRLyU26K_urJSLIeQE9/view","▶  Watch")</f>
        <v/>
      </c>
      <c r="G11" s="202" t="inlineStr">
        <is>
          <t>Topic: Module 3 - Immunologic Disorders (RA, SLE, fibromyalgia)</t>
        </is>
      </c>
      <c r="H11" s="5" t="inlineStr">
        <is>
          <t>LSC exam prep, 12:25. This is the one whose upload failed first time</t>
        </is>
      </c>
    </row>
    <row r="12">
      <c r="A12" s="198" t="inlineStr">
        <is>
          <t>Exam 2</t>
        </is>
      </c>
      <c r="B12" s="199" t="inlineStr">
        <is>
          <t>Fall 2026</t>
        </is>
      </c>
      <c r="C12" s="199" t="inlineStr">
        <is>
          <t>Module 4 - Burns</t>
        </is>
      </c>
      <c r="D12" s="199" t="n"/>
      <c r="E12" s="199" t="inlineStr">
        <is>
          <t>Exam prep (LSC)</t>
        </is>
      </c>
      <c r="F12" s="209">
        <f>HYPERLINK("https://drive.google.com/file/d/1WZx7Rxzq6B3C-ZWqFQrx5YWyim_R72Qg/view","▶  Watch")</f>
        <v/>
      </c>
      <c r="G12" s="199" t="inlineStr">
        <is>
          <t>Topic: Module 4 - Burns</t>
        </is>
      </c>
      <c r="H12" s="5" t="inlineStr">
        <is>
          <t>Exam prep (LSC)</t>
        </is>
      </c>
    </row>
    <row r="13">
      <c r="A13" s="201" t="inlineStr">
        <is>
          <t>Exam 2</t>
        </is>
      </c>
      <c r="B13" s="202" t="inlineStr">
        <is>
          <t>Fall 2026</t>
        </is>
      </c>
      <c r="C13" s="202" t="inlineStr">
        <is>
          <t>Module 5 - Endocrine I</t>
        </is>
      </c>
      <c r="D13" s="202" t="n"/>
      <c r="E13" s="202" t="inlineStr">
        <is>
          <t>Exam prep (LSC)</t>
        </is>
      </c>
      <c r="F13" s="210">
        <f>HYPERLINK("https://drive.google.com/file/d/1mjfspWMOiZAzGk5-bumBiaGCLj95N87j/view","▶  Watch")</f>
        <v/>
      </c>
      <c r="G13" s="202" t="inlineStr">
        <is>
          <t>Topic: Module 5 - Endocrine I</t>
        </is>
      </c>
      <c r="H13" s="5" t="inlineStr">
        <is>
          <t>Exam prep (LSC)</t>
        </is>
      </c>
    </row>
    <row r="14">
      <c r="A14" s="198" t="inlineStr">
        <is>
          <t>Exam 2</t>
        </is>
      </c>
      <c r="B14" s="199" t="inlineStr">
        <is>
          <t>Fall 2026</t>
        </is>
      </c>
      <c r="C14" s="199" t="inlineStr">
        <is>
          <t>Module 6 - Endocrine II</t>
        </is>
      </c>
      <c r="D14" s="199" t="n"/>
      <c r="E14" s="199" t="inlineStr">
        <is>
          <t>Exam prep (LSC)</t>
        </is>
      </c>
      <c r="F14" s="209">
        <f>HYPERLINK("https://drive.google.com/file/d/10hWqRgn1ai3FbbYdCkSnrix99pd6LGxY/view","▶  Watch")</f>
        <v/>
      </c>
      <c r="G14" s="199" t="inlineStr">
        <is>
          <t>LSC exam prep, 65:02 (the course lists it under Module 6). Uploaded 6 Oct as "lsc unknown" (660 MB). Presenter: Dr Clancey Sollis (LSC) - your screenshot of the Zoom player shows "NUR258 Endocrine II (DM)", Dr. Clancey Sollis, recorded 18 May 2026.</t>
        </is>
      </c>
      <c r="H14" s="5" t="n"/>
    </row>
    <row r="15">
      <c r="A15" s="201" t="inlineStr">
        <is>
          <t>Exam 2</t>
        </is>
      </c>
      <c r="B15" s="202" t="inlineStr">
        <is>
          <t>Fall 2026</t>
        </is>
      </c>
      <c r="C15" s="202" t="inlineStr">
        <is>
          <t>Module 6 - Endocrine II (earlier capture, 28 Sep)</t>
        </is>
      </c>
      <c r="D15" s="202" t="n"/>
      <c r="E15" s="202" t="inlineStr">
        <is>
          <t>Exam prep (LSC)</t>
        </is>
      </c>
      <c r="F15" s="210">
        <f>HYPERLINK("https://drive.google.com/file/d/1MZ29HI1AnTkPslMyyyfGRPDlzlHHmXZI/view","▶  Watch")</f>
        <v/>
      </c>
      <c r="G15" s="202" t="inlineStr">
        <is>
          <t>Same session, the recovered 28 Sep screen recording (188 MB). Was filed under Module 5 before 6 Oct.</t>
        </is>
      </c>
      <c r="H15" s="5" t="n"/>
    </row>
    <row r="16">
      <c r="A16" s="198" t="n"/>
      <c r="B16" s="199" t="n"/>
      <c r="C16" s="199" t="n"/>
      <c r="D16" s="199" t="n"/>
      <c r="E16" s="199" t="n"/>
      <c r="F16" s="209" t="n"/>
      <c r="G16" s="199" t="n"/>
      <c r="H16" s="5" t="n"/>
    </row>
    <row r="17">
      <c r="A17" s="201" t="n"/>
      <c r="B17" s="202" t="n"/>
      <c r="C17" s="202" t="n"/>
      <c r="D17" s="202" t="n"/>
      <c r="E17" s="202" t="n"/>
      <c r="F17" s="202" t="n"/>
      <c r="G17" s="202" t="n"/>
    </row>
    <row r="18">
      <c r="A18" s="198" t="n"/>
      <c r="B18" s="199" t="n"/>
      <c r="C18" s="199" t="n"/>
      <c r="D18" s="199" t="n"/>
      <c r="E18" s="199" t="n"/>
      <c r="F18" s="199" t="n"/>
      <c r="G18" s="199" t="n"/>
    </row>
    <row r="19" ht="15.75" customHeight="1" s="149">
      <c r="A19" s="201" t="inlineStr">
        <is>
          <t>FINAL</t>
        </is>
      </c>
      <c r="B19" s="202" t="n"/>
      <c r="C19" s="202" t="inlineStr">
        <is>
          <t>Other / my materials</t>
        </is>
      </c>
      <c r="D19" s="202" t="n"/>
      <c r="E19" s="202" t="n"/>
      <c r="F19" s="202" t="n"/>
      <c r="G19" s="202" t="n"/>
    </row>
    <row r="20" ht="15.75" customHeight="1" s="149">
      <c r="A20" s="198" t="inlineStr">
        <is>
          <t>FINAL</t>
        </is>
      </c>
      <c r="B20" s="199" t="inlineStr">
        <is>
          <t>Prior term</t>
        </is>
      </c>
      <c r="C20" s="199" t="inlineStr">
        <is>
          <t>Halecka Final Exam Review, Day 1 (Week 14)</t>
        </is>
      </c>
      <c r="D20" s="199" t="inlineStr">
        <is>
          <t>Halecka</t>
        </is>
      </c>
      <c r="E20" s="199" t="inlineStr">
        <is>
          <t>Video</t>
        </is>
      </c>
      <c r="F20" s="200">
        <f>HYPERLINK("https://drive.google.com/file/d/1zheVM3ofPwCJemSeusWnGIrJT3d4bRfa/view","▶  Watch")</f>
        <v/>
      </c>
      <c r="G20" s="199" t="inlineStr">
        <is>
          <t>Last cohort. Also on the Halecka tab as Week 14</t>
        </is>
      </c>
    </row>
    <row r="21" ht="15.75" customHeight="1" s="149">
      <c r="A21" s="201" t="inlineStr">
        <is>
          <t>FINAL</t>
        </is>
      </c>
      <c r="B21" s="202" t="inlineStr">
        <is>
          <t>Prior term</t>
        </is>
      </c>
      <c r="C21" s="202" t="inlineStr">
        <is>
          <t>Halecka Final Exam Review, Day 2 (Week 14)</t>
        </is>
      </c>
      <c r="D21" s="202" t="inlineStr">
        <is>
          <t>Halecka</t>
        </is>
      </c>
      <c r="E21" s="202" t="inlineStr">
        <is>
          <t>Video</t>
        </is>
      </c>
      <c r="F21" s="203">
        <f>HYPERLINK("https://drive.google.com/file/d/1pPJCq61IKj7wPRGdzD-VevKB7HEEsk6l/view","▶  Watch")</f>
        <v/>
      </c>
      <c r="G21" s="202" t="inlineStr">
        <is>
          <t>Last cohort</t>
        </is>
      </c>
    </row>
    <row r="22" ht="15.75" customHeight="1" s="149">
      <c r="A22" s="198" t="inlineStr">
        <is>
          <t>FINAL</t>
        </is>
      </c>
      <c r="B22" s="199" t="inlineStr">
        <is>
          <t>Prior term</t>
        </is>
      </c>
      <c r="C22" s="199" t="inlineStr">
        <is>
          <t>Wagner Final Exam Review, Day 1 (Week 14)</t>
        </is>
      </c>
      <c r="D22" s="199" t="inlineStr">
        <is>
          <t>Wagner</t>
        </is>
      </c>
      <c r="E22" s="199" t="inlineStr">
        <is>
          <t>Video</t>
        </is>
      </c>
      <c r="F22" s="200">
        <f>HYPERLINK("https://drive.google.com/file/d/1pLrCvbUjn93RV7Q_nSdHShteocDWpKLS/view","▶  Watch")</f>
        <v/>
      </c>
      <c r="G22" s="199" t="inlineStr">
        <is>
          <t>Last cohort. Also on the Wagner tab as Week 14</t>
        </is>
      </c>
    </row>
    <row r="23" ht="15.75" customHeight="1" s="149">
      <c r="A23" s="201" t="inlineStr">
        <is>
          <t>FINAL</t>
        </is>
      </c>
      <c r="B23" s="202" t="inlineStr">
        <is>
          <t>Prior term</t>
        </is>
      </c>
      <c r="C23" s="202" t="inlineStr">
        <is>
          <t>Wagner Final Exam Review, Day 2 (Week 14)</t>
        </is>
      </c>
      <c r="D23" s="202" t="inlineStr">
        <is>
          <t>Wagner</t>
        </is>
      </c>
      <c r="E23" s="202" t="inlineStr">
        <is>
          <t>Video</t>
        </is>
      </c>
      <c r="F23" s="203">
        <f>HYPERLINK("https://drive.google.com/file/d/1N4ceV8bSPIpHtOz6PVL2OHOBfPwGVdLn/view","▶  Watch")</f>
        <v/>
      </c>
      <c r="G23" s="202" t="inlineStr">
        <is>
          <t>Last cohort</t>
        </is>
      </c>
    </row>
    <row r="24" ht="15.75" customHeight="1" s="149">
      <c r="A24" s="198" t="inlineStr">
        <is>
          <t>Exam 3</t>
        </is>
      </c>
      <c r="B24" s="199" t="inlineStr">
        <is>
          <t>Fall 2026</t>
        </is>
      </c>
      <c r="C24" s="199" t="inlineStr">
        <is>
          <t>Module 7 - Neurological I</t>
        </is>
      </c>
      <c r="D24" s="199" t="n"/>
      <c r="E24" s="199" t="inlineStr">
        <is>
          <t>Exam prep (LSC)</t>
        </is>
      </c>
      <c r="F24" s="200">
        <f>HYPERLINK("https://drive.google.com/file/d/1rBKwz9noSUpKaUuOJgkM47-D7FYQzOoK/view","▶  Watch")</f>
        <v/>
      </c>
      <c r="G24" s="199" t="inlineStr">
        <is>
          <t>LSC exam prep. Screen recording uploaded 12 Oct.</t>
        </is>
      </c>
    </row>
    <row r="25" ht="15.75" customHeight="1" s="149">
      <c r="A25" s="202" t="n"/>
      <c r="B25" s="202" t="n"/>
      <c r="C25" s="202" t="n"/>
      <c r="D25" s="202" t="n"/>
      <c r="E25" s="202" t="n"/>
      <c r="F25" s="202" t="n"/>
      <c r="G25" s="202" t="n"/>
    </row>
    <row r="26" ht="15.75" customHeight="1" s="149">
      <c r="A26" s="199" t="n"/>
      <c r="B26" s="199" t="n"/>
      <c r="C26" s="199" t="n"/>
      <c r="D26" s="199" t="n"/>
      <c r="E26" s="199" t="n"/>
      <c r="F26" s="199" t="n"/>
      <c r="G26" s="199" t="n"/>
    </row>
    <row r="27" ht="15.75" customHeight="1" s="149">
      <c r="A27" s="202" t="n"/>
      <c r="B27" s="202" t="n"/>
      <c r="C27" s="202" t="n"/>
      <c r="D27" s="202" t="n"/>
      <c r="E27" s="202" t="n"/>
      <c r="F27" s="202" t="n"/>
      <c r="G27" s="202" t="n"/>
    </row>
    <row r="28" ht="15.75" customHeight="1" s="149">
      <c r="A28" s="211" t="n"/>
      <c r="B28" s="211" t="n"/>
      <c r="C28" s="211" t="n"/>
      <c r="D28" s="211" t="n"/>
      <c r="E28" s="211" t="n"/>
      <c r="F28" s="211" t="n"/>
      <c r="G28" s="211" t="n"/>
    </row>
    <row r="29" ht="15.75" customHeight="1" s="149">
      <c r="A29" s="212" t="n"/>
      <c r="B29" s="212" t="n"/>
      <c r="C29" s="212" t="n"/>
      <c r="D29" s="212" t="n"/>
      <c r="E29" s="212" t="n"/>
      <c r="F29" s="212" t="n"/>
      <c r="G29" s="212" t="n"/>
    </row>
    <row r="30" ht="15.75" customHeight="1" s="149">
      <c r="A30" s="211" t="n"/>
      <c r="B30" s="211" t="n"/>
      <c r="C30" s="211" t="n"/>
      <c r="D30" s="211" t="n"/>
      <c r="E30" s="211" t="n"/>
      <c r="F30" s="211" t="n"/>
      <c r="G30" s="211" t="n"/>
    </row>
    <row r="31" ht="15.75" customHeight="1" s="149">
      <c r="A31" s="212" t="n"/>
      <c r="B31" s="212" t="n"/>
      <c r="C31" s="212" t="n"/>
      <c r="D31" s="212" t="n"/>
      <c r="E31" s="212" t="n"/>
      <c r="F31" s="212" t="n"/>
      <c r="G31" s="212" t="n"/>
    </row>
    <row r="32" ht="15.75" customHeight="1" s="149">
      <c r="A32" s="211" t="n"/>
      <c r="B32" s="211" t="n"/>
      <c r="C32" s="211" t="n"/>
      <c r="D32" s="211" t="n"/>
      <c r="E32" s="211" t="n"/>
      <c r="F32" s="211" t="n"/>
      <c r="G32" s="211" t="n"/>
    </row>
    <row r="33" ht="15.75" customHeight="1" s="149">
      <c r="A33" s="205" t="n"/>
      <c r="B33" s="205" t="n"/>
      <c r="C33" s="205" t="n"/>
      <c r="D33" s="205" t="n"/>
      <c r="E33" s="205" t="n"/>
      <c r="F33" s="205" t="n"/>
      <c r="G33" s="205" t="n"/>
    </row>
    <row r="34" ht="15.75" customHeight="1" s="149">
      <c r="A34" s="204" t="n"/>
      <c r="B34" s="204" t="n"/>
      <c r="C34" s="204" t="n"/>
      <c r="D34" s="204" t="n"/>
      <c r="E34" s="204" t="n"/>
      <c r="F34" s="204" t="n"/>
      <c r="G34" s="204" t="n"/>
    </row>
    <row r="35" ht="15.75" customHeight="1" s="149">
      <c r="A35" s="205" t="n"/>
      <c r="B35" s="205" t="n"/>
      <c r="C35" s="205" t="n"/>
      <c r="D35" s="205" t="n"/>
      <c r="E35" s="205" t="n"/>
      <c r="F35" s="205" t="n"/>
      <c r="G35" s="205" t="n"/>
    </row>
    <row r="36" ht="15.75" customHeight="1" s="149">
      <c r="A36" s="211" t="n"/>
      <c r="B36" s="211" t="n"/>
      <c r="C36" s="211" t="n"/>
      <c r="D36" s="211" t="n"/>
      <c r="E36" s="211" t="n"/>
      <c r="F36" s="211" t="n"/>
      <c r="G36" s="211" t="n"/>
    </row>
    <row r="37" ht="15.75" customHeight="1" s="149">
      <c r="A37" s="212" t="n"/>
      <c r="B37" s="212" t="n"/>
      <c r="C37" s="212" t="n"/>
      <c r="D37" s="212" t="n"/>
      <c r="E37" s="212" t="n"/>
      <c r="F37" s="212" t="n"/>
      <c r="G37" s="212" t="n"/>
    </row>
    <row r="38" ht="15.75" customHeight="1" s="149">
      <c r="A38" s="211" t="n"/>
      <c r="B38" s="211" t="n"/>
      <c r="C38" s="211" t="n"/>
      <c r="D38" s="211" t="n"/>
      <c r="E38" s="211" t="n"/>
      <c r="F38" s="211" t="n"/>
      <c r="G38" s="211" t="n"/>
    </row>
    <row r="39" ht="15.75" customHeight="1" s="149">
      <c r="A39" s="212" t="n"/>
      <c r="B39" s="212" t="n"/>
      <c r="C39" s="212" t="n"/>
      <c r="D39" s="212" t="n"/>
      <c r="E39" s="212" t="n"/>
      <c r="F39" s="212" t="n"/>
      <c r="G39" s="212" t="n"/>
    </row>
    <row r="40" ht="15.75" customHeight="1" s="149">
      <c r="A40" s="5" t="n"/>
      <c r="B40" s="5" t="n"/>
      <c r="C40" s="5" t="n"/>
      <c r="D40" s="5" t="n"/>
      <c r="E40" s="5" t="n"/>
      <c r="F40" s="5" t="n"/>
      <c r="G40" s="5" t="n"/>
    </row>
    <row r="41" ht="15.75" customHeight="1" s="149">
      <c r="A41" s="5" t="n"/>
      <c r="B41" s="5" t="n"/>
      <c r="C41" s="5" t="n"/>
      <c r="D41" s="5" t="n"/>
      <c r="E41" s="5" t="n"/>
      <c r="F41" s="5" t="n"/>
      <c r="G41" s="5" t="n"/>
    </row>
    <row r="42" ht="15.75" customHeight="1" s="149">
      <c r="A42" s="5" t="n"/>
      <c r="B42" s="5" t="n"/>
      <c r="C42" s="5" t="n"/>
      <c r="D42" s="5" t="n"/>
      <c r="E42" s="5" t="n"/>
      <c r="F42" s="5" t="n"/>
      <c r="G42" s="5" t="n"/>
    </row>
    <row r="43" ht="15.75" customHeight="1" s="149">
      <c r="A43" s="5" t="n"/>
      <c r="B43" s="5" t="n"/>
      <c r="C43" s="5" t="n"/>
      <c r="D43" s="5" t="n"/>
      <c r="E43" s="5" t="n"/>
      <c r="F43" s="5" t="n"/>
      <c r="G43" s="5" t="n"/>
    </row>
    <row r="44" ht="15.75" customHeight="1" s="149">
      <c r="A44" s="5" t="n"/>
      <c r="B44" s="5" t="n"/>
      <c r="C44" s="5" t="n"/>
      <c r="D44" s="5" t="n"/>
      <c r="E44" s="5" t="n"/>
      <c r="F44" s="5" t="n"/>
      <c r="G44" s="5" t="n"/>
    </row>
    <row r="45" ht="15.75" customHeight="1" s="149">
      <c r="A45" s="5" t="n"/>
      <c r="B45" s="5" t="n"/>
      <c r="C45" s="5" t="n"/>
      <c r="D45" s="5" t="n"/>
      <c r="E45" s="5" t="n"/>
      <c r="F45" s="5" t="n"/>
      <c r="G45" s="5" t="n"/>
    </row>
    <row r="46" ht="15.75" customHeight="1" s="149">
      <c r="A46" s="5" t="n"/>
      <c r="B46" s="5" t="n"/>
      <c r="C46" s="5" t="n"/>
      <c r="D46" s="5" t="n"/>
      <c r="E46" s="5" t="n"/>
      <c r="F46" s="5" t="n"/>
      <c r="G46" s="5" t="n"/>
    </row>
    <row r="47" ht="15.75" customHeight="1" s="149">
      <c r="A47" s="5" t="n"/>
      <c r="B47" s="5" t="n"/>
      <c r="C47" s="5" t="n"/>
      <c r="D47" s="5" t="n"/>
      <c r="E47" s="5" t="n"/>
      <c r="F47" s="5" t="n"/>
      <c r="G47" s="5" t="n"/>
    </row>
    <row r="48" ht="15.75" customHeight="1" s="149">
      <c r="A48" s="5" t="n"/>
      <c r="B48" s="5" t="n"/>
      <c r="C48" s="5" t="n"/>
      <c r="D48" s="5" t="n"/>
      <c r="E48" s="5" t="n"/>
      <c r="F48" s="5" t="n"/>
      <c r="G48" s="5"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222"/>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81.70999999999999" customWidth="1" style="149" min="7" max="7"/>
  </cols>
  <sheetData>
    <row r="1">
      <c r="A1" s="169" t="inlineStr">
        <is>
          <t>NUR258  ·  Review videos (SimpleNursing, LevelUpRN)</t>
        </is>
      </c>
    </row>
    <row r="2">
      <c r="A2" s="9" t="inlineStr">
        <is>
          <t>NUR234</t>
        </is>
      </c>
      <c r="B2" s="9" t="inlineStr">
        <is>
          <t>NUR235</t>
        </is>
      </c>
      <c r="C2" s="14" t="inlineStr">
        <is>
          <t>NUR258</t>
        </is>
      </c>
      <c r="D2" s="17" t="inlineStr">
        <is>
          <t>🏠 START HERE</t>
        </is>
      </c>
      <c r="E2" s="15" t="inlineStr">
        <is>
          <t>📥 Sort me</t>
        </is>
      </c>
      <c r="F2" s="16" t="n"/>
      <c r="G2" s="16" t="n"/>
    </row>
    <row r="3">
      <c r="A3" s="19" t="inlineStr">
        <is>
          <t>Halecka</t>
        </is>
      </c>
      <c r="B3" s="19" t="inlineStr">
        <is>
          <t>Wagner</t>
        </is>
      </c>
      <c r="C3" s="19" t="inlineStr">
        <is>
          <t>Simmons</t>
        </is>
      </c>
      <c r="D3" s="19" t="inlineStr">
        <is>
          <t>Exams</t>
        </is>
      </c>
      <c r="E3" s="19">
        <f>HYPERLINK('START HERE'!$B$36,"Zoom")</f>
        <v/>
      </c>
      <c r="F3" s="98" t="inlineStr">
        <is>
          <t>Review videos</t>
        </is>
      </c>
      <c r="G3" s="16" t="n"/>
    </row>
    <row r="4">
      <c r="A4" s="16" t="n"/>
      <c r="B4" s="16" t="n"/>
      <c r="C4" s="16" t="n"/>
      <c r="D4" s="16" t="n"/>
      <c r="E4" s="16" t="n"/>
      <c r="F4" s="16" t="n"/>
      <c r="G4" s="16" t="n"/>
    </row>
    <row r="5">
      <c r="A5" s="197" t="inlineStr">
        <is>
          <t>Week</t>
        </is>
      </c>
      <c r="B5" s="197" t="inlineStr">
        <is>
          <t>Day</t>
        </is>
      </c>
      <c r="C5" s="197" t="inlineStr">
        <is>
          <t>Date</t>
        </is>
      </c>
      <c r="D5" s="197" t="inlineStr">
        <is>
          <t>Lecturer</t>
        </is>
      </c>
      <c r="E5" s="197" t="inlineStr">
        <is>
          <t>Recording</t>
        </is>
      </c>
      <c r="F5" s="197" t="inlineStr">
        <is>
          <t>File</t>
        </is>
      </c>
      <c r="G5" s="197" t="inlineStr">
        <is>
          <t>Notes</t>
        </is>
      </c>
    </row>
    <row r="6">
      <c r="A6" s="198" t="inlineStr">
        <is>
          <t>Week 3</t>
        </is>
      </c>
      <c r="B6" s="198" t="n"/>
      <c r="C6" s="199" t="inlineStr">
        <is>
          <t>Fall 2026</t>
        </is>
      </c>
      <c r="D6" s="199" t="inlineStr">
        <is>
          <t>SimpleNursing</t>
        </is>
      </c>
      <c r="E6" s="200">
        <f>HYPERLINK("https://drive.google.com/file/d/1hbV2RuRJi4j1z8RSVC3GFpl7T67Tr4gq/view","▶  Watch")</f>
        <v/>
      </c>
      <c r="F6" s="199" t="inlineStr">
        <is>
          <t>NUR258_Fall2026_SimpleNursing_Wk03_DayNA_Systemic lupus erythematosus and immunosuppressants.mp4</t>
        </is>
      </c>
      <c r="G6" s="199" t="inlineStr">
        <is>
          <t>Systemic lupus erythematosus and immunosuppressants</t>
        </is>
      </c>
    </row>
    <row r="7">
      <c r="A7" s="201" t="inlineStr">
        <is>
          <t>Week 3</t>
        </is>
      </c>
      <c r="B7" s="201" t="n"/>
      <c r="C7" s="202" t="inlineStr">
        <is>
          <t>Fall 2026</t>
        </is>
      </c>
      <c r="D7" s="202" t="inlineStr">
        <is>
          <t>SimpleNursing</t>
        </is>
      </c>
      <c r="E7" s="203">
        <f>HYPERLINK("https://drive.google.com/file/d/1LPzU5sI1ldTy5n1rFyHCgX171oL_bBFI/view","▶  Watch")</f>
        <v/>
      </c>
      <c r="F7" s="202" t="inlineStr">
        <is>
          <t>NUR258_Fall2026_SimpleNursing_Wk03_DayNA_Immunology - anaphylactic shock, HIV, lupus, RA, TB, scleroderma.mp4</t>
        </is>
      </c>
      <c r="G7" s="202" t="inlineStr">
        <is>
          <t>Immunology - anaphylactic shock, HIV, lupus, RA, TB, scleroderma, Sjogren's (HIV and TB are Module 2)</t>
        </is>
      </c>
    </row>
    <row r="8">
      <c r="A8" s="198" t="inlineStr">
        <is>
          <t>Week 4</t>
        </is>
      </c>
      <c r="B8" s="198" t="n"/>
      <c r="C8" s="199" t="inlineStr">
        <is>
          <t>Fall 2026</t>
        </is>
      </c>
      <c r="D8" s="199" t="inlineStr">
        <is>
          <t>SimpleNursing</t>
        </is>
      </c>
      <c r="E8" s="200">
        <f>HYPERLINK("https://drive.google.com/file/d/1xFaaTKD3YFGBVm5VsXicl6YBJ9mGOSas/view","▶  Watch")</f>
        <v/>
      </c>
      <c r="F8" s="199" t="inlineStr">
        <is>
          <t>NUR258_Fall2026_SimpleNursing_Wk04_DayNA_Burns.mp4</t>
        </is>
      </c>
      <c r="G8" s="199" t="inlineStr">
        <is>
          <t>Burns</t>
        </is>
      </c>
    </row>
    <row r="9">
      <c r="A9" s="201" t="inlineStr">
        <is>
          <t>Week 5</t>
        </is>
      </c>
      <c r="B9" s="201" t="n"/>
      <c r="C9" s="202" t="inlineStr">
        <is>
          <t>Fall 2026</t>
        </is>
      </c>
      <c r="D9" s="202" t="inlineStr">
        <is>
          <t>SimpleNursing</t>
        </is>
      </c>
      <c r="E9" s="203">
        <f>HYPERLINK("https://drive.google.com/file/d/1nxH_cDpLrnzakw8o7bN36vnLd_ha75al/view","▶  Watch")</f>
        <v/>
      </c>
      <c r="F9" s="202" t="inlineStr">
        <is>
          <t>NUR258_Fall2026_SimpleNursing_Wk05_DayNA_Hyperaldosteronism (Conn syndrome).mp4</t>
        </is>
      </c>
      <c r="G9" s="202" t="inlineStr">
        <is>
          <t>Hyperaldosteronism (Conn syndrome)</t>
        </is>
      </c>
    </row>
    <row r="10">
      <c r="A10" s="198" t="inlineStr">
        <is>
          <t>Week 5</t>
        </is>
      </c>
      <c r="B10" s="198" t="n"/>
      <c r="C10" s="199" t="inlineStr">
        <is>
          <t>Fall 2026</t>
        </is>
      </c>
      <c r="D10" s="199" t="inlineStr">
        <is>
          <t>SimpleNursing</t>
        </is>
      </c>
      <c r="E10" s="200">
        <f>HYPERLINK("https://drive.google.com/file/d/1QhxY_crUQQ2sLjpa68p_y2FdP2sSIhA0/view","▶  Watch")</f>
        <v/>
      </c>
      <c r="F10" s="199" t="inlineStr">
        <is>
          <t>NUR258_Fall2026_SimpleNursing_Wk05_DayNA_Addison disease vs Cushing syndrome.mp4</t>
        </is>
      </c>
      <c r="G10" s="199" t="inlineStr">
        <is>
          <t>Addison disease vs Cushing syndrome</t>
        </is>
      </c>
    </row>
    <row r="11">
      <c r="A11" s="201" t="inlineStr">
        <is>
          <t>Week 5</t>
        </is>
      </c>
      <c r="B11" s="201" t="n"/>
      <c r="C11" s="202" t="inlineStr">
        <is>
          <t>Fall 2026</t>
        </is>
      </c>
      <c r="D11" s="202" t="inlineStr">
        <is>
          <t>SimpleNursing</t>
        </is>
      </c>
      <c r="E11" s="203">
        <f>HYPERLINK("https://drive.google.com/file/d/14cjZK-1vrJGBTADaYMOQ6gv_RxPAaX7S/view","▶  Watch")</f>
        <v/>
      </c>
      <c r="F11" s="202" t="inlineStr">
        <is>
          <t>NUR258_Fall2026_SimpleNursing_Wk05_DayNA_Hyper and hypoparathyroidism.mp4</t>
        </is>
      </c>
      <c r="G11" s="202" t="inlineStr">
        <is>
          <t>Hyper and hypoparathyroidism</t>
        </is>
      </c>
    </row>
    <row r="12">
      <c r="A12" s="198" t="inlineStr">
        <is>
          <t>Week 5</t>
        </is>
      </c>
      <c r="B12" s="198" t="n"/>
      <c r="C12" s="199" t="inlineStr">
        <is>
          <t>Fall 2026</t>
        </is>
      </c>
      <c r="D12" s="199" t="inlineStr">
        <is>
          <t>SimpleNursing</t>
        </is>
      </c>
      <c r="E12" s="200">
        <f>HYPERLINK("https://drive.google.com/file/d/1QEq4SvJf3U2LZ63l72AhghPUZkoCXImG/view","▶  Watch")</f>
        <v/>
      </c>
      <c r="F12" s="199" t="inlineStr">
        <is>
          <t>NUR258_Fall2026_SimpleNursing_Wk05_DayNA_Hyper vs hypothyroidism.mp4</t>
        </is>
      </c>
      <c r="G12" s="199" t="inlineStr">
        <is>
          <t>Hyper vs hypothyroidism</t>
        </is>
      </c>
    </row>
    <row r="13">
      <c r="A13" s="201" t="inlineStr">
        <is>
          <t>Week 5</t>
        </is>
      </c>
      <c r="B13" s="201" t="n"/>
      <c r="C13" s="202" t="inlineStr">
        <is>
          <t>Fall 2026</t>
        </is>
      </c>
      <c r="D13" s="202" t="inlineStr">
        <is>
          <t>SimpleNursing</t>
        </is>
      </c>
      <c r="E13" s="203">
        <f>HYPERLINK("https://drive.google.com/file/d/1y2Tf9dK-l0P6h3GRJZp3gKA0o5UPftHv/view","▶  Watch")</f>
        <v/>
      </c>
      <c r="F13" s="202" t="inlineStr">
        <is>
          <t>NUR258_Fall2026_SimpleNursing_Wk05_DayNA_Thyroid hormones and overview.mp4</t>
        </is>
      </c>
      <c r="G13" s="202" t="inlineStr">
        <is>
          <t>Thyroid hormones and overview</t>
        </is>
      </c>
    </row>
    <row r="14">
      <c r="A14" s="198" t="inlineStr">
        <is>
          <t>Week 5</t>
        </is>
      </c>
      <c r="B14" s="198" t="n"/>
      <c r="C14" s="199" t="inlineStr">
        <is>
          <t>Fall 2026</t>
        </is>
      </c>
      <c r="D14" s="199" t="inlineStr">
        <is>
          <t>SimpleNursing</t>
        </is>
      </c>
      <c r="E14" s="200">
        <f>HYPERLINK("https://drive.google.com/file/d/1E7h9gkc_Tul2lltgqu3T7nPxEWZFDJOu/view","▶  Watch")</f>
        <v/>
      </c>
      <c r="F14" s="199" t="inlineStr">
        <is>
          <t>NUR258_Fall2026_SimpleNursing_Wk05_DayNA_Thyroid storm vs myxedema coma - short clip.mp4</t>
        </is>
      </c>
      <c r="G14" s="199" t="inlineStr">
        <is>
          <t>Thyroid storm vs myxedema coma - short clip</t>
        </is>
      </c>
    </row>
    <row r="15">
      <c r="A15" s="201" t="inlineStr">
        <is>
          <t>Week 5</t>
        </is>
      </c>
      <c r="B15" s="201" t="n"/>
      <c r="C15" s="202" t="inlineStr">
        <is>
          <t>Fall 2026</t>
        </is>
      </c>
      <c r="D15" s="202" t="inlineStr">
        <is>
          <t>SimpleNursing</t>
        </is>
      </c>
      <c r="E15" s="203">
        <f>HYPERLINK("https://drive.google.com/file/d/1zJBJ93oBwadLTji0pdHnWObc2asIXuu4/view","▶  Watch")</f>
        <v/>
      </c>
      <c r="F15" s="202" t="inlineStr">
        <is>
          <t>NUR258_Fall2026_SimpleNursing_Wk05_DayNA_SIADH vs diabetes insipidus.mp4</t>
        </is>
      </c>
      <c r="G15" s="202" t="inlineStr">
        <is>
          <t>SIADH vs diabetes insipidus</t>
        </is>
      </c>
    </row>
    <row r="16">
      <c r="A16" s="198" t="inlineStr">
        <is>
          <t>Week 5</t>
        </is>
      </c>
      <c r="B16" s="198" t="n"/>
      <c r="C16" s="199" t="inlineStr">
        <is>
          <t>Fall 2026</t>
        </is>
      </c>
      <c r="D16" s="199" t="inlineStr">
        <is>
          <t>SimpleNursing</t>
        </is>
      </c>
      <c r="E16" s="200">
        <f>HYPERLINK("https://drive.google.com/file/d/1hpAB0VaO-QxB5fNoqDz-3vFgHwAdwI-M/view","▶  Watch")</f>
        <v/>
      </c>
      <c r="F16" s="199" t="inlineStr">
        <is>
          <t>NUR258_Fall2026_SimpleNursing_Wk05_DayNA_Adrenal - Addison disease, Addisonian crisis and Cushing syndrome.mp4</t>
        </is>
      </c>
      <c r="G16" s="199" t="inlineStr">
        <is>
          <t>Adrenal - Addison disease, Addisonian crisis and Cushing syndrome</t>
        </is>
      </c>
    </row>
    <row r="17">
      <c r="A17" s="201" t="inlineStr">
        <is>
          <t>Week 6</t>
        </is>
      </c>
      <c r="B17" s="201" t="n"/>
      <c r="C17" s="202" t="inlineStr">
        <is>
          <t>Fall 2026</t>
        </is>
      </c>
      <c r="D17" s="202" t="inlineStr">
        <is>
          <t>SimpleNursing</t>
        </is>
      </c>
      <c r="E17" s="203">
        <f>HYPERLINK("https://drive.google.com/file/d/1bCZtcMyejU83Tq7RvzkLiD0KLR5wtDOk/view","▶  Watch")</f>
        <v/>
      </c>
      <c r="F17" s="202" t="inlineStr">
        <is>
          <t>NUR258_Fall2026_SimpleNursing_Wk06_DayNA_Diabetes - DKA vs HHS.mp4</t>
        </is>
      </c>
      <c r="G17" s="202" t="inlineStr">
        <is>
          <t>Diabetes - DKA vs HHS</t>
        </is>
      </c>
    </row>
    <row r="18">
      <c r="A18" s="198" t="inlineStr">
        <is>
          <t>Week 6</t>
        </is>
      </c>
      <c r="B18" s="198" t="n"/>
      <c r="C18" s="199" t="inlineStr">
        <is>
          <t>Fall 2026</t>
        </is>
      </c>
      <c r="D18" s="199" t="inlineStr">
        <is>
          <t>SimpleNursing</t>
        </is>
      </c>
      <c r="E18" s="200">
        <f>HYPERLINK("https://drive.google.com/file/d/1sa-WbsyJnZ6fvirpn9e1kYU_EddpfQFL/view","▶  Watch")</f>
        <v/>
      </c>
      <c r="F18" s="199" t="inlineStr">
        <is>
          <t>NUR258_Fall2026_SimpleNursing_Wk06_DayNA_Diabetes overview - insulin, management and complications.mp4</t>
        </is>
      </c>
      <c r="G18" s="199" t="inlineStr">
        <is>
          <t>Diabetes overview - insulin, management and complications</t>
        </is>
      </c>
    </row>
    <row r="19">
      <c r="A19" s="201" t="inlineStr">
        <is>
          <t>Week 7</t>
        </is>
      </c>
      <c r="B19" s="201" t="n"/>
      <c r="C19" s="202" t="inlineStr">
        <is>
          <t>Fall 2026</t>
        </is>
      </c>
      <c r="D19" s="202" t="inlineStr">
        <is>
          <t>SimpleNursing</t>
        </is>
      </c>
      <c r="E19" s="203">
        <f>HYPERLINK("https://drive.google.com/file/d/1eFvyj5bgw2NDc5sMW3P43Mr9dbGCi3cS/view","▶  Watch")</f>
        <v/>
      </c>
      <c r="F19" s="202" t="inlineStr">
        <is>
          <t>NUR258_Fall2026_SimpleNursing_Wk07_DayNA_CNS and PNS.mp4</t>
        </is>
      </c>
      <c r="G19" s="202" t="inlineStr">
        <is>
          <t>CNS and PNS - MS, myasthenia gravis, ALS, Alzheimer's, GBS (Module 8) and seizures (Module 7)</t>
        </is>
      </c>
    </row>
    <row r="20">
      <c r="A20" s="198" t="inlineStr">
        <is>
          <t>Week 11</t>
        </is>
      </c>
      <c r="B20" s="198" t="n"/>
      <c r="C20" s="199" t="inlineStr">
        <is>
          <t>Fall 2026</t>
        </is>
      </c>
      <c r="D20" s="199" t="inlineStr">
        <is>
          <t>SimpleNursing</t>
        </is>
      </c>
      <c r="E20" s="200">
        <f>HYPERLINK("https://drive.google.com/file/d/1_Nt_5omZmJGHRkJwHCoucZVyRDEtSCLC/view","▶  Watch")</f>
        <v/>
      </c>
      <c r="F20" s="199" t="inlineStr">
        <is>
          <t>NUR258_Fall2026_SimpleNursing_Wk11_DayNA_Sexually transmitted infections.mp4</t>
        </is>
      </c>
      <c r="G20" s="199" t="inlineStr">
        <is>
          <t>Sexually transmitted infections</t>
        </is>
      </c>
    </row>
    <row r="21" ht="15.75" customHeight="1" s="149">
      <c r="A21" s="201" t="inlineStr">
        <is>
          <t>Week 11</t>
        </is>
      </c>
      <c r="B21" s="201" t="n"/>
      <c r="C21" s="202" t="inlineStr">
        <is>
          <t>Fall 2026</t>
        </is>
      </c>
      <c r="D21" s="202" t="inlineStr">
        <is>
          <t>SimpleNursing</t>
        </is>
      </c>
      <c r="E21" s="203">
        <f>HYPERLINK("https://drive.google.com/file/d/1Cb2ybB2OSpOmZ1YZHb53AXo7og2QdGOe/view","▶  Watch")</f>
        <v/>
      </c>
      <c r="F21" s="202" t="inlineStr">
        <is>
          <t>NUR258_Fall2026_SimpleNursing_Wk11_DayNA_BPH, TURP, prostate and testicular cancer.mp4</t>
        </is>
      </c>
      <c r="G21" s="202" t="inlineStr">
        <is>
          <t>BPH, TURP, prostate and testicular cancer</t>
        </is>
      </c>
    </row>
    <row r="22" ht="15.75" customHeight="1" s="149">
      <c r="A22" s="198" t="inlineStr">
        <is>
          <t>Week 12</t>
        </is>
      </c>
      <c r="B22" s="198" t="n"/>
      <c r="C22" s="199" t="inlineStr">
        <is>
          <t>Fall 2026</t>
        </is>
      </c>
      <c r="D22" s="199" t="inlineStr">
        <is>
          <t>LevelUpRN</t>
        </is>
      </c>
      <c r="E22" s="200">
        <f>HYPERLINK("https://drive.google.com/file/d/1pTAaqHEIRu40X2vKNwo6igkj31yOJAui/view","▶  Watch")</f>
        <v/>
      </c>
      <c r="F22" s="199" t="inlineStr">
        <is>
          <t>NUR258_Fall2026_LevelUpRN_Wk12_DayNA_Disaster nursing.mp4</t>
        </is>
      </c>
      <c r="G22" s="199" t="inlineStr">
        <is>
          <t>Disaster nursing</t>
        </is>
      </c>
    </row>
    <row r="23" ht="15.75" customHeight="1" s="149">
      <c r="A23" s="201" t="n"/>
      <c r="B23" s="201" t="n"/>
      <c r="C23" s="202" t="n"/>
      <c r="D23" s="202" t="n"/>
      <c r="E23" s="208" t="n"/>
      <c r="F23" s="202" t="n"/>
      <c r="G23" s="202" t="n"/>
    </row>
    <row r="24" ht="15.75" customHeight="1" s="149">
      <c r="A24" s="198" t="n"/>
      <c r="B24" s="198" t="n"/>
      <c r="C24" s="199" t="n"/>
      <c r="D24" s="199" t="n"/>
      <c r="E24" s="207" t="n"/>
      <c r="F24" s="199" t="n"/>
      <c r="G24" s="199" t="n"/>
    </row>
    <row r="25" ht="15.75" customHeight="1" s="149">
      <c r="A25" s="201" t="n"/>
      <c r="B25" s="201" t="n"/>
      <c r="C25" s="202" t="n"/>
      <c r="D25" s="202" t="n"/>
      <c r="E25" s="208" t="n"/>
      <c r="F25" s="202" t="n"/>
      <c r="G25" s="202" t="n"/>
    </row>
    <row r="26" ht="15.75" customHeight="1" s="149">
      <c r="A26" s="198" t="n"/>
      <c r="B26" s="198" t="n"/>
      <c r="C26" s="199" t="n"/>
      <c r="D26" s="199" t="n"/>
      <c r="E26" s="207" t="n"/>
      <c r="F26" s="199" t="n"/>
      <c r="G26" s="199" t="n"/>
    </row>
    <row r="27" ht="15.75" customHeight="1" s="149">
      <c r="A27" s="201" t="n"/>
      <c r="B27" s="201" t="n"/>
      <c r="C27" s="202" t="n"/>
      <c r="D27" s="202" t="n"/>
      <c r="E27" s="208" t="n"/>
      <c r="F27" s="202" t="n"/>
      <c r="G27" s="202" t="n"/>
    </row>
    <row r="28" ht="15.75" customHeight="1" s="149">
      <c r="A28" s="198" t="n"/>
      <c r="B28" s="198" t="n"/>
      <c r="C28" s="199" t="n"/>
      <c r="D28" s="199" t="n"/>
      <c r="E28" s="207" t="n"/>
      <c r="F28" s="199" t="n"/>
      <c r="G28" s="199" t="n"/>
    </row>
    <row r="29" ht="15.75" customHeight="1" s="149">
      <c r="A29" s="201" t="n"/>
      <c r="B29" s="201" t="n"/>
      <c r="C29" s="202" t="n"/>
      <c r="D29" s="202" t="n"/>
      <c r="E29" s="208" t="n"/>
      <c r="F29" s="202" t="n"/>
      <c r="G29" s="202" t="n"/>
    </row>
    <row r="30" ht="15.75" customHeight="1" s="149">
      <c r="A30" s="198" t="n"/>
      <c r="B30" s="198" t="n"/>
      <c r="C30" s="199" t="n"/>
      <c r="D30" s="199" t="n"/>
      <c r="E30" s="207" t="n"/>
      <c r="F30" s="199" t="n"/>
      <c r="G30" s="199" t="n"/>
    </row>
    <row r="31" ht="15.75" customHeight="1" s="149">
      <c r="A31" s="201" t="n"/>
      <c r="B31" s="201" t="n"/>
      <c r="C31" s="202" t="n"/>
      <c r="D31" s="202" t="n"/>
      <c r="E31" s="208" t="n"/>
      <c r="F31" s="202" t="n"/>
      <c r="G31" s="202" t="n"/>
    </row>
    <row r="32" ht="15.75" customHeight="1" s="149">
      <c r="A32" s="198" t="n"/>
      <c r="B32" s="198" t="n"/>
      <c r="C32" s="199" t="n"/>
      <c r="D32" s="199" t="n"/>
      <c r="E32" s="207" t="n"/>
      <c r="F32" s="199" t="n"/>
      <c r="G32" s="199" t="n"/>
    </row>
    <row r="33" ht="15.75" customHeight="1" s="149">
      <c r="A33" s="201" t="n"/>
      <c r="B33" s="201" t="n"/>
      <c r="C33" s="202" t="n"/>
      <c r="D33" s="202" t="n"/>
      <c r="E33" s="208" t="n"/>
      <c r="F33" s="202" t="n"/>
      <c r="G33" s="202" t="n"/>
    </row>
    <row r="34" ht="15.75" customHeight="1" s="149">
      <c r="A34" s="198" t="n"/>
      <c r="B34" s="198" t="n"/>
      <c r="C34" s="199" t="n"/>
      <c r="D34" s="199" t="n"/>
      <c r="E34" s="207" t="n"/>
      <c r="F34" s="199" t="n"/>
      <c r="G34" s="199" t="n"/>
    </row>
    <row r="35" ht="15.75" customHeight="1" s="149">
      <c r="A35" s="201" t="n"/>
      <c r="B35" s="201" t="n"/>
      <c r="C35" s="202" t="n"/>
      <c r="D35" s="202" t="n"/>
      <c r="E35" s="208" t="n"/>
      <c r="F35" s="202" t="n"/>
      <c r="G35" s="202" t="n"/>
    </row>
    <row r="36" ht="15.75" customHeight="1" s="149">
      <c r="A36" s="199" t="n"/>
      <c r="B36" s="199" t="n"/>
      <c r="C36" s="199" t="n"/>
      <c r="D36" s="199" t="n"/>
      <c r="E36" s="199" t="n"/>
      <c r="F36" s="199" t="n"/>
      <c r="G36" s="199" t="n"/>
    </row>
    <row r="37" ht="15.75" customHeight="1" s="149">
      <c r="A37" s="202" t="n"/>
      <c r="B37" s="202" t="n"/>
      <c r="C37" s="202" t="n"/>
      <c r="D37" s="202" t="n"/>
      <c r="E37" s="202" t="n"/>
      <c r="F37" s="202" t="n"/>
      <c r="G37" s="202" t="n"/>
    </row>
    <row r="38" ht="15.75" customHeight="1" s="149">
      <c r="A38" s="107" t="n"/>
      <c r="B38" s="107" t="n"/>
      <c r="C38" s="107" t="n"/>
      <c r="D38" s="107" t="n"/>
      <c r="E38" s="107" t="n"/>
      <c r="F38" s="107" t="n"/>
      <c r="G38" s="107" t="n"/>
    </row>
    <row r="39" ht="15.75" customHeight="1" s="149">
      <c r="A39" s="107" t="n"/>
      <c r="B39" s="107" t="n"/>
      <c r="C39" s="107" t="n"/>
      <c r="D39" s="107" t="n"/>
      <c r="E39" s="107" t="n"/>
      <c r="F39" s="107" t="n"/>
      <c r="G39" s="107" t="n"/>
    </row>
    <row r="40" ht="15.75" customHeight="1" s="149">
      <c r="A40" s="107" t="n"/>
      <c r="B40" s="107" t="n"/>
      <c r="C40" s="107" t="n"/>
      <c r="D40" s="107" t="n"/>
      <c r="E40" s="107" t="n"/>
      <c r="F40" s="107" t="n"/>
      <c r="G40" s="107" t="n"/>
    </row>
    <row r="41" ht="15.75" customHeight="1" s="149">
      <c r="A41" s="5" t="n"/>
      <c r="B41" s="5" t="n"/>
      <c r="C41" s="5" t="n"/>
      <c r="D41" s="5" t="n"/>
      <c r="E41" s="5" t="n"/>
      <c r="F41" s="5" t="n"/>
      <c r="G41" s="5" t="n"/>
    </row>
    <row r="42" ht="15.75" customHeight="1" s="149">
      <c r="A42" s="5" t="n"/>
      <c r="B42" s="5" t="n"/>
      <c r="C42" s="5" t="n"/>
      <c r="D42" s="5" t="n"/>
      <c r="E42" s="5" t="n"/>
      <c r="F42" s="5" t="n"/>
      <c r="G42" s="5" t="n"/>
    </row>
    <row r="43" ht="15.75" customHeight="1" s="149">
      <c r="A43" s="5" t="n"/>
      <c r="B43" s="5" t="n"/>
      <c r="C43" s="5" t="n"/>
      <c r="D43" s="5" t="n"/>
      <c r="E43" s="5" t="n"/>
      <c r="F43" s="5" t="n"/>
      <c r="G43" s="5" t="n"/>
    </row>
    <row r="44" ht="15.75" customHeight="1" s="149">
      <c r="A44" s="5" t="n"/>
      <c r="B44" s="5" t="n"/>
      <c r="C44" s="5" t="n"/>
      <c r="D44" s="5" t="n"/>
      <c r="E44" s="5" t="n"/>
      <c r="F44" s="5" t="n"/>
      <c r="G44" s="5" t="n"/>
    </row>
    <row r="45" ht="15.75" customHeight="1" s="149">
      <c r="A45" s="5" t="n"/>
      <c r="B45" s="5" t="n"/>
      <c r="C45" s="5" t="n"/>
      <c r="D45" s="5" t="n"/>
      <c r="E45" s="5" t="n"/>
      <c r="F45" s="5" t="n"/>
      <c r="G45" s="5" t="n"/>
    </row>
    <row r="46" ht="15.75" customHeight="1" s="149">
      <c r="A46" s="5" t="n"/>
      <c r="B46" s="5" t="n"/>
      <c r="C46" s="5" t="n"/>
      <c r="D46" s="5" t="n"/>
      <c r="E46" s="5" t="n"/>
      <c r="F46" s="5" t="n"/>
      <c r="G46" s="5" t="n"/>
    </row>
    <row r="47" ht="15.75" customHeight="1" s="149">
      <c r="A47" s="5" t="n"/>
      <c r="B47" s="5" t="n"/>
      <c r="C47" s="5" t="n"/>
      <c r="D47" s="5" t="n"/>
      <c r="E47" s="5" t="n"/>
      <c r="F47" s="5" t="n"/>
      <c r="G47" s="5" t="n"/>
    </row>
    <row r="48" ht="15.75" customHeight="1" s="149">
      <c r="A48" s="5" t="n"/>
      <c r="B48" s="5" t="n"/>
      <c r="C48" s="5" t="n"/>
      <c r="D48" s="5" t="n"/>
      <c r="E48" s="5" t="n"/>
      <c r="F48" s="5" t="n"/>
      <c r="G48" s="5" t="n"/>
    </row>
    <row r="49" ht="15.75" customHeight="1" s="149">
      <c r="A49" s="5" t="n"/>
      <c r="B49" s="5" t="n"/>
      <c r="C49" s="5" t="n"/>
      <c r="D49" s="5" t="n"/>
      <c r="E49" s="5" t="n"/>
      <c r="F49" s="5" t="n"/>
      <c r="G49" s="5" t="n"/>
    </row>
    <row r="50" ht="15.75" customHeight="1" s="149">
      <c r="A50" s="5" t="n"/>
      <c r="B50" s="5" t="n"/>
      <c r="C50" s="5" t="n"/>
      <c r="D50" s="5" t="n"/>
      <c r="E50" s="5" t="n"/>
      <c r="F50" s="5" t="n"/>
      <c r="G50" s="5" t="n"/>
    </row>
    <row r="51" ht="15.75" customHeight="1" s="149">
      <c r="A51" s="5" t="n"/>
      <c r="B51" s="5" t="n"/>
      <c r="C51" s="5" t="n"/>
      <c r="D51" s="5" t="n"/>
      <c r="E51" s="5" t="n"/>
      <c r="F51" s="5" t="n"/>
      <c r="G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296"/>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13" t="inlineStr">
        <is>
          <t>NUR198  ·  Adult Health I  ·  videos by module</t>
        </is>
      </c>
    </row>
    <row r="2">
      <c r="A2" s="9" t="inlineStr">
        <is>
          <t>NUR234</t>
        </is>
      </c>
      <c r="B2" s="9" t="inlineStr">
        <is>
          <t>NUR235</t>
        </is>
      </c>
      <c r="C2" s="9" t="inlineStr">
        <is>
          <t>NUR258</t>
        </is>
      </c>
      <c r="D2" s="9" t="inlineStr">
        <is>
          <t>🏠 START HERE</t>
        </is>
      </c>
      <c r="E2" s="9" t="inlineStr">
        <is>
          <t>📥 Sort me</t>
        </is>
      </c>
      <c r="F2" s="16" t="n"/>
      <c r="G2" s="16" t="n"/>
    </row>
    <row r="3">
      <c r="A3" s="111" t="inlineStr">
        <is>
          <t>NUR198</t>
        </is>
      </c>
      <c r="B3" s="19" t="inlineStr">
        <is>
          <t>NUR175</t>
        </is>
      </c>
      <c r="C3" s="19" t="inlineStr">
        <is>
          <t>NUR125</t>
        </is>
      </c>
      <c r="D3" s="19" t="n"/>
      <c r="E3" s="19" t="n"/>
      <c r="F3" s="93" t="n"/>
      <c r="G3" s="16" t="n"/>
    </row>
    <row r="4">
      <c r="A4" s="16" t="n"/>
      <c r="B4" s="16" t="n"/>
      <c r="C4" s="16" t="n"/>
      <c r="D4" s="16" t="n"/>
      <c r="E4" s="16" t="n"/>
      <c r="F4" s="16" t="n"/>
      <c r="G4" s="16" t="n"/>
    </row>
    <row r="5">
      <c r="A5" s="214" t="inlineStr">
        <is>
          <t>Module</t>
        </is>
      </c>
      <c r="B5" s="215" t="inlineStr">
        <is>
          <t>Day</t>
        </is>
      </c>
      <c r="C5" s="215" t="inlineStr">
        <is>
          <t>Date</t>
        </is>
      </c>
      <c r="D5" s="215" t="inlineStr">
        <is>
          <t>Lecturer</t>
        </is>
      </c>
      <c r="E5" s="215" t="inlineStr">
        <is>
          <t>Recording</t>
        </is>
      </c>
      <c r="F5" s="215" t="inlineStr">
        <is>
          <t>File</t>
        </is>
      </c>
      <c r="G5" s="216" t="inlineStr">
        <is>
          <t>Notes</t>
        </is>
      </c>
    </row>
    <row r="6">
      <c r="A6" s="217" t="inlineStr">
        <is>
          <t>Module 1</t>
        </is>
      </c>
      <c r="B6" s="218" t="n"/>
      <c r="C6" s="219" t="inlineStr">
        <is>
          <t>Summer 2026</t>
        </is>
      </c>
      <c r="D6" s="219" t="inlineStr">
        <is>
          <t>Not named</t>
        </is>
      </c>
      <c r="E6" s="220">
        <f>HYPERLINK("https://drive.google.com/file/d/1cAp3VRFG4m3iAIc7BIx1RBqyllw1qmV4/view","▶  Watch")</f>
        <v/>
      </c>
      <c r="F6" s="219" t="inlineStr">
        <is>
          <t>NUR198_Summer2026_Unknown_Wk01_DayNA_Exam 1 Lecture Older Adult.mp4</t>
        </is>
      </c>
      <c r="G6" s="221" t="inlineStr">
        <is>
          <t>Exam 1 Lecture Older Adult</t>
        </is>
      </c>
    </row>
    <row r="7">
      <c r="A7" s="222" t="inlineStr">
        <is>
          <t>Module 1</t>
        </is>
      </c>
      <c r="B7" s="223" t="n"/>
      <c r="C7" s="224" t="inlineStr">
        <is>
          <t>Summer 2026</t>
        </is>
      </c>
      <c r="D7" s="224" t="inlineStr">
        <is>
          <t>Not named</t>
        </is>
      </c>
      <c r="E7" s="225">
        <f>HYPERLINK("https://drive.google.com/file/d/19y-dJl_bPL9UzXq6GITrAt-xUXGcZfjg/view","▶  Watch")</f>
        <v/>
      </c>
      <c r="F7" s="224" t="inlineStr">
        <is>
          <t>NUR198_Summer2026_Unknown_Wk01_DayNA_Older Adult.mp4</t>
        </is>
      </c>
      <c r="G7" s="226" t="inlineStr">
        <is>
          <t>Older Adult</t>
        </is>
      </c>
    </row>
    <row r="8">
      <c r="A8" s="217" t="inlineStr">
        <is>
          <t>Module 1</t>
        </is>
      </c>
      <c r="B8" s="218" t="inlineStr">
        <is>
          <t>Day 1</t>
        </is>
      </c>
      <c r="C8" s="219" t="inlineStr">
        <is>
          <t>Summer 2026</t>
        </is>
      </c>
      <c r="D8" s="219" t="inlineStr">
        <is>
          <t>Wagner</t>
        </is>
      </c>
      <c r="E8" s="220">
        <f>HYPERLINK("https://drive.google.com/file/d/12tuSFUGz5aJUUp8QEsyhVCnBqzLZMRl5/view","▶  Watch")</f>
        <v/>
      </c>
      <c r="F8" s="219" t="inlineStr">
        <is>
          <t>NUR198_Summer2026_Wagner_Wk01_Day1_Older Adult.mp4</t>
        </is>
      </c>
      <c r="G8" s="221" t="inlineStr">
        <is>
          <t>Day 1 · Older Adult</t>
        </is>
      </c>
    </row>
    <row r="9">
      <c r="A9" s="222" t="inlineStr">
        <is>
          <t>Module 1</t>
        </is>
      </c>
      <c r="B9" s="223" t="inlineStr">
        <is>
          <t>Day 2</t>
        </is>
      </c>
      <c r="C9" s="224" t="inlineStr">
        <is>
          <t>Summer 2026</t>
        </is>
      </c>
      <c r="D9" s="224" t="inlineStr">
        <is>
          <t>Wagner</t>
        </is>
      </c>
      <c r="E9" s="225">
        <f>HYPERLINK("https://drive.google.com/file/d/1VA32QaoZJ3UV_ztsJkV5Z21oPLDO91LJ/view","▶  Watch")</f>
        <v/>
      </c>
      <c r="F9" s="224" t="inlineStr">
        <is>
          <t>NUR198_Summer2026_Wagner_Wk01_Day2_Older Adult.mp4</t>
        </is>
      </c>
      <c r="G9" s="226" t="inlineStr">
        <is>
          <t>Day 2 · Older Adult</t>
        </is>
      </c>
    </row>
    <row r="10">
      <c r="A10" s="217" t="inlineStr">
        <is>
          <t>Module 1</t>
        </is>
      </c>
      <c r="B10" s="218" t="n"/>
      <c r="C10" s="219" t="inlineStr">
        <is>
          <t>Summer 2026</t>
        </is>
      </c>
      <c r="D10" s="219" t="inlineStr">
        <is>
          <t>LSC</t>
        </is>
      </c>
      <c r="E10" s="220">
        <f>HYPERLINK("https://drive.google.com/file/d/1LbZsv_W03rZ1IDy44H40plzNTK9E05B8/view","▶  Watch")</f>
        <v/>
      </c>
      <c r="F10" s="219" t="inlineStr">
        <is>
          <t>NUR198_Summer2026_LSC_WkNA_DayNA_Exam Prep - Care of the Older Adult Client (40-08).mp4</t>
        </is>
      </c>
      <c r="G10" s="221" t="inlineStr">
        <is>
          <t>Exam prep · Care of the Older Adult Client · 40:08</t>
        </is>
      </c>
    </row>
    <row r="11" ht="15.75" customHeight="1" s="149">
      <c r="A11" s="222" t="inlineStr">
        <is>
          <t>Module 1</t>
        </is>
      </c>
      <c r="B11" s="223" t="n"/>
      <c r="C11" s="224" t="inlineStr">
        <is>
          <t>Fall 2026</t>
        </is>
      </c>
      <c r="D11" s="224" t="inlineStr">
        <is>
          <t>SimpleNursing</t>
        </is>
      </c>
      <c r="E11" s="225">
        <f>HYPERLINK("https://drive.google.com/file/d/1eFvyj5bgw2NDc5sMW3P43Mr9dbGCi3cS/view","▶  Watch")</f>
        <v/>
      </c>
      <c r="F11" s="224" t="inlineStr">
        <is>
          <t>NUR258_Fall2026_SimpleNursing_Wk07_DayNA_CNS and PNS.mp4</t>
        </is>
      </c>
      <c r="G11" s="226" t="inlineStr">
        <is>
          <t>CNS and PNS · related: MS, myasthenia gravis, ALS and Alzheimer disease - chronic illness and disability · filed under NUR 258 Module 7</t>
        </is>
      </c>
    </row>
    <row r="12" ht="15.75" customHeight="1" s="149">
      <c r="A12" s="217" t="inlineStr">
        <is>
          <t>Module 2</t>
        </is>
      </c>
      <c r="B12" s="218" t="n"/>
      <c r="C12" s="219" t="inlineStr">
        <is>
          <t>Summer 2026</t>
        </is>
      </c>
      <c r="D12" s="219" t="inlineStr">
        <is>
          <t>Newingham</t>
        </is>
      </c>
      <c r="E12" s="220">
        <f>HYPERLINK("https://drive.google.com/file/d/13bjonPKI2AB1GjAAWsskez_-o3SC2sEf/view","▶  Watch")</f>
        <v/>
      </c>
      <c r="F12" s="219" t="inlineStr">
        <is>
          <t>NUR198_Summer2026_Newingham_Wk02_DayNA_Fluids Electrolytes Acid-Base.mp4</t>
        </is>
      </c>
      <c r="G12" s="221" t="inlineStr">
        <is>
          <t>Fluids Electrolytes Acid-Base</t>
        </is>
      </c>
    </row>
    <row r="13" ht="15.75" customHeight="1" s="149">
      <c r="A13" s="222" t="inlineStr">
        <is>
          <t>Module 2</t>
        </is>
      </c>
      <c r="B13" s="223" t="n"/>
      <c r="C13" s="224" t="inlineStr">
        <is>
          <t>Summer 2026</t>
        </is>
      </c>
      <c r="D13" s="224" t="inlineStr">
        <is>
          <t>RegisteredNurseRN</t>
        </is>
      </c>
      <c r="E13" s="225">
        <f>HYPERLINK("https://drive.google.com/file/d/1xKcpW4L4ElFcOEAoeXvuanA9pGDZEHmk/view","▶  Watch")</f>
        <v/>
      </c>
      <c r="F13" s="224" t="inlineStr">
        <is>
          <t>NUR198_Summer2026_RegisteredNurseRN_Wk02_DayNA_2026-05-15 YouTube - ABGs Tic Tac Toe Method.mp4</t>
        </is>
      </c>
      <c r="G13" s="226" t="inlineStr">
        <is>
          <t>2026-05-15 YouTube - ABGs Tic Tac Toe Method</t>
        </is>
      </c>
    </row>
    <row r="14" ht="15.75" customHeight="1" s="149">
      <c r="A14" s="217" t="inlineStr">
        <is>
          <t>Module 2</t>
        </is>
      </c>
      <c r="B14" s="218" t="n"/>
      <c r="C14" s="219" t="inlineStr">
        <is>
          <t>Summer 2026</t>
        </is>
      </c>
      <c r="D14" s="219" t="inlineStr">
        <is>
          <t>SimpleNursing</t>
        </is>
      </c>
      <c r="E14" s="220">
        <f>HYPERLINK("https://drive.google.com/file/d/1TlQxs4fNydpHT9nbgHFvQE9UDnZMcqed/view","▶  Watch")</f>
        <v/>
      </c>
      <c r="F14" s="219" t="inlineStr">
        <is>
          <t>NUR198_Summer2026_SimpleNursing_Wk02_DayNA_2026-05-15 YouTube - ABG Interpretation Made Easy.mp4</t>
        </is>
      </c>
      <c r="G14" s="221" t="inlineStr">
        <is>
          <t>2026-05-15 YouTube - ABG Interpretation Made Easy</t>
        </is>
      </c>
    </row>
    <row r="15" ht="15.75" customHeight="1" s="149">
      <c r="A15" s="222" t="inlineStr">
        <is>
          <t>Module 2</t>
        </is>
      </c>
      <c r="B15" s="223" t="n"/>
      <c r="C15" s="224" t="inlineStr">
        <is>
          <t>Summer 2026</t>
        </is>
      </c>
      <c r="D15" s="224" t="inlineStr">
        <is>
          <t>SimpleNursing</t>
        </is>
      </c>
      <c r="E15" s="225">
        <f>HYPERLINK("https://drive.google.com/file/d/1u_X1pFQigBk_iFkY7G0MAXrY7VqSxo8w/view","▶  Watch")</f>
        <v/>
      </c>
      <c r="F15" s="224" t="inlineStr">
        <is>
          <t>NUR198_Summer2026_SimpleNursing_Wk02_DayNA_Fluids and Electrolytes.mp4</t>
        </is>
      </c>
      <c r="G15" s="226" t="inlineStr">
        <is>
          <t>Fluids and Electrolytes</t>
        </is>
      </c>
    </row>
    <row r="16" ht="15.75" customHeight="1" s="149">
      <c r="A16" s="217" t="inlineStr">
        <is>
          <t>Module 2</t>
        </is>
      </c>
      <c r="B16" s="218" t="n"/>
      <c r="C16" s="219" t="inlineStr">
        <is>
          <t>Summer 2026</t>
        </is>
      </c>
      <c r="D16" s="219" t="inlineStr">
        <is>
          <t>Not named</t>
        </is>
      </c>
      <c r="E16" s="220">
        <f>HYPERLINK("https://drive.google.com/file/d/1NkWZAK-ZHX6P-YvFkbo_T_ySMeF0qXw7/view","▶  Watch")</f>
        <v/>
      </c>
      <c r="F16" s="219" t="inlineStr">
        <is>
          <t>NUR198_Summer2026_Unknown_Wk02_DayNA_2026-05-15 Chrome - Nursing acid-base song video YouTube.mp4</t>
        </is>
      </c>
      <c r="G16" s="221" t="inlineStr">
        <is>
          <t>2026-05-15 Chrome - Nursing acid-base song video YouTube</t>
        </is>
      </c>
    </row>
    <row r="17" ht="15.75" customHeight="1" s="149">
      <c r="A17" s="222" t="inlineStr">
        <is>
          <t>Module 2</t>
        </is>
      </c>
      <c r="B17" s="223" t="n"/>
      <c r="C17" s="224" t="inlineStr">
        <is>
          <t>Summer 2026</t>
        </is>
      </c>
      <c r="D17" s="224" t="inlineStr">
        <is>
          <t>Not named</t>
        </is>
      </c>
      <c r="E17" s="225">
        <f>HYPERLINK("https://drive.google.com/file/d/1O13tQ92uHcNULYbJNcFR9cTfkNxgbD2r/view","▶  Watch")</f>
        <v/>
      </c>
      <c r="F17" s="224" t="inlineStr">
        <is>
          <t>NUR198_Summer2026_Unknown_Wk02_DayNA_2026-05-15 YouTube - Acid Base Rap.mp4</t>
        </is>
      </c>
      <c r="G17" s="226" t="inlineStr">
        <is>
          <t>2026-05-15 YouTube - Acid Base Rap</t>
        </is>
      </c>
    </row>
    <row r="18" ht="15.75" customHeight="1" s="149">
      <c r="A18" s="217" t="inlineStr">
        <is>
          <t>Module 2</t>
        </is>
      </c>
      <c r="B18" s="218" t="n"/>
      <c r="C18" s="219" t="inlineStr">
        <is>
          <t>Summer 2026</t>
        </is>
      </c>
      <c r="D18" s="219" t="inlineStr">
        <is>
          <t>Not named</t>
        </is>
      </c>
      <c r="E18" s="220">
        <f>HYPERLINK("https://drive.google.com/file/d/10XX3p7MwmMx-p64yoWPv64G5A1MG9SB8/view","▶  Watch")</f>
        <v/>
      </c>
      <c r="F18" s="219" t="inlineStr">
        <is>
          <t>NUR198_Summer2026_Unknown_Wk02_DayNA_2026-05-15 YouTube - The ABG Song official lyric video.mp4</t>
        </is>
      </c>
      <c r="G18" s="221" t="inlineStr">
        <is>
          <t>2026-05-15 YouTube - The ABG Song official lyric video</t>
        </is>
      </c>
    </row>
    <row r="19" ht="15.75" customHeight="1" s="149">
      <c r="A19" s="222" t="inlineStr">
        <is>
          <t>Module 2</t>
        </is>
      </c>
      <c r="B19" s="223" t="n"/>
      <c r="C19" s="224" t="inlineStr">
        <is>
          <t>Summer 2026</t>
        </is>
      </c>
      <c r="D19" s="224" t="inlineStr">
        <is>
          <t>Not named</t>
        </is>
      </c>
      <c r="E19" s="225">
        <f>HYPERLINK("https://drive.google.com/file/d/1QAJuu8sY2avKZam-5QJexdwTniN9I83j/view","▶  Watch")</f>
        <v/>
      </c>
      <c r="F19" s="224" t="inlineStr">
        <is>
          <t>NUR198_Summer2026_Unknown_WkNA_DayNA_Acid-Base Balance - Zoom session 7 May (21-09).mp4</t>
        </is>
      </c>
      <c r="G19" s="226" t="inlineStr">
        <is>
          <t>Acid-Base Balance · Zoom session 7 May · 21:09</t>
        </is>
      </c>
    </row>
    <row r="20">
      <c r="A20" s="217" t="inlineStr">
        <is>
          <t>Module 2</t>
        </is>
      </c>
      <c r="B20" s="218" t="n"/>
      <c r="C20" s="219" t="inlineStr">
        <is>
          <t>Summer 2026</t>
        </is>
      </c>
      <c r="D20" s="219" t="inlineStr">
        <is>
          <t>Not named</t>
        </is>
      </c>
      <c r="E20" s="220">
        <f>HYPERLINK("https://drive.google.com/file/d/1qb50i9n41mM4qhFLPj8w2e0bbjEUUq0q/view","▶  Watch")</f>
        <v/>
      </c>
      <c r="F20" s="219" t="inlineStr">
        <is>
          <t>NUR198_Summer2026_Unknown_WkNA_DayNA_Fluid and Electrolytes - Zoom 28 Apr 2026 (35-08 session).mp4</t>
        </is>
      </c>
      <c r="G20" s="221" t="inlineStr">
        <is>
          <t>Fluid and Electrolytes · Zoom 28 Apr · 35:08</t>
        </is>
      </c>
    </row>
    <row r="21" ht="15.75" customHeight="1" s="149">
      <c r="A21" s="222" t="inlineStr">
        <is>
          <t>Module 2</t>
        </is>
      </c>
      <c r="B21" s="223" t="n"/>
      <c r="C21" s="224" t="inlineStr">
        <is>
          <t>Fall 2026</t>
        </is>
      </c>
      <c r="D21" s="224" t="inlineStr">
        <is>
          <t>SimpleNursing</t>
        </is>
      </c>
      <c r="E21" s="225">
        <f>HYPERLINK("https://drive.google.com/file/d/1bCZtcMyejU83Tq7RvzkLiD0KLR5wtDOk/view","▶  Watch")</f>
        <v/>
      </c>
      <c r="F21" s="224" t="inlineStr">
        <is>
          <t>NUR258_Fall2026_SimpleNursing_Wk06_DayNA_Diabetes - DKA vs HHS.mp4</t>
        </is>
      </c>
      <c r="G21" s="226" t="inlineStr">
        <is>
          <t>Diabetes - DKA vs HHS · related: dehydration, potassium and metabolic acidosis · filed under NUR 258 Module 6</t>
        </is>
      </c>
    </row>
    <row r="22" ht="15.75" customHeight="1" s="149">
      <c r="A22" s="217" t="inlineStr">
        <is>
          <t>Module 2</t>
        </is>
      </c>
      <c r="B22" s="218" t="n"/>
      <c r="C22" s="219" t="inlineStr">
        <is>
          <t>Fall 2026</t>
        </is>
      </c>
      <c r="D22" s="219" t="inlineStr">
        <is>
          <t>SimpleNursing</t>
        </is>
      </c>
      <c r="E22" s="220">
        <f>HYPERLINK("https://drive.google.com/file/d/14cjZK-1vrJGBTADaYMOQ6gv_RxPAaX7S/view","▶  Watch")</f>
        <v/>
      </c>
      <c r="F22" s="219" t="inlineStr">
        <is>
          <t>NUR258_Fall2026_SimpleNursing_Wk05_DayNA_Hyper and hypoparathyroidism.mp4</t>
        </is>
      </c>
      <c r="G22" s="221" t="inlineStr">
        <is>
          <t>Hyper and hypoparathyroidism · related: calcium and phosphorus imbalances · filed under NUR 258 Module 5</t>
        </is>
      </c>
    </row>
    <row r="23" ht="15.75" customHeight="1" s="149">
      <c r="A23" s="222" t="inlineStr">
        <is>
          <t>Module 2</t>
        </is>
      </c>
      <c r="B23" s="223" t="n"/>
      <c r="C23" s="224" t="inlineStr">
        <is>
          <t>Fall 2026</t>
        </is>
      </c>
      <c r="D23" s="224" t="inlineStr">
        <is>
          <t>SimpleNursing</t>
        </is>
      </c>
      <c r="E23" s="225">
        <f>HYPERLINK("https://drive.google.com/file/d/1zJBJ93oBwadLTji0pdHnWObc2asIXuu4/view","▶  Watch")</f>
        <v/>
      </c>
      <c r="F23" s="224" t="inlineStr">
        <is>
          <t>NUR258_Fall2026_SimpleNursing_Wk05_DayNA_SIADH vs diabetes insipidus.mp4</t>
        </is>
      </c>
      <c r="G23" s="226" t="inlineStr">
        <is>
          <t>SIADH vs diabetes insipidus · related: fluid and sodium balance · filed under NUR 258 Module 5</t>
        </is>
      </c>
    </row>
    <row r="24" ht="15.75" customHeight="1" s="149">
      <c r="A24" s="217" t="inlineStr">
        <is>
          <t>Module 3</t>
        </is>
      </c>
      <c r="B24" s="218" t="n"/>
      <c r="C24" s="219" t="inlineStr">
        <is>
          <t>Summer 2026</t>
        </is>
      </c>
      <c r="D24" s="219" t="inlineStr">
        <is>
          <t>LSC</t>
        </is>
      </c>
      <c r="E24" s="220">
        <f>HYPERLINK("https://drive.google.com/file/d/1c2Sdjv_qEIHBo6HIxpz32nDpS980PwhM/view","▶  Watch")</f>
        <v/>
      </c>
      <c r="F24" s="219" t="inlineStr">
        <is>
          <t>NUR198_Summer2026_LSC_Wk03_DayNA_Module 3 - Pain Management (LSC exam prep, 29 Apr 2026, 22-19).mp4</t>
        </is>
      </c>
      <c r="G24" s="221" t="inlineStr">
        <is>
          <t>M3 · Exam prep · Pain Management · 22:19</t>
        </is>
      </c>
    </row>
    <row r="25" ht="15.75" customHeight="1" s="149">
      <c r="A25" s="222" t="inlineStr">
        <is>
          <t>Module 3</t>
        </is>
      </c>
      <c r="B25" s="223" t="n"/>
      <c r="C25" s="224" t="inlineStr">
        <is>
          <t>Summer 2026</t>
        </is>
      </c>
      <c r="D25" s="224" t="inlineStr">
        <is>
          <t>LSC</t>
        </is>
      </c>
      <c r="E25" s="225">
        <f>HYPERLINK("https://drive.google.com/file/d/16cQWDHxNBgIR1yct_tDXLiAeMZ4BjKRu/view","▶  Watch")</f>
        <v/>
      </c>
      <c r="F25" s="224" t="inlineStr">
        <is>
          <t>NUR198_Summer2026_LSC_Wk03_DayNA_Module 3 - Integumentary (LSC exam prep, 6 May 2026, 14-50).mp4</t>
        </is>
      </c>
      <c r="G25" s="226" t="inlineStr">
        <is>
          <t>M3 · Exam prep · Integumentary · 14:50</t>
        </is>
      </c>
    </row>
    <row r="26" ht="15.75" customHeight="1" s="149">
      <c r="A26" s="217" t="inlineStr">
        <is>
          <t>Module 3</t>
        </is>
      </c>
      <c r="B26" s="218" t="n"/>
      <c r="C26" s="219" t="inlineStr">
        <is>
          <t>Summer 2026</t>
        </is>
      </c>
      <c r="D26" s="219" t="inlineStr">
        <is>
          <t>StudyHub</t>
        </is>
      </c>
      <c r="E26" s="220">
        <f>HYPERLINK("https://drive.google.com/file/d/1IVTIiSkkrQvlOCAjtFDvQMGwhfLk0SQN/view","▶  Watch")</f>
        <v/>
      </c>
      <c r="F26" s="219" t="inlineStr">
        <is>
          <t>NUR198_Summer2026_StudyHub_Wk03_DayNA_Patient Journey Nurse's Guide.mp4</t>
        </is>
      </c>
      <c r="G26" s="221" t="inlineStr">
        <is>
          <t>Patient Journey Nurse's Guide</t>
        </is>
      </c>
    </row>
    <row r="27" ht="15.75" customHeight="1" s="149">
      <c r="A27" s="222" t="inlineStr">
        <is>
          <t>Module 3</t>
        </is>
      </c>
      <c r="B27" s="223" t="n"/>
      <c r="C27" s="224" t="inlineStr">
        <is>
          <t>Fall 2026</t>
        </is>
      </c>
      <c r="D27" s="224" t="inlineStr">
        <is>
          <t>SimpleNursing</t>
        </is>
      </c>
      <c r="E27" s="225">
        <f>HYPERLINK("https://drive.google.com/file/d/1xFaaTKD3YFGBVm5VsXicl6YBJ9mGOSas/view","▶  Watch")</f>
        <v/>
      </c>
      <c r="F27" s="224" t="inlineStr">
        <is>
          <t>NUR258_Fall2026_SimpleNursing_Wk04_DayNA_Burns.mp4</t>
        </is>
      </c>
      <c r="G27" s="226" t="inlineStr">
        <is>
          <t>Burns · related: integument - burn care · filed under NUR 258 Module 4</t>
        </is>
      </c>
    </row>
    <row r="28" ht="15.75" customHeight="1" s="149">
      <c r="A28" s="217" t="inlineStr">
        <is>
          <t>Module 3</t>
        </is>
      </c>
      <c r="B28" s="218" t="n"/>
      <c r="C28" s="219" t="inlineStr">
        <is>
          <t>Fall 2026</t>
        </is>
      </c>
      <c r="D28" s="219" t="inlineStr">
        <is>
          <t>SimpleNursing</t>
        </is>
      </c>
      <c r="E28" s="220">
        <f>HYPERLINK("https://drive.google.com/file/d/1zBJOhufV67A7YHyBVERTD4j0H_PHS_a3/view","▶  Watch")</f>
        <v/>
      </c>
      <c r="F28" s="219" t="inlineStr">
        <is>
          <t>NUR235_Fall2026_SimpleNursing_Wk06_DayNA_Pediatric skin - acne, eczema, impetigo, lice, tinea.mp4</t>
        </is>
      </c>
      <c r="G28" s="221" t="inlineStr">
        <is>
          <t>Pediatric skin - acne, eczema, impetigo, lice, tinea · related: integument - impetigo, tinea, eczema (pediatric examples) · filed under NUR 235 Module 6</t>
        </is>
      </c>
    </row>
    <row r="29" ht="15.75" customHeight="1" s="149">
      <c r="A29" s="222" t="inlineStr">
        <is>
          <t>Module 4</t>
        </is>
      </c>
      <c r="B29" s="223" t="n"/>
      <c r="C29" s="224" t="inlineStr">
        <is>
          <t>Summer 2026</t>
        </is>
      </c>
      <c r="D29" s="224" t="inlineStr">
        <is>
          <t>Dr Clancey Sollis</t>
        </is>
      </c>
      <c r="E29" s="225">
        <f>HYPERLINK("https://drive.google.com/file/d/1VSvois9oNFYZNoHPhNKujLFLqc9afa52/view","▶  Watch")</f>
        <v/>
      </c>
      <c r="F29" s="224" t="inlineStr">
        <is>
          <t>NUR198_Summer2026_Dr-Clancey-Sollis_WkNA_DayNA_2026-06-13 Chrome - Zoom lecture rec 05-13.mp4</t>
        </is>
      </c>
      <c r="G29" s="226" t="inlineStr">
        <is>
          <t>2026-06-13 Chrome - Zoom lecture rec 05-13</t>
        </is>
      </c>
    </row>
    <row r="30" ht="15.75" customHeight="1" s="149">
      <c r="A30" s="217" t="inlineStr">
        <is>
          <t>Module 4</t>
        </is>
      </c>
      <c r="B30" s="218" t="n"/>
      <c r="C30" s="219" t="inlineStr">
        <is>
          <t>Summer 2026</t>
        </is>
      </c>
      <c r="D30" s="219" t="inlineStr">
        <is>
          <t>LSC</t>
        </is>
      </c>
      <c r="E30" s="220">
        <f>HYPERLINK("https://drive.google.com/file/d/1oa_08p75OYUqjItLw9sBlQz6icXEkkmv/view","▶  Watch")</f>
        <v/>
      </c>
      <c r="F30" s="219" t="inlineStr">
        <is>
          <t>NUR198_Summer2026_LSC_Wk04_DayNA_Module 4 - Gas Exchange (LSC exam prep, 12 May 2026, 19-01).mp4</t>
        </is>
      </c>
      <c r="G30" s="221" t="inlineStr">
        <is>
          <t>M4 · Exam prep · Gas Exchange · 19:01</t>
        </is>
      </c>
    </row>
    <row r="31" ht="15.75" customHeight="1" s="149">
      <c r="A31" s="222" t="inlineStr">
        <is>
          <t>Module 4</t>
        </is>
      </c>
      <c r="B31" s="223" t="n"/>
      <c r="C31" s="224" t="inlineStr">
        <is>
          <t>Summer 2026</t>
        </is>
      </c>
      <c r="D31" s="224" t="inlineStr">
        <is>
          <t>LSC</t>
        </is>
      </c>
      <c r="E31" s="225">
        <f>HYPERLINK("https://drive.google.com/file/d/1GNji87bZfT4J9D2GADKqry5HuZ-9Izp-/view","▶  Watch")</f>
        <v/>
      </c>
      <c r="F31" s="224" t="inlineStr">
        <is>
          <t>NUR198_Summer2026_LSC_Wk04_DayNA_Module 4 - Upper Respiratory Disorders and Conditions (LSC exam prep, 13 May 2026).mp4</t>
        </is>
      </c>
      <c r="G31" s="226" t="inlineStr">
        <is>
          <t>M4 · Exam prep · Upper Respiratory Disorders &amp; Conditions</t>
        </is>
      </c>
    </row>
    <row r="32" ht="15.75" customHeight="1" s="149">
      <c r="A32" s="217" t="inlineStr">
        <is>
          <t>Module 4</t>
        </is>
      </c>
      <c r="B32" s="218" t="n"/>
      <c r="C32" s="219" t="inlineStr">
        <is>
          <t>Summer 2026</t>
        </is>
      </c>
      <c r="D32" s="219" t="inlineStr">
        <is>
          <t>LSC</t>
        </is>
      </c>
      <c r="E32" s="220">
        <f>HYPERLINK("https://drive.google.com/file/d/1ZNf3rbcutoDDWBG84HVHrE_BzVoQ2fbP/view","▶  Watch")</f>
        <v/>
      </c>
      <c r="F32" s="219" t="inlineStr">
        <is>
          <t>NUR198_Summer2026_LSC_Wk04_DayNA_Upper Respiratory Disorders.mp4</t>
        </is>
      </c>
      <c r="G32" s="221" t="inlineStr">
        <is>
          <t>Upper Respiratory Disorders</t>
        </is>
      </c>
    </row>
    <row r="33" ht="15.75" customHeight="1" s="149">
      <c r="A33" s="222" t="inlineStr">
        <is>
          <t>Module 4</t>
        </is>
      </c>
      <c r="B33" s="223" t="n"/>
      <c r="C33" s="224" t="inlineStr">
        <is>
          <t>Summer 2026</t>
        </is>
      </c>
      <c r="D33" s="224" t="inlineStr">
        <is>
          <t>StudyHub</t>
        </is>
      </c>
      <c r="E33" s="225">
        <f>HYPERLINK("https://drive.google.com/file/d/1Yq_U-EvInhOPbHCFy4jb74k57g4rWHQY/view","▶  Watch")</f>
        <v/>
      </c>
      <c r="F33" s="224" t="inlineStr">
        <is>
          <t>NUR198_Summer2026_StudyHub_Wk04_DayNA_Respiratory Fundamentals.mp4</t>
        </is>
      </c>
      <c r="G33" s="226" t="inlineStr">
        <is>
          <t>Respiratory Fundamentals</t>
        </is>
      </c>
    </row>
    <row r="34" ht="15.75" customHeight="1" s="149">
      <c r="A34" s="217" t="inlineStr">
        <is>
          <t>Module 4</t>
        </is>
      </c>
      <c r="B34" s="218" t="n"/>
      <c r="C34" s="219" t="inlineStr">
        <is>
          <t>Summer 2026</t>
        </is>
      </c>
      <c r="D34" s="219" t="inlineStr">
        <is>
          <t>StudyHub</t>
        </is>
      </c>
      <c r="E34" s="220">
        <f>HYPERLINK("https://drive.google.com/file/d/1cwC3U1umxjgRLerPQ5Nb0uPm2NFsVlXq/view","▶  Watch")</f>
        <v/>
      </c>
      <c r="F34" s="219" t="inlineStr">
        <is>
          <t>NUR198_Summer2026_StudyHub_Wk04_DayNA_Respiratory Part 2.mp4</t>
        </is>
      </c>
      <c r="G34" s="221" t="inlineStr">
        <is>
          <t>Respiratory Part 2</t>
        </is>
      </c>
    </row>
    <row r="35" ht="15.75" customHeight="1" s="149">
      <c r="A35" s="222" t="inlineStr">
        <is>
          <t>Module 4</t>
        </is>
      </c>
      <c r="B35" s="223" t="n"/>
      <c r="C35" s="224" t="inlineStr">
        <is>
          <t>Summer 2026</t>
        </is>
      </c>
      <c r="D35" s="224" t="inlineStr">
        <is>
          <t>StudyHub</t>
        </is>
      </c>
      <c r="E35" s="225">
        <f>HYPERLINK("https://drive.google.com/file/d/1HRMnO4LPwoPHZVrx46ZucUh0mqmn2h1g/view","▶  Watch")</f>
        <v/>
      </c>
      <c r="F35" s="224" t="inlineStr">
        <is>
          <t>NUR198_Summer2026_StudyHub_Wk04_DayNA_The Airway Under Attack.mp4</t>
        </is>
      </c>
      <c r="G35" s="226" t="inlineStr">
        <is>
          <t>The Airway Under Attack</t>
        </is>
      </c>
    </row>
    <row r="36" ht="15.75" customHeight="1" s="149">
      <c r="A36" s="217" t="inlineStr">
        <is>
          <t>Module 4</t>
        </is>
      </c>
      <c r="B36" s="218" t="n"/>
      <c r="C36" s="219" t="inlineStr">
        <is>
          <t>Summer 2026</t>
        </is>
      </c>
      <c r="D36" s="219" t="inlineStr">
        <is>
          <t>Not named</t>
        </is>
      </c>
      <c r="E36" s="220">
        <f>HYPERLINK("https://drive.google.com/file/d/1rtTgENjaJdP5Xvo3rW0jTRw_CkqNHzMM/view","▶  Watch")</f>
        <v/>
      </c>
      <c r="F36" s="219" t="inlineStr">
        <is>
          <t>NUR198_Summer2026_Unknown_Wk04_DayNA_2026-06-13 Chrome - Gas Exchange audio only.mp4</t>
        </is>
      </c>
      <c r="G36" s="221" t="inlineStr">
        <is>
          <t>2026-06-13 Chrome - Gas Exchange audio only</t>
        </is>
      </c>
    </row>
    <row r="37" ht="15.75" customHeight="1" s="149">
      <c r="A37" s="222" t="inlineStr">
        <is>
          <t>Module 4</t>
        </is>
      </c>
      <c r="B37" s="223" t="n"/>
      <c r="C37" s="224" t="inlineStr">
        <is>
          <t>Summer 2026</t>
        </is>
      </c>
      <c r="D37" s="224" t="inlineStr">
        <is>
          <t>Not named</t>
        </is>
      </c>
      <c r="E37" s="225">
        <f>HYPERLINK("https://drive.google.com/file/d/1OL2t75R1bkyDhWEkVwQ5kwvbRE8Lc4OB/view","▶  Watch")</f>
        <v/>
      </c>
      <c r="F37" s="224" t="inlineStr">
        <is>
          <t>NUR198_Summer2026_Unknown_Wk04_DayNA_2026-06-13 Chrome - Gas Exchange Zoom lecture.mp4</t>
        </is>
      </c>
      <c r="G37" s="226" t="inlineStr">
        <is>
          <t>2026-06-13 Chrome - Gas Exchange Zoom lecture</t>
        </is>
      </c>
    </row>
    <row r="38" ht="15.75" customHeight="1" s="149">
      <c r="A38" s="217" t="inlineStr">
        <is>
          <t>Module 4</t>
        </is>
      </c>
      <c r="B38" s="218" t="n"/>
      <c r="C38" s="219" t="inlineStr">
        <is>
          <t>Summer 2026</t>
        </is>
      </c>
      <c r="D38" s="219" t="inlineStr">
        <is>
          <t>Not named</t>
        </is>
      </c>
      <c r="E38" s="220">
        <f>HYPERLINK("https://drive.google.com/file/d/1O-CS_m_xe-V1sG0TdpgABNwiWmLthP9F/view","▶  Watch")</f>
        <v/>
      </c>
      <c r="F38" s="219" t="inlineStr">
        <is>
          <t>NUR198_Summer2026_Unknown_WkNA_DayNA_2026-06-13 Chrome - Zoom lecture audio only screen off.mp4</t>
        </is>
      </c>
      <c r="G38" s="221" t="inlineStr">
        <is>
          <t>2026-06-13 Chrome - Zoom lecture audio only screen off</t>
        </is>
      </c>
    </row>
    <row r="39" ht="15.75" customHeight="1" s="149">
      <c r="A39" s="222" t="inlineStr">
        <is>
          <t>Module 4</t>
        </is>
      </c>
      <c r="B39" s="223" t="inlineStr">
        <is>
          <t>Day 1</t>
        </is>
      </c>
      <c r="C39" s="224" t="inlineStr">
        <is>
          <t>Summer 2026</t>
        </is>
      </c>
      <c r="D39" s="224" t="inlineStr">
        <is>
          <t>Wagner</t>
        </is>
      </c>
      <c r="E39" s="225">
        <f>HYPERLINK("https://drive.google.com/file/d/18haJ0ByxHCL8kdFYuHuK3Mx_pQQ_qT42/view","▶  Watch")</f>
        <v/>
      </c>
      <c r="F39" s="224" t="inlineStr">
        <is>
          <t>NUR198_Summer2026_Wagner_Wk04_Day1_Respiratory I.mp4</t>
        </is>
      </c>
      <c r="G39" s="226" t="inlineStr">
        <is>
          <t>Day 1 · Respiratory I</t>
        </is>
      </c>
    </row>
    <row r="40" ht="15.75" customHeight="1" s="149">
      <c r="A40" s="217" t="inlineStr">
        <is>
          <t>Module 4</t>
        </is>
      </c>
      <c r="B40" s="218" t="inlineStr">
        <is>
          <t>Day 2</t>
        </is>
      </c>
      <c r="C40" s="219" t="inlineStr">
        <is>
          <t>Summer 2026</t>
        </is>
      </c>
      <c r="D40" s="219" t="inlineStr">
        <is>
          <t>Wagner</t>
        </is>
      </c>
      <c r="E40" s="220">
        <f>HYPERLINK("https://drive.google.com/file/d/13uc4DwXgEEhw5LWXoJd2xwHwWHHQvkXL/view","▶  Watch")</f>
        <v/>
      </c>
      <c r="F40" s="219" t="inlineStr">
        <is>
          <t>NUR198_Summer2026_Wagner_Wk04_Day2_Respiratory I.mp4</t>
        </is>
      </c>
      <c r="G40" s="221" t="inlineStr">
        <is>
          <t>Day 2 · Respiratory I</t>
        </is>
      </c>
    </row>
    <row r="41" ht="15.75" customHeight="1" s="149">
      <c r="A41" s="222" t="inlineStr">
        <is>
          <t>Module 5</t>
        </is>
      </c>
      <c r="B41" s="223" t="inlineStr">
        <is>
          <t>Day 1</t>
        </is>
      </c>
      <c r="C41" s="224" t="inlineStr">
        <is>
          <t>Summer 2026</t>
        </is>
      </c>
      <c r="D41" s="224" t="inlineStr">
        <is>
          <t>Newingham</t>
        </is>
      </c>
      <c r="E41" s="225">
        <f>HYPERLINK("https://drive.google.com/file/d/1wspyHcbJU6aoVWY7Cy1b1P2uRB-dQtb9/view","▶  Watch")</f>
        <v/>
      </c>
      <c r="F41" s="224" t="inlineStr">
        <is>
          <t>NUR198_Summer2026_Newingham_Wk05_Day1_Respiratory II.mp4</t>
        </is>
      </c>
      <c r="G41" s="226" t="inlineStr">
        <is>
          <t>Day 1 · Respiratory II</t>
        </is>
      </c>
    </row>
    <row r="42" ht="15.75" customHeight="1" s="149">
      <c r="A42" s="217" t="inlineStr">
        <is>
          <t>Module 5</t>
        </is>
      </c>
      <c r="B42" s="218" t="inlineStr">
        <is>
          <t>Day 2</t>
        </is>
      </c>
      <c r="C42" s="219" t="inlineStr">
        <is>
          <t>Summer 2026</t>
        </is>
      </c>
      <c r="D42" s="219" t="inlineStr">
        <is>
          <t>Newingham</t>
        </is>
      </c>
      <c r="E42" s="220">
        <f>HYPERLINK("https://drive.google.com/file/d/1B8cL_ndT0HlGv8TAhDlnc4OVyIL41DHn/view","▶  Watch")</f>
        <v/>
      </c>
      <c r="F42" s="219" t="inlineStr">
        <is>
          <t>NUR198_Summer2026_Newingham_Wk05_Day2_Respiratory II.mp4</t>
        </is>
      </c>
      <c r="G42" s="221" t="inlineStr">
        <is>
          <t>Day 2 · Respiratory II</t>
        </is>
      </c>
    </row>
    <row r="43" ht="15.75" customHeight="1" s="149">
      <c r="A43" s="222" t="inlineStr">
        <is>
          <t>Module 5</t>
        </is>
      </c>
      <c r="B43" s="223" t="n"/>
      <c r="C43" s="224" t="inlineStr">
        <is>
          <t>Summer 2026</t>
        </is>
      </c>
      <c r="D43" s="224" t="inlineStr">
        <is>
          <t>Not named</t>
        </is>
      </c>
      <c r="E43" s="225">
        <f>HYPERLINK("https://drive.google.com/file/d/13ho5vJ7yScpK5ieCBcXmK7MS45l_WHcz/view","▶  Watch")</f>
        <v/>
      </c>
      <c r="F43" s="224" t="inlineStr">
        <is>
          <t>NUR198_Summer2026_Unknown_Wk04_DayNA_2026-06-13 Chrome - Lower Respiratory Disorders Zoom lecture.mp4</t>
        </is>
      </c>
      <c r="G43" s="226" t="inlineStr">
        <is>
          <t>2026-06-13 Chrome - Lower Respiratory Disorders Zoom lecture</t>
        </is>
      </c>
    </row>
    <row r="44" ht="15.75" customHeight="1" s="149">
      <c r="A44" s="217" t="inlineStr">
        <is>
          <t>Module 5</t>
        </is>
      </c>
      <c r="B44" s="218" t="inlineStr">
        <is>
          <t>Day 2</t>
        </is>
      </c>
      <c r="C44" s="219" t="inlineStr">
        <is>
          <t>Summer 2026</t>
        </is>
      </c>
      <c r="D44" s="219" t="inlineStr">
        <is>
          <t>Wagner</t>
        </is>
      </c>
      <c r="E44" s="220">
        <f>HYPERLINK("https://drive.google.com/file/d/1TQbvaWlukFDH2JAT_p5bHUIS9uNbdYwx/view","▶  Watch")</f>
        <v/>
      </c>
      <c r="F44" s="219" t="inlineStr">
        <is>
          <t>NUR198_Summer2026_Wagner_Wk05_Day2_Respiratory II.mp4</t>
        </is>
      </c>
      <c r="G44" s="221" t="inlineStr">
        <is>
          <t>Day 2 · Respiratory II</t>
        </is>
      </c>
    </row>
    <row r="45" ht="15.75" customHeight="1" s="149">
      <c r="A45" s="222" t="inlineStr">
        <is>
          <t>Module 5</t>
        </is>
      </c>
      <c r="B45" s="223" t="n"/>
      <c r="C45" s="224" t="inlineStr">
        <is>
          <t>Fall 2026</t>
        </is>
      </c>
      <c r="D45" s="224" t="inlineStr">
        <is>
          <t>SimpleNursing</t>
        </is>
      </c>
      <c r="E45" s="225">
        <f>HYPERLINK("https://drive.google.com/file/d/1LPzU5sI1ldTy5n1rFyHCgX171oL_bBFI/view","▶  Watch")</f>
        <v/>
      </c>
      <c r="F45" s="224" t="inlineStr">
        <is>
          <t>NUR258_Fall2026_SimpleNursing_Wk03_DayNA_Immunology - anaphylactic shock, HIV, lupus, RA, TB, scleroderma.mp4</t>
        </is>
      </c>
      <c r="G45" s="226" t="inlineStr">
        <is>
          <t>Immunology - anaphylactic shock, HIV, lupus, RA, TB, scleroderma · related: includes tuberculosis · filed under NUR 258 Module 2</t>
        </is>
      </c>
    </row>
    <row r="46" ht="15.75" customHeight="1" s="149">
      <c r="A46" s="217" t="inlineStr">
        <is>
          <t>Module 6</t>
        </is>
      </c>
      <c r="B46" s="218" t="n"/>
      <c r="C46" s="219" t="inlineStr">
        <is>
          <t>Summer 2026</t>
        </is>
      </c>
      <c r="D46" s="219" t="inlineStr">
        <is>
          <t>Not named</t>
        </is>
      </c>
      <c r="E46" s="220">
        <f>HYPERLINK("https://drive.google.com/file/d/10PEsg4ZrH8Z6KMkD7yTY4kYI3ECd0nPm/view","▶  Watch")</f>
        <v/>
      </c>
      <c r="F46" s="219" t="inlineStr">
        <is>
          <t>NUR198_Summer2026_Unknown_Wk04_DayNA_2026-06-13 Chrome - Chronic Respiratory Disorders Zoom lecture.mp4</t>
        </is>
      </c>
      <c r="G46" s="227" t="inlineStr">
        <is>
          <t>2026-06-13 Chrome - Chronic Respiratory Disorders Zoom lecture</t>
        </is>
      </c>
    </row>
    <row r="47" ht="15.75" customHeight="1" s="149">
      <c r="A47" s="222" t="inlineStr">
        <is>
          <t>Module 6</t>
        </is>
      </c>
      <c r="B47" s="223" t="n"/>
      <c r="C47" s="224" t="inlineStr">
        <is>
          <t>Summer 2026</t>
        </is>
      </c>
      <c r="D47" s="224" t="inlineStr">
        <is>
          <t>Not named</t>
        </is>
      </c>
      <c r="E47" s="225">
        <f>HYPERLINK("https://drive.google.com/file/d/1kZztkYeTu1tWXOWOtkID9VsyRUmhFiBj/view","▶  Watch")</f>
        <v/>
      </c>
      <c r="F47" s="224" t="inlineStr">
        <is>
          <t>NUR198_Summer2026_Unknown_Wk04_DayNA_2026-06-13 Chrome - Lung Cancer Zoom lecture.mp4</t>
        </is>
      </c>
      <c r="G47" s="226" t="inlineStr">
        <is>
          <t>2026-06-13 Chrome - Lung Cancer Zoom lecture</t>
        </is>
      </c>
    </row>
    <row r="48" ht="15.75" customHeight="1" s="149">
      <c r="A48" s="217" t="inlineStr">
        <is>
          <t>Module 6</t>
        </is>
      </c>
      <c r="B48" s="218" t="n"/>
      <c r="C48" s="219" t="inlineStr">
        <is>
          <t>Summer 2026</t>
        </is>
      </c>
      <c r="D48" s="219" t="inlineStr">
        <is>
          <t>Not named</t>
        </is>
      </c>
      <c r="E48" s="220">
        <f>HYPERLINK("https://drive.google.com/file/d/1ot2yywoofOw5hCp9qdxJpAQ70tO2zznI/view","▶  Watch")</f>
        <v/>
      </c>
      <c r="F48" s="219" t="inlineStr">
        <is>
          <t>NUR198_Summer2026_Unknown_Wk04_DayNA_2026-06-13 Chrome - Pulmonary Vascular Disorders Zoom recording.mp4</t>
        </is>
      </c>
      <c r="G48" s="221" t="inlineStr">
        <is>
          <t>2026-06-13 Chrome - Pulmonary Vascular Disorders Zoom recording</t>
        </is>
      </c>
    </row>
    <row r="49" ht="15.75" customHeight="1" s="149">
      <c r="A49" s="222" t="inlineStr">
        <is>
          <t>Module 6</t>
        </is>
      </c>
      <c r="B49" s="223" t="n"/>
      <c r="C49" s="224" t="inlineStr">
        <is>
          <t>Summer 2026</t>
        </is>
      </c>
      <c r="D49" s="224" t="inlineStr">
        <is>
          <t>Not named</t>
        </is>
      </c>
      <c r="E49" s="225">
        <f>HYPERLINK("https://drive.google.com/file/d/1RQw6FYd3DardGd9Qk9y6KQnZtxG_RgzF/view","▶  Watch")</f>
        <v/>
      </c>
      <c r="F49" s="224" t="inlineStr">
        <is>
          <t>NUR198_Summer2026_Unknown_Wk07_DayNA_Screen recording 2026-06-16 10h49.mp4</t>
        </is>
      </c>
      <c r="G49" s="226" t="inlineStr">
        <is>
          <t>Screen recording 2026-06-16 10h49</t>
        </is>
      </c>
    </row>
    <row r="50" ht="15.75" customHeight="1" s="149">
      <c r="A50" s="217" t="inlineStr">
        <is>
          <t>Module 6</t>
        </is>
      </c>
      <c r="B50" s="218" t="inlineStr">
        <is>
          <t>Day 1</t>
        </is>
      </c>
      <c r="C50" s="219" t="inlineStr">
        <is>
          <t>Summer 2026</t>
        </is>
      </c>
      <c r="D50" s="219" t="inlineStr">
        <is>
          <t>Wagner</t>
        </is>
      </c>
      <c r="E50" s="220">
        <f>HYPERLINK("https://drive.google.com/file/d/1i_uDDylLv3VFPCSsx6sqpJpaLHv-g8aF/view","▶  Watch")</f>
        <v/>
      </c>
      <c r="F50" s="219" t="inlineStr">
        <is>
          <t>NUR198_Summer2026_Wagner_Wk06_Day1_Respiratory III.mp4</t>
        </is>
      </c>
      <c r="G50" s="221" t="inlineStr">
        <is>
          <t>Day 1 · Respiratory III</t>
        </is>
      </c>
    </row>
    <row r="51" ht="15.75" customHeight="1" s="149">
      <c r="A51" s="222" t="inlineStr">
        <is>
          <t>Module 6</t>
        </is>
      </c>
      <c r="B51" s="223" t="inlineStr">
        <is>
          <t>Day 2</t>
        </is>
      </c>
      <c r="C51" s="224" t="inlineStr">
        <is>
          <t>Summer 2026</t>
        </is>
      </c>
      <c r="D51" s="224" t="inlineStr">
        <is>
          <t>Wagner</t>
        </is>
      </c>
      <c r="E51" s="228">
        <f>HYPERLINK("https://drive.google.com/file/d/1pySCgF6XI4BUT6j84asSeumLe-WhIc9I/view","▶  Watch")</f>
        <v/>
      </c>
      <c r="F51" s="224" t="inlineStr">
        <is>
          <t>NUR198_Summer2026_Wagner_Wk06_Day2_Respiratory III.mp4</t>
        </is>
      </c>
      <c r="G51" s="226" t="inlineStr">
        <is>
          <t>Day 2 · Respiratory III</t>
        </is>
      </c>
    </row>
    <row r="52" ht="15.75" customHeight="1" s="149">
      <c r="A52" s="217" t="inlineStr">
        <is>
          <t>Module 6</t>
        </is>
      </c>
      <c r="B52" s="218" t="n"/>
      <c r="C52" s="219" t="inlineStr">
        <is>
          <t>Summer 2026</t>
        </is>
      </c>
      <c r="D52" s="219" t="inlineStr">
        <is>
          <t>Wagner</t>
        </is>
      </c>
      <c r="E52" s="220">
        <f>HYPERLINK("https://drive.google.com/file/d/1SICyJRvwe1kJthc0VFIMTEJx0dDykXRN/view","▶  Watch")</f>
        <v/>
      </c>
      <c r="F52" s="219" t="inlineStr">
        <is>
          <t>NUR198_Summer2026_Wagner_Wk06_DayNA_Respiratory III.mp4</t>
        </is>
      </c>
      <c r="G52" s="221" t="inlineStr">
        <is>
          <t>Respiratory III</t>
        </is>
      </c>
    </row>
    <row r="53" ht="15.75" customHeight="1" s="149">
      <c r="A53" s="222" t="inlineStr">
        <is>
          <t>Module 7</t>
        </is>
      </c>
      <c r="B53" s="223" t="n"/>
      <c r="C53" s="224" t="inlineStr">
        <is>
          <t>Summer 2026</t>
        </is>
      </c>
      <c r="D53" s="224" t="inlineStr">
        <is>
          <t>LevelUpRN</t>
        </is>
      </c>
      <c r="E53" s="228">
        <f>HYPERLINK("https://drive.google.com/file/d/1fzZLQUe-vOsLN5GUM-nyv3RGm_Hn4Hzq/view","▶  Watch")</f>
        <v/>
      </c>
      <c r="F53" s="224" t="inlineStr">
        <is>
          <t>NUR198_Summer2026_LevelUpRN_Wk07_DayNA_2026-06-18 Chrome - Cardiovascular System Introduction YouTube.mp4</t>
        </is>
      </c>
      <c r="G53" s="226" t="inlineStr">
        <is>
          <t>2026-06-18 Chrome - Cardiovascular System Introduction YouTube</t>
        </is>
      </c>
    </row>
    <row r="54" ht="15.75" customHeight="1" s="149">
      <c r="A54" s="217" t="inlineStr">
        <is>
          <t>Module 7</t>
        </is>
      </c>
      <c r="B54" s="218" t="n"/>
      <c r="C54" s="219" t="inlineStr">
        <is>
          <t>Summer 2026</t>
        </is>
      </c>
      <c r="D54" s="219" t="inlineStr">
        <is>
          <t>Not named</t>
        </is>
      </c>
      <c r="E54" s="220">
        <f>HYPERLINK("https://drive.google.com/file/d/1-pTwDQTtOimuSBu7thQRXWKsKm29k431/view","▶  Watch")</f>
        <v/>
      </c>
      <c r="F54" s="219" t="inlineStr">
        <is>
          <t>NUR198_Summer2026_Unknown_Wk07_DayNA_2026-06-19 Chrome - Cardiac labs and tests lecture.mp4</t>
        </is>
      </c>
      <c r="G54" s="221" t="inlineStr">
        <is>
          <t>2026-06-19 Chrome - Cardiac labs and tests lecture</t>
        </is>
      </c>
    </row>
    <row r="55" ht="15.75" customHeight="1" s="149">
      <c r="A55" s="222" t="inlineStr">
        <is>
          <t>Module 7</t>
        </is>
      </c>
      <c r="B55" s="223" t="n"/>
      <c r="C55" s="224" t="inlineStr">
        <is>
          <t>Summer 2026</t>
        </is>
      </c>
      <c r="D55" s="224" t="inlineStr">
        <is>
          <t>Not named</t>
        </is>
      </c>
      <c r="E55" s="228">
        <f>HYPERLINK("https://drive.google.com/file/d/1OF2uBP48XEpzAW1kvYD87fqiCzoVY4ug/view","▶  Watch")</f>
        <v/>
      </c>
      <c r="F55" s="224" t="inlineStr">
        <is>
          <t>NUR198_Summer2026_Unknown_Wk07_DayNA_Screen recording 2026-06-16 09h59.mp4</t>
        </is>
      </c>
      <c r="G55" s="226" t="inlineStr">
        <is>
          <t>Screen recording 2026-06-16 09h59</t>
        </is>
      </c>
    </row>
    <row r="56" ht="15.75" customHeight="1" s="149">
      <c r="A56" s="217" t="inlineStr">
        <is>
          <t>Module 7</t>
        </is>
      </c>
      <c r="B56" s="218" t="n"/>
      <c r="C56" s="219" t="inlineStr">
        <is>
          <t>Summer 2026</t>
        </is>
      </c>
      <c r="D56" s="219" t="inlineStr">
        <is>
          <t>Not named</t>
        </is>
      </c>
      <c r="E56" s="220">
        <f>HYPERLINK("https://drive.google.com/file/d/1dxl3BJo_-quI5mzBoPESCCQeEtFL0Gkj/view","▶  Watch")</f>
        <v/>
      </c>
      <c r="F56" s="219" t="inlineStr">
        <is>
          <t>NUR198_Summer2026_Unknown_Wk07_DayNA_Screen recording 2026-06-19 00h16.mp4</t>
        </is>
      </c>
      <c r="G56" s="221" t="inlineStr">
        <is>
          <t>Screen recording 2026-06-19 00h16</t>
        </is>
      </c>
    </row>
    <row r="57" ht="15.75" customHeight="1" s="149">
      <c r="A57" s="222" t="inlineStr">
        <is>
          <t>Module 7</t>
        </is>
      </c>
      <c r="B57" s="223" t="n"/>
      <c r="C57" s="224" t="inlineStr">
        <is>
          <t>Summer 2026</t>
        </is>
      </c>
      <c r="D57" s="224" t="inlineStr">
        <is>
          <t>Dr Greg</t>
        </is>
      </c>
      <c r="E57" s="228">
        <f>HYPERLINK("https://drive.google.com/file/d/1HKOBL8J2hNn1KsdlQXTBVFfFyR_R1Jzt/view","▶  Watch")</f>
        <v/>
      </c>
      <c r="F57" s="224" t="inlineStr">
        <is>
          <t>NUR198_Summer2026_Dr-Greg_Wk07_DayNA_2026-06-14 Chrome - Hypertension Zoom lecture.mp4</t>
        </is>
      </c>
      <c r="G57" s="226" t="inlineStr">
        <is>
          <t>2026-06-14 Chrome - Hypertension Zoom lecture</t>
        </is>
      </c>
    </row>
    <row r="58" ht="15.75" customHeight="1" s="149">
      <c r="A58" s="217" t="inlineStr">
        <is>
          <t>Module 8</t>
        </is>
      </c>
      <c r="B58" s="218" t="n"/>
      <c r="C58" s="219" t="inlineStr">
        <is>
          <t>Summer 2026</t>
        </is>
      </c>
      <c r="D58" s="219" t="inlineStr">
        <is>
          <t>Cory Meyer</t>
        </is>
      </c>
      <c r="E58" s="220">
        <f>HYPERLINK("https://drive.google.com/file/d/1WH0aQydvO8PNZI_gITvrrwYAglusRTc_/view","▶  Watch")</f>
        <v/>
      </c>
      <c r="F58" s="219" t="inlineStr">
        <is>
          <t>NUR198_Summer2026_Cory-Meyer_Wk07_DayNA_2026-06-21 Chrome - Practice questions review - pharm cardiac vascular.mp4</t>
        </is>
      </c>
      <c r="G58" s="221" t="inlineStr">
        <is>
          <t>2026-06-21 Chrome - Practice questions review - pharm cardiac vascular</t>
        </is>
      </c>
    </row>
    <row r="59" ht="15.75" customHeight="1" s="149">
      <c r="A59" s="222" t="inlineStr">
        <is>
          <t>Module 8</t>
        </is>
      </c>
      <c r="B59" s="223" t="n"/>
      <c r="C59" s="224" t="inlineStr">
        <is>
          <t>Summer 2026</t>
        </is>
      </c>
      <c r="D59" s="224" t="inlineStr">
        <is>
          <t>Dr Clancey Sollis</t>
        </is>
      </c>
      <c r="E59" s="228">
        <f>HYPERLINK("https://drive.google.com/file/d/1X4RSWz8mlvfP72akcUWkNJ5DPhlCzgHX/view","▶  Watch")</f>
        <v/>
      </c>
      <c r="F59" s="224" t="inlineStr">
        <is>
          <t>NUR198_Summer2026_Dr-Clancey-Sollis_Wk07_DayNA_2026-06-21 Chrome - Heart Failure Zoom lecture.mp4</t>
        </is>
      </c>
      <c r="G59" s="226" t="inlineStr">
        <is>
          <t>2026-06-21 Chrome - Heart Failure Zoom lecture</t>
        </is>
      </c>
    </row>
    <row r="60" ht="15.75" customHeight="1" s="149">
      <c r="A60" s="217" t="inlineStr">
        <is>
          <t>Module 9</t>
        </is>
      </c>
      <c r="B60" s="218" t="n"/>
      <c r="C60" s="219" t="inlineStr">
        <is>
          <t>Summer 2026</t>
        </is>
      </c>
      <c r="D60" s="219" t="inlineStr">
        <is>
          <t>Dr Clancey Sollis + Dr Greg</t>
        </is>
      </c>
      <c r="E60" s="220">
        <f>HYPERLINK("https://drive.google.com/file/d/12n_z-PNGwS16Xn2J4wZbsBS7FiHvKmfE/view","▶  Watch")</f>
        <v/>
      </c>
      <c r="F60" s="219" t="inlineStr">
        <is>
          <t>NUR198_Summer2026_Dr-Clancey-Sollis+Dr-Greg_Wk09_DayNA_Exam Prep - Renal &amp; Urinary Disorders - 2026-07-03.mp4</t>
        </is>
      </c>
      <c r="G60" s="221" t="inlineStr">
        <is>
          <t>Exam Prep - Renal &amp; Urinary Disorders - 2026-07-03</t>
        </is>
      </c>
    </row>
    <row r="61" ht="15.75" customHeight="1" s="149">
      <c r="A61" s="222" t="inlineStr">
        <is>
          <t>Module 9</t>
        </is>
      </c>
      <c r="B61" s="223" t="n"/>
      <c r="C61" s="224" t="inlineStr">
        <is>
          <t>Summer 2026</t>
        </is>
      </c>
      <c r="D61" s="224" t="inlineStr">
        <is>
          <t>Karaguesian</t>
        </is>
      </c>
      <c r="E61" s="228">
        <f>HYPERLINK("https://drive.google.com/file/d/1w0bHibokxnxPYUEzYEHO79HEZnhIM8oG/view","▶  Watch")</f>
        <v/>
      </c>
      <c r="F61" s="224" t="inlineStr">
        <is>
          <t>NUR198_Summer2026_Karaguesian_Wk09_DayNA_LSC exam prep - Renal and Urinary Disorders - CKD, renal colic, peritonitis.mp4</t>
        </is>
      </c>
      <c r="G61" s="226" t="inlineStr">
        <is>
          <t>Exam prep · Renal and urinary disorders · CKD, renal colic, peritonitis</t>
        </is>
      </c>
    </row>
    <row r="62" ht="15.75" customHeight="1" s="149">
      <c r="A62" s="217" t="inlineStr">
        <is>
          <t>Module 9</t>
        </is>
      </c>
      <c r="B62" s="218" t="n"/>
      <c r="C62" s="219" t="n"/>
      <c r="D62" s="219" t="inlineStr">
        <is>
          <t>SimpleNursing</t>
        </is>
      </c>
      <c r="E62" s="220">
        <f>HYPERLINK("https://drive.google.com/file/d/1gILr5q198xazdBSQQ_m4X6goyg9RUsDf/view","▶  Watch")</f>
        <v/>
      </c>
      <c r="F62" s="219" t="inlineStr">
        <is>
          <t>NUR198_Summer2026_SimpleNursing_Wk09-10_DayNA_Modules 9 and 10 (2).mp4</t>
        </is>
      </c>
      <c r="G62" s="221" t="inlineStr">
        <is>
          <t>Modules 9 and 10 (2)</t>
        </is>
      </c>
    </row>
    <row r="63" ht="15.75" customHeight="1" s="149">
      <c r="A63" s="222" t="inlineStr">
        <is>
          <t>Module 9</t>
        </is>
      </c>
      <c r="B63" s="223" t="n"/>
      <c r="C63" s="224" t="n"/>
      <c r="D63" s="224" t="inlineStr">
        <is>
          <t>SimpleNursing</t>
        </is>
      </c>
      <c r="E63" s="228">
        <f>HYPERLINK("https://drive.google.com/file/d/17ppc8UPWVGRPwcDKuzK9Yn1LccG87795/view","▶  Watch")</f>
        <v/>
      </c>
      <c r="F63" s="224" t="inlineStr">
        <is>
          <t>NUR198_Summer2026_SimpleNursing_Wk09-10_DayNA_Modules 9 and 10.mp4</t>
        </is>
      </c>
      <c r="G63" s="226" t="inlineStr">
        <is>
          <t>Modules 9 and 10</t>
        </is>
      </c>
    </row>
    <row r="64" ht="15.75" customHeight="1" s="149">
      <c r="A64" s="217" t="inlineStr">
        <is>
          <t>Module 9</t>
        </is>
      </c>
      <c r="B64" s="218" t="n"/>
      <c r="C64" s="219" t="inlineStr">
        <is>
          <t>Summer 2026</t>
        </is>
      </c>
      <c r="D64" s="219" t="inlineStr">
        <is>
          <t>SimpleNursing</t>
        </is>
      </c>
      <c r="E64" s="220">
        <f>HYPERLINK("https://drive.google.com/file/d/1JAA1oQgUSK4b51Ld6ZZ6bYoZMtAgI84X/view","▶  Watch")</f>
        <v/>
      </c>
      <c r="F64" s="219" t="inlineStr">
        <is>
          <t>NUR198_Summer2026_SimpleNursing_Wk09_DayNA_Renal &amp; Urinary Disorders Review - CKD, Dialysis, Incontinence - 2026-07-02.mp4</t>
        </is>
      </c>
      <c r="G64" s="221" t="inlineStr">
        <is>
          <t>Renal &amp; Urinary Disorders Review - CKD, Dialysis, Incontinence - 2026-07-02</t>
        </is>
      </c>
    </row>
    <row r="65" ht="15.75" customHeight="1" s="149">
      <c r="A65" s="222" t="inlineStr">
        <is>
          <t>Module 9</t>
        </is>
      </c>
      <c r="B65" s="223" t="n"/>
      <c r="C65" s="224" t="inlineStr">
        <is>
          <t>Summer 2026</t>
        </is>
      </c>
      <c r="D65" s="224" t="inlineStr">
        <is>
          <t>SimpleNursing</t>
        </is>
      </c>
      <c r="E65" s="228">
        <f>HYPERLINK("https://drive.google.com/file/d/1dTptKjNsMpYHy05yc3kzqYs72cVgepP5/view","▶  Watch")</f>
        <v/>
      </c>
      <c r="F65" s="224" t="inlineStr">
        <is>
          <t>NUR198_Summer2026_SimpleNursing_Wk09_DayNA_Renal Anatomy &amp; Physiology - 2026-07-02.mp4</t>
        </is>
      </c>
      <c r="G65" s="226" t="inlineStr">
        <is>
          <t>Renal Anatomy &amp; Physiology - 2026-07-02</t>
        </is>
      </c>
    </row>
    <row r="66" ht="15.75" customHeight="1" s="149">
      <c r="A66" s="217" t="inlineStr">
        <is>
          <t>Module 9</t>
        </is>
      </c>
      <c r="B66" s="218" t="n"/>
      <c r="C66" s="219" t="inlineStr">
        <is>
          <t>Summer 2026</t>
        </is>
      </c>
      <c r="D66" s="219" t="inlineStr">
        <is>
          <t>SimpleNursing</t>
        </is>
      </c>
      <c r="E66" s="220">
        <f>HYPERLINK("https://drive.google.com/file/d/1FbtKwpYrBCIQzsOVUcte6RFPMLfTZIrk/view","▶  Watch")</f>
        <v/>
      </c>
      <c r="F66" s="219" t="inlineStr">
        <is>
          <t>NUR198_Summer2026_SimpleNursing_Wk09_DayNA_Renal Failure Acute vs Chronic.mp4</t>
        </is>
      </c>
      <c r="G66" s="221" t="inlineStr">
        <is>
          <t>Renal Failure Acute vs Chronic</t>
        </is>
      </c>
    </row>
    <row r="67" ht="15.75" customHeight="1" s="149">
      <c r="A67" s="222" t="inlineStr">
        <is>
          <t>Module 9</t>
        </is>
      </c>
      <c r="B67" s="223" t="n"/>
      <c r="C67" s="224" t="inlineStr">
        <is>
          <t>Summer 2026</t>
        </is>
      </c>
      <c r="D67" s="224" t="inlineStr">
        <is>
          <t>SimpleNursing</t>
        </is>
      </c>
      <c r="E67" s="228">
        <f>HYPERLINK("https://drive.google.com/file/d/1_eL23c8NMwJL_XKWWG8LFHL6rZtYjvm9/view","▶  Watch")</f>
        <v/>
      </c>
      <c r="F67" s="224" t="inlineStr">
        <is>
          <t>NUR198_Summer2026_SimpleNursing_Wk09_DayNA_Renal Failure.mp4</t>
        </is>
      </c>
      <c r="G67" s="226" t="inlineStr">
        <is>
          <t>Renal Failure</t>
        </is>
      </c>
    </row>
    <row r="68" ht="15.75" customHeight="1" s="149">
      <c r="A68" s="217" t="inlineStr">
        <is>
          <t>Module 9</t>
        </is>
      </c>
      <c r="B68" s="218" t="n"/>
      <c r="C68" s="219" t="inlineStr">
        <is>
          <t>Summer 2026</t>
        </is>
      </c>
      <c r="D68" s="219" t="inlineStr">
        <is>
          <t>SimpleNursing</t>
        </is>
      </c>
      <c r="E68" s="220">
        <f>HYPERLINK("https://drive.google.com/file/d/1_qsIBb8NQ4PUxMq1uwpUEXai_vk8roWy/view","▶  Watch")</f>
        <v/>
      </c>
      <c r="F68" s="219" t="inlineStr">
        <is>
          <t>NUR198_Summer2026_SimpleNursing_Wk09_DayNA_Renal Lab Values.mp4</t>
        </is>
      </c>
      <c r="G68" s="221" t="inlineStr">
        <is>
          <t>Renal Lab Values</t>
        </is>
      </c>
    </row>
    <row r="69" ht="15.75" customHeight="1" s="149">
      <c r="A69" s="222" t="inlineStr">
        <is>
          <t>Module 9</t>
        </is>
      </c>
      <c r="B69" s="223" t="n"/>
      <c r="C69" s="224" t="inlineStr">
        <is>
          <t>Summer 2026</t>
        </is>
      </c>
      <c r="D69" s="224" t="inlineStr">
        <is>
          <t>StudyHub</t>
        </is>
      </c>
      <c r="E69" s="228">
        <f>HYPERLINK("https://drive.google.com/file/d/1sxYKnwPk6WM6FXvXPMvp2yuG99FTyZzN/view","▶  Watch")</f>
        <v/>
      </c>
      <c r="F69" s="224" t="inlineStr">
        <is>
          <t>NUR198_Summer2026_StudyHub_Wk09_DayNA_Cascade of Failure.mp4</t>
        </is>
      </c>
      <c r="G69" s="226" t="inlineStr">
        <is>
          <t>Cascade of Failure</t>
        </is>
      </c>
    </row>
    <row r="70" ht="15.75" customHeight="1" s="149">
      <c r="A70" s="217" t="inlineStr">
        <is>
          <t>Module 9</t>
        </is>
      </c>
      <c r="B70" s="218" t="n"/>
      <c r="C70" s="219" t="inlineStr">
        <is>
          <t>Summer 2026</t>
        </is>
      </c>
      <c r="D70" s="219" t="inlineStr">
        <is>
          <t>StudyHub</t>
        </is>
      </c>
      <c r="E70" s="220">
        <f>HYPERLINK("https://drive.google.com/file/d/1vALPps7BuA4cIbLMk8ZlNXVywNd1UA0T/view","▶  Watch")</f>
        <v/>
      </c>
      <c r="F70" s="219" t="inlineStr">
        <is>
          <t>NUR198_Summer2026_StudyHub_Wk09_DayNA_Renal Detective Masterclass.mp4</t>
        </is>
      </c>
      <c r="G70" s="221" t="inlineStr">
        <is>
          <t>Renal Detective Masterclass</t>
        </is>
      </c>
    </row>
    <row r="71" ht="15.75" customHeight="1" s="149">
      <c r="A71" s="222" t="inlineStr">
        <is>
          <t>Module 9</t>
        </is>
      </c>
      <c r="B71" s="223" t="n"/>
      <c r="C71" s="224" t="inlineStr">
        <is>
          <t>Summer 2026</t>
        </is>
      </c>
      <c r="D71" s="224" t="inlineStr">
        <is>
          <t>Not named</t>
        </is>
      </c>
      <c r="E71" s="228">
        <f>HYPERLINK("https://drive.google.com/file/d/1pXofGRjV4ajMQ1OXt32DI06neZGFY62x/view","▶  Watch")</f>
        <v/>
      </c>
      <c r="F71" s="224" t="inlineStr">
        <is>
          <t>NUR198_Summer2026_Unknown_Wk09_DayNA_Live Class - Urinary Elimination Renal-Urinary Module - 2026-07-01.mp4</t>
        </is>
      </c>
      <c r="G71" s="226" t="inlineStr">
        <is>
          <t>Live Class - Urinary Elimination Renal-Urinary Module - 2026-07-01</t>
        </is>
      </c>
    </row>
    <row r="72" ht="15.75" customHeight="1" s="149">
      <c r="A72" s="217" t="inlineStr">
        <is>
          <t>Module 9</t>
        </is>
      </c>
      <c r="B72" s="218" t="n"/>
      <c r="C72" s="219" t="inlineStr">
        <is>
          <t>Summer 2026</t>
        </is>
      </c>
      <c r="D72" s="219" t="inlineStr">
        <is>
          <t>Not named</t>
        </is>
      </c>
      <c r="E72" s="220">
        <f>HYPERLINK("https://drive.google.com/file/d/1Rcbc5XpjD9VtstRy-uwhiajLf-LFzYj_/view","▶  Watch")</f>
        <v/>
      </c>
      <c r="F72" s="219" t="inlineStr">
        <is>
          <t>NUR198_Summer2026_Unknown_WkNA_DayNA_Exam 4 Review Lectures.mp4</t>
        </is>
      </c>
      <c r="G72" s="221" t="inlineStr">
        <is>
          <t>Exam 4 Review Lectures</t>
        </is>
      </c>
    </row>
    <row r="73" ht="15.75" customHeight="1" s="149">
      <c r="A73" s="222" t="inlineStr">
        <is>
          <t>Module 9</t>
        </is>
      </c>
      <c r="B73" s="223" t="n"/>
      <c r="C73" s="224" t="n"/>
      <c r="D73" s="224" t="inlineStr">
        <is>
          <t>Wagner</t>
        </is>
      </c>
      <c r="E73" s="228">
        <f>HYPERLINK("https://drive.google.com/file/d/1dmYSR2zHgGAuzUx6oWwreBwjX6SB9cEt/view","▶  Watch")</f>
        <v/>
      </c>
      <c r="F73" s="224" t="inlineStr">
        <is>
          <t>NUR198_Summer2026_Wagner_Wk09-10_DayNA_Modules 9 and 10.mp4</t>
        </is>
      </c>
      <c r="G73" s="226" t="inlineStr">
        <is>
          <t>Modules 9 and 10</t>
        </is>
      </c>
    </row>
    <row r="74" ht="15.75" customHeight="1" s="149">
      <c r="A74" s="217" t="inlineStr">
        <is>
          <t>Module 9</t>
        </is>
      </c>
      <c r="B74" s="218" t="inlineStr">
        <is>
          <t>Day 1</t>
        </is>
      </c>
      <c r="C74" s="219" t="inlineStr">
        <is>
          <t>Summer 2026</t>
        </is>
      </c>
      <c r="D74" s="219" t="inlineStr">
        <is>
          <t>Wagner</t>
        </is>
      </c>
      <c r="E74" s="220">
        <f>HYPERLINK("https://drive.google.com/file/d/1_Ew717tGuObc0WX6z_GFyHTkMmymo0n9/view","▶  Watch")</f>
        <v/>
      </c>
      <c r="F74" s="219" t="inlineStr">
        <is>
          <t>NUR198_Summer2026_Wagner_Wk09_Day1_Renal and Urinary.mp4</t>
        </is>
      </c>
      <c r="G74" s="221" t="inlineStr">
        <is>
          <t>Day 1 · Renal and Urinary</t>
        </is>
      </c>
    </row>
    <row r="75" ht="15.75" customHeight="1" s="149">
      <c r="A75" s="222" t="inlineStr">
        <is>
          <t>Module 9</t>
        </is>
      </c>
      <c r="B75" s="223" t="inlineStr">
        <is>
          <t>Day 2</t>
        </is>
      </c>
      <c r="C75" s="224" t="inlineStr">
        <is>
          <t>Summer 2026</t>
        </is>
      </c>
      <c r="D75" s="224" t="inlineStr">
        <is>
          <t>Wagner</t>
        </is>
      </c>
      <c r="E75" s="228">
        <f>HYPERLINK("https://drive.google.com/file/d/1NNmMeHekAthLNrE-mNvJCCom8UD4tRbg/view","▶  Watch")</f>
        <v/>
      </c>
      <c r="F75" s="224" t="inlineStr">
        <is>
          <t>NUR198_Summer2026_Wagner_Wk09_Day2_Renal and Urinary.mp4</t>
        </is>
      </c>
      <c r="G75" s="226" t="inlineStr">
        <is>
          <t>Day 2 · Renal and Urinary</t>
        </is>
      </c>
    </row>
    <row r="76" ht="15.75" customHeight="1" s="149">
      <c r="A76" s="217" t="inlineStr">
        <is>
          <t>Module 10</t>
        </is>
      </c>
      <c r="B76" s="218" t="n"/>
      <c r="C76" s="219" t="inlineStr">
        <is>
          <t>Summer 2026</t>
        </is>
      </c>
      <c r="D76" s="219" t="inlineStr">
        <is>
          <t>SimpleNursing</t>
        </is>
      </c>
      <c r="E76" s="220">
        <f>HYPERLINK("https://drive.google.com/file/d/1wUmkuyZi7pnbK80SgEuixPcqqu58tRlW/view","▶  Watch")</f>
        <v/>
      </c>
      <c r="F76" s="219" t="inlineStr">
        <is>
          <t>NUR198_Summer2026_SimpleNursing_Wk10_DayNA_Cirrhosis Interventions &amp; Ascites Care - 2026-06-30.mp4</t>
        </is>
      </c>
      <c r="G76" s="221" t="inlineStr">
        <is>
          <t>Cirrhosis Interventions &amp; Ascites Care - 2026-06-30</t>
        </is>
      </c>
    </row>
    <row r="77" ht="15.75" customHeight="1" s="149">
      <c r="A77" s="222" t="inlineStr">
        <is>
          <t>Module 10</t>
        </is>
      </c>
      <c r="B77" s="223" t="n"/>
      <c r="C77" s="224" t="inlineStr">
        <is>
          <t>Summer 2026</t>
        </is>
      </c>
      <c r="D77" s="224" t="inlineStr">
        <is>
          <t>SimpleNursing</t>
        </is>
      </c>
      <c r="E77" s="228">
        <f>HYPERLINK("https://drive.google.com/file/d/1SEr4K3wqgallD62tZ5oHLJk_hD_c9H1E/view","▶  Watch")</f>
        <v/>
      </c>
      <c r="F77" s="224" t="inlineStr">
        <is>
          <t>NUR198_Summer2026_SimpleNursing_Wk10_DayNA_GI Playlist Pt1 - Cirrhosis, Abdominal Assessment &amp; Bowel Disorders - 2026-06-30.mp4</t>
        </is>
      </c>
      <c r="G77" s="226" t="inlineStr">
        <is>
          <t>GI Playlist Pt1 - Cirrhosis, Abdominal Assessment &amp; Bowel Disorders - 2026-06-30</t>
        </is>
      </c>
    </row>
    <row r="78" ht="15.75" customHeight="1" s="149">
      <c r="A78" s="217" t="inlineStr">
        <is>
          <t>Module 10</t>
        </is>
      </c>
      <c r="B78" s="218" t="n"/>
      <c r="C78" s="219" t="inlineStr">
        <is>
          <t>Summer 2026</t>
        </is>
      </c>
      <c r="D78" s="219" t="inlineStr">
        <is>
          <t>SimpleNursing</t>
        </is>
      </c>
      <c r="E78" s="220">
        <f>HYPERLINK("https://drive.google.com/file/d/12NgZR1niptg7V_oA5U7Ol2fMtw4mODGu/view","▶  Watch")</f>
        <v/>
      </c>
      <c r="F78" s="219" t="inlineStr">
        <is>
          <t>NUR198_Summer2026_SimpleNursing_Wk10_DayNA_Hepatitis A-E - GI - 2026-06-30.mp4</t>
        </is>
      </c>
      <c r="G78" s="221" t="inlineStr">
        <is>
          <t>Hepatitis A-E - GI - 2026-06-30</t>
        </is>
      </c>
    </row>
    <row r="79" ht="15.75" customHeight="1" s="149">
      <c r="A79" s="222" t="inlineStr">
        <is>
          <t>Module 10</t>
        </is>
      </c>
      <c r="B79" s="223" t="inlineStr">
        <is>
          <t>Day 1</t>
        </is>
      </c>
      <c r="C79" s="224" t="inlineStr">
        <is>
          <t>Summer 2026</t>
        </is>
      </c>
      <c r="D79" s="224" t="inlineStr">
        <is>
          <t>Wagner</t>
        </is>
      </c>
      <c r="E79" s="228">
        <f>HYPERLINK("https://drive.google.com/file/d/1mRWpfyyel6UhhSxCjPTTvXbIt2-cEEFs/view","▶  Watch")</f>
        <v/>
      </c>
      <c r="F79" s="224" t="inlineStr">
        <is>
          <t>NUR198_Summer2026_Wagner_Wk10_Day1_Hepatobiliary.mp4</t>
        </is>
      </c>
      <c r="G79" s="226" t="inlineStr">
        <is>
          <t>Day 1 · Hepatobiliary</t>
        </is>
      </c>
    </row>
    <row r="80" ht="15.75" customHeight="1" s="149">
      <c r="A80" s="217" t="inlineStr">
        <is>
          <t>Module 10</t>
        </is>
      </c>
      <c r="B80" s="218" t="n"/>
      <c r="C80" s="219" t="inlineStr">
        <is>
          <t>Summer 2026</t>
        </is>
      </c>
      <c r="D80" s="219" t="inlineStr">
        <is>
          <t>Kirschner</t>
        </is>
      </c>
      <c r="E80" s="220">
        <f>HYPERLINK("https://drive.google.com/file/d/1pSiqg4sszrTN2agAupjkwjrhcP9xKNNs/view","▶  Watch")</f>
        <v/>
      </c>
      <c r="F80" s="219" t="inlineStr">
        <is>
          <t>NUR198_Summer2026_Kirschner_Wk10_DayNA_Hepatobiliary (Zoom, 14 Jul).mp4</t>
        </is>
      </c>
      <c r="G80" s="221" t="inlineStr">
        <is>
          <t>Hepatobiliary · Zoom 14 Jul</t>
        </is>
      </c>
    </row>
    <row r="81" ht="15.75" customHeight="1" s="149">
      <c r="A81" s="222" t="inlineStr">
        <is>
          <t>Module 11</t>
        </is>
      </c>
      <c r="B81" s="223" t="n"/>
      <c r="C81" s="224" t="inlineStr">
        <is>
          <t>Summer 2026</t>
        </is>
      </c>
      <c r="D81" s="224" t="inlineStr">
        <is>
          <t>SimpleNursing</t>
        </is>
      </c>
      <c r="E81" s="228">
        <f>HYPERLINK("https://drive.google.com/file/d/1bNuhag4rApY41DbbdXzj5OMgkhVUc3b2/view","▶  Watch")</f>
        <v/>
      </c>
      <c r="F81" s="224" t="inlineStr">
        <is>
          <t>NUR198_Summer2026_SimpleNursing_Wk11_DayNA_GERD &amp; Peptic Ulcer Disease - GI - 2026-06-30.mp4</t>
        </is>
      </c>
      <c r="G81" s="226" t="inlineStr">
        <is>
          <t>GERD &amp; Peptic Ulcer Disease - GI - 2026-06-30</t>
        </is>
      </c>
    </row>
    <row r="82" ht="15.75" customHeight="1" s="149">
      <c r="A82" s="217" t="inlineStr">
        <is>
          <t>Module 11</t>
        </is>
      </c>
      <c r="B82" s="218" t="n"/>
      <c r="C82" s="219" t="inlineStr">
        <is>
          <t>Summer 2026</t>
        </is>
      </c>
      <c r="D82" s="219" t="inlineStr">
        <is>
          <t>SimpleNursing</t>
        </is>
      </c>
      <c r="E82" s="220">
        <f>HYPERLINK("https://drive.google.com/file/d/1zaEkPfcuvP5C_31EW7MW68rf0rR2hLpr/view","▶  Watch")</f>
        <v/>
      </c>
      <c r="F82" s="219" t="inlineStr">
        <is>
          <t>NUR198_Summer2026_SimpleNursing_Wk11_DayNA_Health Assessment Abdomen.mp4</t>
        </is>
      </c>
      <c r="G82" s="221" t="inlineStr">
        <is>
          <t>Health Assessment Abdomen</t>
        </is>
      </c>
    </row>
    <row r="83" ht="15.75" customHeight="1" s="149">
      <c r="A83" s="222" t="inlineStr">
        <is>
          <t>Module 11</t>
        </is>
      </c>
      <c r="B83" s="223" t="n"/>
      <c r="C83" s="224" t="inlineStr">
        <is>
          <t>Summer 2026</t>
        </is>
      </c>
      <c r="D83" s="224" t="inlineStr">
        <is>
          <t>SimpleNursing</t>
        </is>
      </c>
      <c r="E83" s="228">
        <f>HYPERLINK("https://drive.google.com/file/d/1F8bGON8-FXZAb9zT7w_7hPlC82TuWDkv/view","▶  Watch")</f>
        <v/>
      </c>
      <c r="F83" s="224" t="inlineStr">
        <is>
          <t>NUR198_Summer2026_SimpleNursing_Wk11_DayNA_Intro to Digestive System.mp4</t>
        </is>
      </c>
      <c r="G83" s="226" t="inlineStr">
        <is>
          <t>Intro to Digestive System</t>
        </is>
      </c>
    </row>
    <row r="84" ht="15.75" customHeight="1" s="149">
      <c r="A84" s="217" t="inlineStr">
        <is>
          <t>Module 11</t>
        </is>
      </c>
      <c r="B84" s="218" t="n"/>
      <c r="C84" s="219" t="inlineStr">
        <is>
          <t>Summer 2026</t>
        </is>
      </c>
      <c r="D84" s="219" t="inlineStr">
        <is>
          <t>Not named</t>
        </is>
      </c>
      <c r="E84" s="220">
        <f>HYPERLINK("https://drive.google.com/file/d/1SkLjzKER5z7mRr2w_fvhuGHYDB47FMTU/view","▶  Watch")</f>
        <v/>
      </c>
      <c r="F84" s="219" t="inlineStr">
        <is>
          <t>NUR198_Summer2026_Unknown_WkNA_DayNA_Exam 5 prep - Zoom recording 2026-07-23.mp4</t>
        </is>
      </c>
      <c r="G84" s="221" t="inlineStr">
        <is>
          <t>Exam 5 prep - Zoom recording 2026-07-23</t>
        </is>
      </c>
    </row>
    <row r="85" ht="15.75" customHeight="1" s="149">
      <c r="A85" s="222" t="inlineStr">
        <is>
          <t>Module 11</t>
        </is>
      </c>
      <c r="B85" s="223" t="n"/>
      <c r="C85" s="224" t="inlineStr">
        <is>
          <t>Summer 2026</t>
        </is>
      </c>
      <c r="D85" s="224" t="inlineStr">
        <is>
          <t>Not named</t>
        </is>
      </c>
      <c r="E85" s="228">
        <f>HYPERLINK("https://drive.google.com/file/d/1y-zZh8NEksWdsxMUB86YaDYPwaWHbnaP/view","▶  Watch")</f>
        <v/>
      </c>
      <c r="F85" s="224" t="inlineStr">
        <is>
          <t>NUR198_Summer2026_Unknown_WkNA_DayNA_Exam 5 prep - Zoom recording 2026-07-24.mp4</t>
        </is>
      </c>
      <c r="G85" s="226" t="inlineStr">
        <is>
          <t>Exam 5 prep - Zoom recording 2026-07-24</t>
        </is>
      </c>
    </row>
    <row r="86" ht="15.75" customHeight="1" s="149">
      <c r="A86" s="217" t="inlineStr">
        <is>
          <t>Module 12</t>
        </is>
      </c>
      <c r="B86" s="218" t="n"/>
      <c r="C86" s="219" t="inlineStr">
        <is>
          <t>Summer 2026</t>
        </is>
      </c>
      <c r="D86" s="219" t="inlineStr">
        <is>
          <t>SimpleNursing</t>
        </is>
      </c>
      <c r="E86" s="220">
        <f>HYPERLINK("https://drive.google.com/file/d/1qTATMwBtihE4tLWzjj8cXiCkGemWNUj-/view","▶  Watch")</f>
        <v/>
      </c>
      <c r="F86" s="219" t="inlineStr">
        <is>
          <t>NUR198_Summer2026_SimpleNursing_Wk12_DayNA_Appendicitis - GI - 2026-06-30.mp4</t>
        </is>
      </c>
      <c r="G86" s="221" t="inlineStr">
        <is>
          <t>Appendicitis - GI - 2026-06-30</t>
        </is>
      </c>
    </row>
    <row r="87" ht="15.75" customHeight="1" s="149">
      <c r="A87" s="222" t="inlineStr">
        <is>
          <t>Module 12</t>
        </is>
      </c>
      <c r="B87" s="223" t="n"/>
      <c r="C87" s="224" t="inlineStr">
        <is>
          <t>Summer 2026</t>
        </is>
      </c>
      <c r="D87" s="224" t="inlineStr">
        <is>
          <t>SimpleNursing</t>
        </is>
      </c>
      <c r="E87" s="228">
        <f>HYPERLINK("https://drive.google.com/file/d/1mUq3Pt5xbUEnurpp-u3dpRxAjzWH_2Q2/view","▶  Watch")</f>
        <v/>
      </c>
      <c r="F87" s="224" t="inlineStr">
        <is>
          <t>NUR198_Summer2026_SimpleNursing_Wk12_DayNA_Celiac Disease - GI - 2026-06-30.mp4</t>
        </is>
      </c>
      <c r="G87" s="226" t="inlineStr">
        <is>
          <t>Celiac Disease - GI - 2026-06-30</t>
        </is>
      </c>
    </row>
    <row r="88" ht="15.75" customHeight="1" s="149">
      <c r="A88" s="217" t="inlineStr">
        <is>
          <t>Module 12</t>
        </is>
      </c>
      <c r="B88" s="218" t="n"/>
      <c r="C88" s="219" t="inlineStr">
        <is>
          <t>Summer 2026</t>
        </is>
      </c>
      <c r="D88" s="219" t="inlineStr">
        <is>
          <t>SimpleNursing</t>
        </is>
      </c>
      <c r="E88" s="220">
        <f>HYPERLINK("https://drive.google.com/file/d/1TasLKe83f_jOCeRJSLywXM1ni0P1hh3O/view","▶  Watch")</f>
        <v/>
      </c>
      <c r="F88" s="219" t="inlineStr">
        <is>
          <t>NUR198_Summer2026_SimpleNursing_Wk12_DayNA_Colostomy &amp; Ileostomy - GI - 2026-06-30.mp4</t>
        </is>
      </c>
      <c r="G88" s="221" t="inlineStr">
        <is>
          <t>Colostomy &amp; Ileostomy - GI - 2026-06-30</t>
        </is>
      </c>
    </row>
    <row r="89" ht="15.75" customHeight="1" s="149">
      <c r="A89" s="222" t="inlineStr">
        <is>
          <t>Module 12</t>
        </is>
      </c>
      <c r="B89" s="223" t="n"/>
      <c r="C89" s="224" t="inlineStr">
        <is>
          <t>Summer 2026</t>
        </is>
      </c>
      <c r="D89" s="224" t="inlineStr">
        <is>
          <t>SimpleNursing</t>
        </is>
      </c>
      <c r="E89" s="228">
        <f>HYPERLINK("https://drive.google.com/file/d/1_8eurcLQ2mbCn5kWsJO3Nejuv5RnrcAR/view","▶  Watch")</f>
        <v/>
      </c>
      <c r="F89" s="224" t="inlineStr">
        <is>
          <t>NUR198_Summer2026_SimpleNursing_Wk12_DayNA_Diverticulitis and Diverticulosis.mp4</t>
        </is>
      </c>
      <c r="G89" s="226" t="inlineStr">
        <is>
          <t>Diverticulitis and Diverticulosis</t>
        </is>
      </c>
    </row>
    <row r="90" ht="15.75" customHeight="1" s="149">
      <c r="A90" s="217" t="inlineStr">
        <is>
          <t>Module 12</t>
        </is>
      </c>
      <c r="B90" s="218" t="n"/>
      <c r="C90" s="219" t="inlineStr">
        <is>
          <t>Summer 2026</t>
        </is>
      </c>
      <c r="D90" s="219" t="inlineStr">
        <is>
          <t>SimpleNursing</t>
        </is>
      </c>
      <c r="E90" s="220">
        <f>HYPERLINK("https://drive.google.com/file/d/1Xq3mRU_jxKjkdNDgxHWNQo6kr1amPwcB/view","▶  Watch")</f>
        <v/>
      </c>
      <c r="F90" s="219" t="inlineStr">
        <is>
          <t>NUR198_Summer2026_SimpleNursing_Wk12_DayNA_GI Disorders Full Review - Appendicitis to Pancreatitis - 2026-07-02.mp4</t>
        </is>
      </c>
      <c r="G90" s="221" t="inlineStr">
        <is>
          <t>GI Disorders Full Review - Appendicitis to Pancreatitis - 2026-07-02</t>
        </is>
      </c>
    </row>
    <row r="91" ht="15.75" customHeight="1" s="149">
      <c r="A91" s="222" t="inlineStr">
        <is>
          <t>Module 12</t>
        </is>
      </c>
      <c r="B91" s="223" t="n"/>
      <c r="C91" s="224" t="inlineStr">
        <is>
          <t>Fall 2026</t>
        </is>
      </c>
      <c r="D91" s="224" t="inlineStr">
        <is>
          <t>SimpleNursing</t>
        </is>
      </c>
      <c r="E91" s="228">
        <f>HYPERLINK("https://drive.google.com/file/d/1o8hf0Rx9OPo9z5qTgqrzR4BevugjF7JR/view","▶  Watch")</f>
        <v/>
      </c>
      <c r="F91" s="224" t="inlineStr">
        <is>
          <t>NUR198_Fall2026_SimpleNursing_WkNA_DayNA_GI - Acute pancreatitis.mp4</t>
        </is>
      </c>
      <c r="G91" s="226" t="inlineStr">
        <is>
          <t>GI · Acute pancreatitis</t>
        </is>
      </c>
    </row>
    <row r="92" ht="15.75" customHeight="1" s="149">
      <c r="A92" s="217" t="inlineStr">
        <is>
          <t>Module 13</t>
        </is>
      </c>
      <c r="B92" s="218" t="n"/>
      <c r="C92" s="219" t="inlineStr">
        <is>
          <t>Fall 2026</t>
        </is>
      </c>
      <c r="D92" s="219" t="inlineStr">
        <is>
          <t>SimpleNursing</t>
        </is>
      </c>
      <c r="E92" s="220">
        <f>HYPERLINK("https://drive.google.com/file/d/1ZPuYyXsTCOg8RljRIERYN-fb4x_iq6J2/view","▶  Watch")</f>
        <v/>
      </c>
      <c r="F92" s="219" t="inlineStr">
        <is>
          <t>NUR235_Fall2026_SimpleNursing_Wk05_DayNA_Osteosarcoma and Ewing sarcoma.mp4</t>
        </is>
      </c>
      <c r="G92" s="221" t="inlineStr">
        <is>
          <t>Osteosarcoma and Ewing sarcoma · related: bone tumors (pediatric examples) · filed under NUR 235 Module 5</t>
        </is>
      </c>
    </row>
    <row r="93" ht="15.75" customHeight="1" s="149">
      <c r="A93" s="222" t="inlineStr">
        <is>
          <t>Final</t>
        </is>
      </c>
      <c r="B93" s="223" t="n"/>
      <c r="C93" s="224" t="inlineStr">
        <is>
          <t>Summer 2026</t>
        </is>
      </c>
      <c r="D93" s="224" t="inlineStr">
        <is>
          <t>Wagner</t>
        </is>
      </c>
      <c r="E93" s="228">
        <f>HYPERLINK("https://drive.google.com/file/d/1vpVrTmP1ureQQ7yv2OEOp_gZQJqgtZ_y/view","▶  Watch")</f>
        <v/>
      </c>
      <c r="F93" s="224" t="inlineStr">
        <is>
          <t>NUR198_Summer2026_Wagner_WkNA_DayNA_Final Exam Review part 1.mp4</t>
        </is>
      </c>
      <c r="G93" s="226" t="inlineStr">
        <is>
          <t>Final exam review · part 1</t>
        </is>
      </c>
    </row>
    <row r="94" ht="15.75" customHeight="1" s="149">
      <c r="A94" s="217" t="inlineStr">
        <is>
          <t>Final</t>
        </is>
      </c>
      <c r="B94" s="218" t="n"/>
      <c r="C94" s="219" t="inlineStr">
        <is>
          <t>Summer 2026</t>
        </is>
      </c>
      <c r="D94" s="219" t="inlineStr">
        <is>
          <t>Wagner</t>
        </is>
      </c>
      <c r="E94" s="220">
        <f>HYPERLINK("https://drive.google.com/file/d/1L8XBGVtZvGu8UZOdDWzFTNjVpLuEWxUw/view","▶  Watch")</f>
        <v/>
      </c>
      <c r="F94" s="219" t="inlineStr">
        <is>
          <t>NUR198_Summer2026_Wagner_WkNA_DayNA_Final Exam Review part 2.mp4</t>
        </is>
      </c>
      <c r="G94" s="221" t="inlineStr">
        <is>
          <t>Final exam review · part 2</t>
        </is>
      </c>
    </row>
    <row r="95" ht="15.75" customHeight="1" s="149">
      <c r="A95" s="222" t="inlineStr">
        <is>
          <t>Other</t>
        </is>
      </c>
      <c r="B95" s="223" t="n"/>
      <c r="C95" s="224" t="inlineStr">
        <is>
          <t>Fall 2026</t>
        </is>
      </c>
      <c r="D95" s="224" t="inlineStr">
        <is>
          <t>Not named</t>
        </is>
      </c>
      <c r="E95" s="228">
        <f>HYPERLINK("https://drive.google.com/file/d/1VwqGuxefxFmGgoQn9wZR_ctHpEO4qaSI/view","▶  Watch")</f>
        <v/>
      </c>
      <c r="F95" s="224" t="inlineStr">
        <is>
          <t>NUR198_Fall2026_Unknown_WkNA_DayNA_Sun 7 Sep 8-31 PM Chrome - adult health review, shock, fluids, renal (check).mp4</t>
        </is>
      </c>
      <c r="G95" s="226" t="inlineStr">
        <is>
          <t>Sun 7 Sep 8-31 PM Chrome - adult health review, shock, fluids, renal (check)</t>
        </is>
      </c>
    </row>
    <row r="96" ht="15.75" customHeight="1" s="149">
      <c r="A96" s="229" t="inlineStr">
        <is>
          <t>Other</t>
        </is>
      </c>
      <c r="B96" s="230" t="n"/>
      <c r="C96" s="231" t="inlineStr">
        <is>
          <t>Fall 2026</t>
        </is>
      </c>
      <c r="D96" s="231" t="inlineStr">
        <is>
          <t>Not named</t>
        </is>
      </c>
      <c r="E96" s="232">
        <f>HYPERLINK("https://drive.google.com/file/d/17FEOKc4ndrct33Uz5cCzC3WgQ5ff-5Tl/view","▶  Watch")</f>
        <v/>
      </c>
      <c r="F96" s="231" t="inlineStr">
        <is>
          <t>NUR198_Fall2026_Unknown_WkNA_DayNA_Mon 8 Sep 2-30 AM - Adult health ATI practice review part 2 - electrolytes, respiratory (check course).mp4</t>
        </is>
      </c>
      <c r="G96" s="233" t="inlineStr">
        <is>
          <t>ATI practice review · part 2 · electrolytes, respiratory</t>
        </is>
      </c>
    </row>
    <row r="97" ht="15.75" customHeight="1" s="149">
      <c r="A97" s="234" t="n"/>
      <c r="B97" s="234" t="n"/>
      <c r="C97" s="234" t="n"/>
      <c r="D97" s="234" t="n"/>
      <c r="E97" s="234" t="n"/>
      <c r="F97" s="234" t="n"/>
      <c r="G97" s="234" t="n"/>
    </row>
    <row r="98" ht="15.75" customHeight="1" s="149">
      <c r="A98" s="235" t="n"/>
      <c r="B98" s="235" t="n"/>
      <c r="C98" s="235" t="n"/>
      <c r="D98" s="235" t="n"/>
      <c r="E98" s="235" t="n"/>
      <c r="F98" s="235" t="n"/>
      <c r="G98" s="235" t="n"/>
    </row>
    <row r="99" ht="15.75" customHeight="1" s="149">
      <c r="A99" s="234" t="n"/>
      <c r="B99" s="234" t="n"/>
      <c r="C99" s="234" t="n"/>
      <c r="D99" s="234" t="n"/>
      <c r="E99" s="234" t="n"/>
      <c r="F99" s="234" t="n"/>
      <c r="G99" s="234" t="n"/>
    </row>
    <row r="100" ht="15.75" customHeight="1" s="149">
      <c r="A100" s="235" t="n"/>
      <c r="B100" s="235" t="n"/>
      <c r="C100" s="235" t="n"/>
      <c r="D100" s="235" t="n"/>
      <c r="E100" s="235" t="n"/>
      <c r="F100" s="235" t="n"/>
      <c r="G100" s="235" t="n"/>
    </row>
    <row r="101" ht="15.75" customHeight="1" s="149">
      <c r="A101" s="234" t="n"/>
      <c r="B101" s="234" t="n"/>
      <c r="C101" s="234" t="n"/>
      <c r="D101" s="234" t="n"/>
      <c r="E101" s="234" t="n"/>
      <c r="F101" s="234" t="n"/>
      <c r="G101" s="234" t="n"/>
    </row>
    <row r="102" ht="15.75" customHeight="1" s="149">
      <c r="A102" s="235" t="n"/>
      <c r="B102" s="235" t="n"/>
      <c r="C102" s="235" t="n"/>
      <c r="D102" s="235" t="n"/>
      <c r="E102" s="235" t="n"/>
      <c r="F102" s="235" t="n"/>
      <c r="G102" s="235" t="n"/>
    </row>
    <row r="103" ht="15.75" customHeight="1" s="149">
      <c r="A103" s="234" t="n"/>
      <c r="B103" s="234" t="n"/>
      <c r="C103" s="234" t="n"/>
      <c r="D103" s="234" t="n"/>
      <c r="E103" s="234" t="n"/>
      <c r="F103" s="234" t="n"/>
      <c r="G103" s="234" t="n"/>
    </row>
    <row r="104" ht="15.75" customHeight="1" s="149">
      <c r="A104" s="235" t="n"/>
      <c r="B104" s="235" t="n"/>
      <c r="C104" s="235" t="n"/>
      <c r="D104" s="235" t="n"/>
      <c r="E104" s="235" t="n"/>
      <c r="F104" s="235" t="n"/>
      <c r="G104" s="235" t="n"/>
    </row>
    <row r="105" ht="15.75" customHeight="1" s="149">
      <c r="A105" s="234" t="n"/>
      <c r="B105" s="234" t="n"/>
      <c r="C105" s="234" t="n"/>
      <c r="D105" s="234" t="n"/>
      <c r="E105" s="234" t="n"/>
      <c r="F105" s="234" t="n"/>
      <c r="G105" s="234" t="n"/>
    </row>
    <row r="106" ht="15.75" customHeight="1" s="149">
      <c r="A106" s="235" t="n"/>
      <c r="B106" s="235" t="n"/>
      <c r="C106" s="235" t="n"/>
      <c r="D106" s="235" t="n"/>
      <c r="E106" s="235" t="n"/>
      <c r="F106" s="235" t="n"/>
      <c r="G106" s="235" t="n"/>
    </row>
    <row r="107" ht="15.75" customHeight="1" s="149">
      <c r="A107" s="234" t="n"/>
      <c r="B107" s="234" t="n"/>
      <c r="C107" s="234" t="n"/>
      <c r="D107" s="234" t="n"/>
      <c r="E107" s="234" t="n"/>
      <c r="F107" s="234" t="n"/>
      <c r="G107" s="234" t="n"/>
    </row>
    <row r="108" ht="15.75" customHeight="1" s="149">
      <c r="A108" s="235" t="n"/>
      <c r="B108" s="235" t="n"/>
      <c r="C108" s="235" t="n"/>
      <c r="D108" s="235" t="n"/>
      <c r="E108" s="235" t="n"/>
      <c r="F108" s="235" t="n"/>
      <c r="G108" s="235" t="n"/>
    </row>
    <row r="109" ht="15.75" customHeight="1" s="149">
      <c r="A109" s="234" t="n"/>
      <c r="B109" s="234" t="n"/>
      <c r="C109" s="234" t="n"/>
      <c r="D109" s="234" t="n"/>
      <c r="E109" s="234" t="n"/>
      <c r="F109" s="234" t="n"/>
      <c r="G109" s="234" t="n"/>
    </row>
    <row r="110" ht="15.75" customHeight="1" s="149">
      <c r="A110" s="235" t="n"/>
      <c r="B110" s="235" t="n"/>
      <c r="C110" s="235" t="n"/>
      <c r="D110" s="235" t="n"/>
      <c r="E110" s="235" t="n"/>
      <c r="F110" s="235" t="n"/>
      <c r="G110" s="235" t="n"/>
    </row>
    <row r="111" ht="15.75" customHeight="1" s="149">
      <c r="A111" s="234" t="n"/>
      <c r="B111" s="234" t="n"/>
      <c r="C111" s="234" t="n"/>
      <c r="D111" s="234" t="n"/>
      <c r="E111" s="234" t="n"/>
      <c r="F111" s="234" t="n"/>
      <c r="G111" s="234"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c r="A235" s="5" t="n"/>
      <c r="B235" s="5" t="n"/>
      <c r="C235" s="5" t="n"/>
      <c r="D235" s="5" t="n"/>
      <c r="E235" s="5" t="n"/>
      <c r="F235" s="5" t="n"/>
      <c r="G235" s="5" t="n"/>
    </row>
    <row r="236" ht="15.75" customHeight="1" s="149">
      <c r="A236" s="5" t="n"/>
      <c r="B236" s="5" t="n"/>
      <c r="C236" s="5" t="n"/>
      <c r="D236" s="5" t="n"/>
      <c r="E236" s="5" t="n"/>
      <c r="F236" s="5" t="n"/>
      <c r="G236" s="5" t="n"/>
    </row>
    <row r="237" ht="15.75" customHeight="1" s="149">
      <c r="A237" s="5" t="n"/>
      <c r="B237" s="5" t="n"/>
      <c r="C237" s="5" t="n"/>
      <c r="D237" s="5" t="n"/>
      <c r="E237" s="5" t="n"/>
      <c r="F237" s="5" t="n"/>
      <c r="G237" s="5" t="n"/>
    </row>
    <row r="238" ht="15.75" customHeight="1" s="149">
      <c r="A238" s="5" t="n"/>
      <c r="B238" s="5" t="n"/>
      <c r="C238" s="5" t="n"/>
      <c r="D238" s="5" t="n"/>
      <c r="E238" s="5" t="n"/>
      <c r="F238" s="5" t="n"/>
      <c r="G238" s="5" t="n"/>
    </row>
    <row r="239" ht="15.75" customHeight="1" s="149">
      <c r="A239" s="5" t="n"/>
      <c r="B239" s="5" t="n"/>
      <c r="C239" s="5" t="n"/>
      <c r="D239" s="5" t="n"/>
      <c r="E239" s="5" t="n"/>
      <c r="F239" s="5" t="n"/>
      <c r="G239" s="5" t="n"/>
    </row>
    <row r="240" ht="15.75" customHeight="1" s="149">
      <c r="A240" s="5" t="n"/>
      <c r="B240" s="5" t="n"/>
      <c r="C240" s="5" t="n"/>
      <c r="D240" s="5" t="n"/>
      <c r="E240" s="5" t="n"/>
      <c r="F240" s="5" t="n"/>
      <c r="G240" s="5" t="n"/>
    </row>
    <row r="241" ht="15.75" customHeight="1" s="149">
      <c r="A241" s="5" t="n"/>
      <c r="B241" s="5" t="n"/>
      <c r="C241" s="5" t="n"/>
      <c r="D241" s="5" t="n"/>
      <c r="E241" s="5" t="n"/>
      <c r="F241" s="5" t="n"/>
      <c r="G241" s="5" t="n"/>
    </row>
    <row r="242" ht="15.75" customHeight="1" s="149">
      <c r="A242" s="5" t="n"/>
      <c r="B242" s="5" t="n"/>
      <c r="C242" s="5" t="n"/>
      <c r="D242" s="5" t="n"/>
      <c r="E242" s="5" t="n"/>
      <c r="F242" s="5" t="n"/>
      <c r="G242" s="5" t="n"/>
    </row>
    <row r="243" ht="15.75" customHeight="1" s="149">
      <c r="A243" s="5" t="n"/>
      <c r="B243" s="5" t="n"/>
      <c r="C243" s="5" t="n"/>
      <c r="D243" s="5" t="n"/>
      <c r="E243" s="5" t="n"/>
      <c r="F243" s="5" t="n"/>
      <c r="G243" s="5" t="n"/>
    </row>
    <row r="244" ht="15.75" customHeight="1" s="149">
      <c r="A244" s="5" t="n"/>
      <c r="B244" s="5" t="n"/>
      <c r="C244" s="5" t="n"/>
      <c r="D244" s="5" t="n"/>
      <c r="E244" s="5" t="n"/>
      <c r="F244" s="5" t="n"/>
      <c r="G244" s="5" t="n"/>
    </row>
    <row r="245" ht="15.75" customHeight="1" s="149">
      <c r="A245" s="5" t="n"/>
      <c r="B245" s="5" t="n"/>
      <c r="C245" s="5" t="n"/>
      <c r="D245" s="5" t="n"/>
      <c r="E245" s="5" t="n"/>
      <c r="F245" s="5" t="n"/>
      <c r="G245" s="5" t="n"/>
    </row>
    <row r="246" ht="15.75" customHeight="1" s="149">
      <c r="A246" s="5" t="n"/>
      <c r="B246" s="5" t="n"/>
      <c r="C246" s="5" t="n"/>
      <c r="D246" s="5" t="n"/>
      <c r="E246" s="5" t="n"/>
      <c r="F246" s="5" t="n"/>
      <c r="G246" s="5" t="n"/>
    </row>
    <row r="247" ht="15.75" customHeight="1" s="149">
      <c r="A247" s="5" t="n"/>
      <c r="B247" s="5" t="n"/>
      <c r="C247" s="5" t="n"/>
      <c r="D247" s="5" t="n"/>
      <c r="E247" s="5" t="n"/>
      <c r="F247" s="5" t="n"/>
      <c r="G247" s="5" t="n"/>
    </row>
    <row r="248" ht="15.75" customHeight="1" s="149">
      <c r="A248" s="5" t="n"/>
      <c r="B248" s="5" t="n"/>
      <c r="C248" s="5" t="n"/>
      <c r="D248" s="5" t="n"/>
      <c r="E248" s="5" t="n"/>
      <c r="F248" s="5" t="n"/>
      <c r="G248" s="5" t="n"/>
    </row>
    <row r="249" ht="15.75" customHeight="1" s="149">
      <c r="A249" s="5" t="n"/>
      <c r="B249" s="5" t="n"/>
      <c r="C249" s="5" t="n"/>
      <c r="D249" s="5" t="n"/>
      <c r="E249" s="5" t="n"/>
      <c r="F249" s="5" t="n"/>
      <c r="G249" s="5" t="n"/>
    </row>
    <row r="250" ht="15.75" customHeight="1" s="149">
      <c r="A250" s="5" t="n"/>
      <c r="B250" s="5" t="n"/>
      <c r="C250" s="5" t="n"/>
      <c r="D250" s="5" t="n"/>
      <c r="E250" s="5" t="n"/>
      <c r="F250" s="5" t="n"/>
      <c r="G250" s="5" t="n"/>
    </row>
    <row r="251" ht="15.75" customHeight="1" s="149">
      <c r="A251" s="5" t="n"/>
      <c r="B251" s="5" t="n"/>
      <c r="C251" s="5" t="n"/>
      <c r="D251" s="5" t="n"/>
      <c r="E251" s="5" t="n"/>
      <c r="F251" s="5" t="n"/>
      <c r="G251" s="5" t="n"/>
    </row>
    <row r="252" ht="15.75" customHeight="1" s="149">
      <c r="A252" s="5" t="n"/>
      <c r="B252" s="5" t="n"/>
      <c r="C252" s="5" t="n"/>
      <c r="D252" s="5" t="n"/>
      <c r="E252" s="5" t="n"/>
      <c r="F252" s="5" t="n"/>
      <c r="G252" s="5" t="n"/>
    </row>
    <row r="253" ht="15.75" customHeight="1" s="149">
      <c r="A253" s="5" t="n"/>
      <c r="B253" s="5" t="n"/>
      <c r="C253" s="5" t="n"/>
      <c r="D253" s="5" t="n"/>
      <c r="E253" s="5" t="n"/>
      <c r="F253" s="5" t="n"/>
      <c r="G253" s="5" t="n"/>
    </row>
    <row r="254" ht="15.75" customHeight="1" s="149">
      <c r="A254" s="5" t="n"/>
      <c r="B254" s="5" t="n"/>
      <c r="C254" s="5" t="n"/>
      <c r="D254" s="5" t="n"/>
      <c r="E254" s="5" t="n"/>
      <c r="F254" s="5" t="n"/>
      <c r="G254" s="5" t="n"/>
    </row>
    <row r="255" ht="15.75" customHeight="1" s="149">
      <c r="A255" s="5" t="n"/>
      <c r="B255" s="5" t="n"/>
      <c r="C255" s="5" t="n"/>
      <c r="D255" s="5" t="n"/>
      <c r="E255" s="5" t="n"/>
      <c r="F255" s="5" t="n"/>
      <c r="G255" s="5" t="n"/>
    </row>
    <row r="256" ht="15.75" customHeight="1" s="149">
      <c r="A256" s="5" t="n"/>
      <c r="B256" s="5" t="n"/>
      <c r="C256" s="5" t="n"/>
      <c r="D256" s="5" t="n"/>
      <c r="E256" s="5" t="n"/>
      <c r="F256" s="5" t="n"/>
      <c r="G256" s="5" t="n"/>
    </row>
    <row r="257" ht="15.75" customHeight="1" s="149">
      <c r="A257" s="5" t="n"/>
      <c r="B257" s="5" t="n"/>
      <c r="C257" s="5" t="n"/>
      <c r="D257" s="5" t="n"/>
      <c r="E257" s="5" t="n"/>
      <c r="F257" s="5" t="n"/>
      <c r="G257" s="5" t="n"/>
    </row>
    <row r="258" ht="15.75" customHeight="1" s="149">
      <c r="A258" s="5" t="n"/>
      <c r="B258" s="5" t="n"/>
      <c r="C258" s="5" t="n"/>
      <c r="D258" s="5" t="n"/>
      <c r="E258" s="5" t="n"/>
      <c r="F258" s="5" t="n"/>
      <c r="G258" s="5" t="n"/>
    </row>
    <row r="259" ht="15.75" customHeight="1" s="149">
      <c r="A259" s="5" t="n"/>
      <c r="B259" s="5" t="n"/>
      <c r="C259" s="5" t="n"/>
      <c r="D259" s="5" t="n"/>
      <c r="E259" s="5" t="n"/>
      <c r="F259" s="5" t="n"/>
      <c r="G259" s="5" t="n"/>
    </row>
    <row r="260" ht="15.75" customHeight="1" s="149">
      <c r="A260" s="5" t="n"/>
      <c r="B260" s="5" t="n"/>
      <c r="C260" s="5" t="n"/>
      <c r="D260" s="5" t="n"/>
      <c r="E260" s="5" t="n"/>
      <c r="F260" s="5" t="n"/>
      <c r="G260" s="5" t="n"/>
    </row>
    <row r="261" ht="15.75" customHeight="1" s="149">
      <c r="A261" s="5" t="n"/>
      <c r="B261" s="5" t="n"/>
      <c r="C261" s="5" t="n"/>
      <c r="D261" s="5" t="n"/>
      <c r="E261" s="5" t="n"/>
      <c r="F261" s="5" t="n"/>
      <c r="G261" s="5" t="n"/>
    </row>
    <row r="262" ht="15.75" customHeight="1" s="149">
      <c r="A262" s="5" t="n"/>
      <c r="B262" s="5" t="n"/>
      <c r="C262" s="5" t="n"/>
      <c r="D262" s="5" t="n"/>
      <c r="E262" s="5" t="n"/>
      <c r="F262" s="5" t="n"/>
      <c r="G262" s="5" t="n"/>
    </row>
    <row r="263" ht="15.75" customHeight="1" s="149">
      <c r="A263" s="5" t="n"/>
      <c r="B263" s="5" t="n"/>
      <c r="C263" s="5" t="n"/>
      <c r="D263" s="5" t="n"/>
      <c r="E263" s="5" t="n"/>
      <c r="F263" s="5" t="n"/>
      <c r="G263" s="5" t="n"/>
    </row>
    <row r="264" ht="15.75" customHeight="1" s="149">
      <c r="A264" s="5" t="n"/>
      <c r="B264" s="5" t="n"/>
      <c r="C264" s="5" t="n"/>
      <c r="D264" s="5" t="n"/>
      <c r="E264" s="5" t="n"/>
      <c r="F264" s="5" t="n"/>
      <c r="G264" s="5" t="n"/>
    </row>
    <row r="265" ht="15.75" customHeight="1" s="149">
      <c r="A265" s="5" t="n"/>
      <c r="B265" s="5" t="n"/>
      <c r="C265" s="5" t="n"/>
      <c r="D265" s="5" t="n"/>
      <c r="E265" s="5" t="n"/>
      <c r="F265" s="5" t="n"/>
      <c r="G265" s="5" t="n"/>
    </row>
    <row r="266" ht="15.75" customHeight="1" s="149">
      <c r="A266" s="5" t="n"/>
      <c r="B266" s="5" t="n"/>
      <c r="C266" s="5" t="n"/>
      <c r="D266" s="5" t="n"/>
      <c r="E266" s="5" t="n"/>
      <c r="F266" s="5" t="n"/>
      <c r="G266" s="5" t="n"/>
    </row>
    <row r="267" ht="15.75" customHeight="1" s="149">
      <c r="A267" s="5" t="n"/>
      <c r="B267" s="5" t="n"/>
      <c r="C267" s="5" t="n"/>
      <c r="D267" s="5" t="n"/>
      <c r="E267" s="5" t="n"/>
      <c r="F267" s="5" t="n"/>
      <c r="G267" s="5" t="n"/>
    </row>
    <row r="268" ht="15.75" customHeight="1" s="149">
      <c r="A268" s="5" t="n"/>
      <c r="B268" s="5" t="n"/>
      <c r="C268" s="5" t="n"/>
      <c r="D268" s="5" t="n"/>
      <c r="E268" s="5" t="n"/>
      <c r="F268" s="5" t="n"/>
      <c r="G268" s="5" t="n"/>
    </row>
    <row r="269" ht="15.75" customHeight="1" s="149">
      <c r="A269" s="5" t="n"/>
      <c r="B269" s="5" t="n"/>
      <c r="C269" s="5" t="n"/>
      <c r="D269" s="5" t="n"/>
      <c r="E269" s="5" t="n"/>
      <c r="F269" s="5" t="n"/>
      <c r="G269" s="5" t="n"/>
    </row>
    <row r="270" ht="15.75" customHeight="1" s="149">
      <c r="A270" s="5" t="n"/>
      <c r="B270" s="5" t="n"/>
      <c r="C270" s="5" t="n"/>
      <c r="D270" s="5" t="n"/>
      <c r="E270" s="5" t="n"/>
      <c r="F270" s="5" t="n"/>
      <c r="G270" s="5" t="n"/>
    </row>
    <row r="271" ht="15.75" customHeight="1" s="149">
      <c r="A271" s="5" t="n"/>
      <c r="B271" s="5" t="n"/>
      <c r="C271" s="5" t="n"/>
      <c r="D271" s="5" t="n"/>
      <c r="E271" s="5" t="n"/>
      <c r="F271" s="5" t="n"/>
      <c r="G271" s="5" t="n"/>
    </row>
    <row r="272" ht="15.75" customHeight="1" s="149">
      <c r="A272" s="5" t="n"/>
      <c r="B272" s="5" t="n"/>
      <c r="C272" s="5" t="n"/>
      <c r="D272" s="5" t="n"/>
      <c r="E272" s="5" t="n"/>
      <c r="F272" s="5" t="n"/>
      <c r="G272" s="5" t="n"/>
    </row>
    <row r="273" ht="15.75" customHeight="1" s="149">
      <c r="A273" s="5" t="n"/>
      <c r="B273" s="5" t="n"/>
      <c r="C273" s="5" t="n"/>
      <c r="D273" s="5" t="n"/>
      <c r="E273" s="5" t="n"/>
      <c r="F273" s="5" t="n"/>
      <c r="G273" s="5" t="n"/>
    </row>
    <row r="274" ht="15.75" customHeight="1" s="149">
      <c r="A274" s="5" t="n"/>
      <c r="B274" s="5" t="n"/>
      <c r="C274" s="5" t="n"/>
      <c r="D274" s="5" t="n"/>
      <c r="E274" s="5" t="n"/>
      <c r="F274" s="5" t="n"/>
      <c r="G274" s="5" t="n"/>
    </row>
    <row r="275" ht="15.75" customHeight="1" s="149">
      <c r="A275" s="5" t="n"/>
      <c r="B275" s="5" t="n"/>
      <c r="C275" s="5" t="n"/>
      <c r="D275" s="5" t="n"/>
      <c r="E275" s="5" t="n"/>
      <c r="F275" s="5" t="n"/>
      <c r="G275" s="5" t="n"/>
    </row>
    <row r="276" ht="15.75" customHeight="1" s="149">
      <c r="A276" s="5" t="n"/>
      <c r="B276" s="5" t="n"/>
      <c r="C276" s="5" t="n"/>
      <c r="D276" s="5" t="n"/>
      <c r="E276" s="5" t="n"/>
      <c r="F276" s="5" t="n"/>
      <c r="G276" s="5" t="n"/>
    </row>
    <row r="277" ht="15.75" customHeight="1" s="149">
      <c r="A277" s="5" t="n"/>
      <c r="B277" s="5" t="n"/>
      <c r="C277" s="5" t="n"/>
      <c r="D277" s="5" t="n"/>
      <c r="E277" s="5" t="n"/>
      <c r="F277" s="5" t="n"/>
      <c r="G277" s="5" t="n"/>
    </row>
    <row r="278" ht="15.75" customHeight="1" s="149">
      <c r="A278" s="5" t="n"/>
      <c r="B278" s="5" t="n"/>
      <c r="C278" s="5" t="n"/>
      <c r="D278" s="5" t="n"/>
      <c r="E278" s="5" t="n"/>
      <c r="F278" s="5" t="n"/>
      <c r="G278" s="5" t="n"/>
    </row>
    <row r="279" ht="15.75" customHeight="1" s="149">
      <c r="A279" s="5" t="n"/>
      <c r="B279" s="5" t="n"/>
      <c r="C279" s="5" t="n"/>
      <c r="D279" s="5" t="n"/>
      <c r="E279" s="5" t="n"/>
      <c r="F279" s="5" t="n"/>
      <c r="G279" s="5" t="n"/>
    </row>
    <row r="280" ht="15.75" customHeight="1" s="149">
      <c r="A280" s="5" t="n"/>
      <c r="B280" s="5" t="n"/>
      <c r="C280" s="5" t="n"/>
      <c r="D280" s="5" t="n"/>
      <c r="E280" s="5" t="n"/>
      <c r="F280" s="5" t="n"/>
      <c r="G280" s="5" t="n"/>
    </row>
    <row r="281" ht="15.75" customHeight="1" s="149">
      <c r="A281" s="5" t="n"/>
      <c r="B281" s="5" t="n"/>
      <c r="C281" s="5" t="n"/>
      <c r="D281" s="5" t="n"/>
      <c r="E281" s="5" t="n"/>
      <c r="F281" s="5" t="n"/>
      <c r="G281" s="5" t="n"/>
    </row>
    <row r="282" ht="15.75" customHeight="1" s="149">
      <c r="A282" s="5" t="n"/>
      <c r="B282" s="5" t="n"/>
      <c r="C282" s="5" t="n"/>
      <c r="D282" s="5" t="n"/>
      <c r="E282" s="5" t="n"/>
      <c r="F282" s="5" t="n"/>
      <c r="G282" s="5" t="n"/>
    </row>
    <row r="283" ht="15.75" customHeight="1" s="149">
      <c r="A283" s="5" t="n"/>
      <c r="B283" s="5" t="n"/>
      <c r="C283" s="5" t="n"/>
      <c r="D283" s="5" t="n"/>
      <c r="E283" s="5" t="n"/>
      <c r="F283" s="5" t="n"/>
      <c r="G283" s="5" t="n"/>
    </row>
    <row r="284" ht="15.75" customHeight="1" s="149">
      <c r="A284" s="5" t="n"/>
      <c r="B284" s="5" t="n"/>
      <c r="C284" s="5" t="n"/>
      <c r="D284" s="5" t="n"/>
      <c r="E284" s="5" t="n"/>
      <c r="F284" s="5" t="n"/>
      <c r="G284" s="5" t="n"/>
    </row>
    <row r="285" ht="15.75" customHeight="1" s="149">
      <c r="A285" s="5" t="n"/>
      <c r="B285" s="5" t="n"/>
      <c r="C285" s="5" t="n"/>
      <c r="D285" s="5" t="n"/>
      <c r="E285" s="5" t="n"/>
      <c r="F285" s="5" t="n"/>
      <c r="G285" s="5" t="n"/>
    </row>
    <row r="286" ht="15.75" customHeight="1" s="149">
      <c r="A286" s="5" t="n"/>
      <c r="B286" s="5" t="n"/>
      <c r="C286" s="5" t="n"/>
      <c r="D286" s="5" t="n"/>
      <c r="E286" s="5" t="n"/>
      <c r="F286" s="5" t="n"/>
      <c r="G286" s="5" t="n"/>
    </row>
    <row r="287" ht="15.75" customHeight="1" s="149">
      <c r="A287" s="5" t="n"/>
      <c r="B287" s="5" t="n"/>
      <c r="C287" s="5" t="n"/>
      <c r="D287" s="5" t="n"/>
      <c r="E287" s="5" t="n"/>
      <c r="F287" s="5" t="n"/>
      <c r="G287" s="5" t="n"/>
    </row>
    <row r="288" ht="15.75" customHeight="1" s="149">
      <c r="A288" s="5" t="n"/>
      <c r="B288" s="5" t="n"/>
      <c r="C288" s="5" t="n"/>
      <c r="D288" s="5" t="n"/>
      <c r="E288" s="5" t="n"/>
      <c r="F288" s="5" t="n"/>
      <c r="G288" s="5" t="n"/>
    </row>
    <row r="289" ht="15.75" customHeight="1" s="149">
      <c r="A289" s="5" t="n"/>
      <c r="B289" s="5" t="n"/>
      <c r="C289" s="5" t="n"/>
      <c r="D289" s="5" t="n"/>
      <c r="E289" s="5" t="n"/>
      <c r="F289" s="5" t="n"/>
      <c r="G289" s="5" t="n"/>
    </row>
    <row r="290" ht="15.75" customHeight="1" s="149">
      <c r="A290" s="5" t="n"/>
      <c r="B290" s="5" t="n"/>
      <c r="C290" s="5" t="n"/>
      <c r="D290" s="5" t="n"/>
      <c r="E290" s="5" t="n"/>
      <c r="F290" s="5" t="n"/>
      <c r="G290" s="5" t="n"/>
    </row>
    <row r="291" ht="15.75" customHeight="1" s="149">
      <c r="A291" s="5" t="n"/>
      <c r="B291" s="5" t="n"/>
      <c r="C291" s="5" t="n"/>
      <c r="D291" s="5" t="n"/>
      <c r="E291" s="5" t="n"/>
      <c r="F291" s="5" t="n"/>
      <c r="G291" s="5" t="n"/>
    </row>
    <row r="292" ht="15.75" customHeight="1" s="149">
      <c r="A292" s="5" t="n"/>
      <c r="B292" s="5" t="n"/>
      <c r="C292" s="5" t="n"/>
      <c r="D292" s="5" t="n"/>
      <c r="E292" s="5" t="n"/>
      <c r="F292" s="5" t="n"/>
      <c r="G292" s="5" t="n"/>
    </row>
    <row r="293" ht="15.75" customHeight="1" s="149">
      <c r="A293" s="5" t="n"/>
      <c r="B293" s="5" t="n"/>
      <c r="C293" s="5" t="n"/>
      <c r="D293" s="5" t="n"/>
      <c r="E293" s="5" t="n"/>
      <c r="F293" s="5" t="n"/>
      <c r="G293" s="5" t="n"/>
    </row>
    <row r="294" ht="15.75" customHeight="1" s="149">
      <c r="A294" s="5" t="n"/>
      <c r="B294" s="5" t="n"/>
      <c r="C294" s="5" t="n"/>
      <c r="D294" s="5" t="n"/>
      <c r="E294" s="5" t="n"/>
      <c r="F294" s="5" t="n"/>
      <c r="G294" s="5" t="n"/>
    </row>
    <row r="295" ht="15.75" customHeight="1" s="149">
      <c r="A295" s="5" t="n"/>
      <c r="B295" s="5" t="n"/>
      <c r="C295" s="5" t="n"/>
      <c r="D295" s="5" t="n"/>
      <c r="E295" s="5" t="n"/>
      <c r="F295" s="5" t="n"/>
      <c r="G295" s="5" t="n"/>
    </row>
    <row r="296" ht="15.75" customHeight="1" s="149">
      <c r="A296" s="5" t="n"/>
      <c r="B296" s="5" t="n"/>
      <c r="C296" s="5" t="n"/>
      <c r="D296" s="5" t="n"/>
      <c r="E296" s="5" t="n"/>
      <c r="F296" s="5" t="n"/>
      <c r="G296" s="5" t="n"/>
    </row>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96"/>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230"/>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36" t="inlineStr">
        <is>
          <t>NUR175  ·  Mental Health  ·  videos by module</t>
        </is>
      </c>
    </row>
    <row r="2">
      <c r="A2" s="9" t="inlineStr">
        <is>
          <t>NUR234</t>
        </is>
      </c>
      <c r="B2" s="9" t="inlineStr">
        <is>
          <t>NUR235</t>
        </is>
      </c>
      <c r="C2" s="9" t="inlineStr">
        <is>
          <t>NUR258</t>
        </is>
      </c>
      <c r="D2" s="9" t="inlineStr">
        <is>
          <t>🏠 START HERE</t>
        </is>
      </c>
      <c r="E2" s="9" t="inlineStr">
        <is>
          <t>📥 Sort me</t>
        </is>
      </c>
      <c r="F2" s="16" t="n"/>
      <c r="G2" s="16" t="n"/>
    </row>
    <row r="3">
      <c r="A3" s="19" t="inlineStr">
        <is>
          <t>NUR198</t>
        </is>
      </c>
      <c r="B3" s="26" t="inlineStr">
        <is>
          <t>NUR175</t>
        </is>
      </c>
      <c r="C3" s="19" t="inlineStr">
        <is>
          <t>NUR125</t>
        </is>
      </c>
      <c r="D3" s="19" t="n"/>
      <c r="E3" s="19" t="n"/>
      <c r="F3" s="93" t="n"/>
      <c r="G3" s="16" t="n"/>
    </row>
    <row r="4">
      <c r="A4" s="16" t="n"/>
      <c r="B4" s="16" t="n"/>
      <c r="C4" s="16" t="n"/>
      <c r="D4" s="16" t="n"/>
      <c r="E4" s="16" t="n"/>
      <c r="F4" s="16" t="n"/>
      <c r="G4" s="16" t="n"/>
    </row>
    <row r="5">
      <c r="A5" s="237" t="inlineStr">
        <is>
          <t>Module</t>
        </is>
      </c>
      <c r="B5" s="238" t="inlineStr">
        <is>
          <t>Day</t>
        </is>
      </c>
      <c r="C5" s="238" t="inlineStr">
        <is>
          <t>Date</t>
        </is>
      </c>
      <c r="D5" s="238" t="inlineStr">
        <is>
          <t>Lecturer</t>
        </is>
      </c>
      <c r="E5" s="238" t="inlineStr">
        <is>
          <t>Recording</t>
        </is>
      </c>
      <c r="F5" s="238" t="inlineStr">
        <is>
          <t>File</t>
        </is>
      </c>
      <c r="G5" s="239" t="inlineStr">
        <is>
          <t>Notes</t>
        </is>
      </c>
    </row>
    <row r="6">
      <c r="A6" s="240" t="inlineStr">
        <is>
          <t>Module 1</t>
        </is>
      </c>
      <c r="B6" s="241" t="n"/>
      <c r="C6" s="242" t="inlineStr">
        <is>
          <t>Fall 2026</t>
        </is>
      </c>
      <c r="D6" s="242" t="inlineStr">
        <is>
          <t>LSC</t>
        </is>
      </c>
      <c r="E6" s="243">
        <f>HYPERLINK("https://drive.google.com/file/d/16_2-rpSzjqYL86QvvA4jLel-pniYK-SR/view","▶  Watch")</f>
        <v/>
      </c>
      <c r="F6" s="242" t="inlineStr">
        <is>
          <t>NUR175_Fall2026_LSC_WkNA_DayNA_Exam Prep - Foundations of Psychiatric Mental Health Nursing.mp4</t>
        </is>
      </c>
      <c r="G6" s="244" t="inlineStr">
        <is>
          <t>Exam prep · Foundations of Psychiatric Mental Health Nursing</t>
        </is>
      </c>
    </row>
    <row r="7">
      <c r="A7" s="245" t="inlineStr">
        <is>
          <t>Module 1</t>
        </is>
      </c>
      <c r="B7" s="246" t="n"/>
      <c r="C7" s="247" t="inlineStr">
        <is>
          <t>Summer 2026</t>
        </is>
      </c>
      <c r="D7" s="247" t="inlineStr">
        <is>
          <t>Dr E</t>
        </is>
      </c>
      <c r="E7" s="248">
        <f>HYPERLINK("https://drive.google.com/file/d/1_lv-buH5JQDxAGoLhJIPJsa0otMtIEw2/view","▶  Watch")</f>
        <v/>
      </c>
      <c r="F7" s="247" t="inlineStr">
        <is>
          <t>NUR175_Summer2026_Dr-E_Wk01_DayNA_Foundations Neurobiology Psychopharmacology.mp4</t>
        </is>
      </c>
      <c r="G7" s="249" t="inlineStr">
        <is>
          <t>Foundations Neurobiology Psychopharmacology</t>
        </is>
      </c>
    </row>
    <row r="8">
      <c r="A8" s="240" t="inlineStr">
        <is>
          <t>Module 1</t>
        </is>
      </c>
      <c r="B8" s="241" t="n"/>
      <c r="C8" s="242" t="inlineStr">
        <is>
          <t>Summer 2026</t>
        </is>
      </c>
      <c r="D8" s="242" t="inlineStr">
        <is>
          <t>LSC</t>
        </is>
      </c>
      <c r="E8" s="243">
        <f>HYPERLINK("https://drive.google.com/file/d/1kX6ZgxHa8VjTKeCak46u2szWtg6EkkNw/view","▶  Watch")</f>
        <v/>
      </c>
      <c r="F8" s="242" t="inlineStr">
        <is>
          <t>NUR175_Summer2026_LSC_Wk01_DayNA_Exam Prep - Neurobiological Theories (2nd capture, 23 Sep).mp4</t>
        </is>
      </c>
      <c r="G8" s="244" t="inlineStr">
        <is>
          <t>Exam prep · Neurobiological Theories · 2nd capture, 23 Sep</t>
        </is>
      </c>
    </row>
    <row r="9">
      <c r="A9" s="245" t="inlineStr">
        <is>
          <t>Module 1</t>
        </is>
      </c>
      <c r="B9" s="246" t="n"/>
      <c r="C9" s="247" t="inlineStr">
        <is>
          <t>Summer 2026</t>
        </is>
      </c>
      <c r="D9" s="247" t="inlineStr">
        <is>
          <t>LSC</t>
        </is>
      </c>
      <c r="E9" s="248">
        <f>HYPERLINK("https://drive.google.com/file/d/1gWMxVcfP4zgTbbdk-3bPYd1lrgk50pkX/view","▶  Watch")</f>
        <v/>
      </c>
      <c r="F9" s="247" t="inlineStr">
        <is>
          <t>NUR175_Summer2026_LSC_WkNA_DayNA_Exam Prep - Neurobiological Theories.mp4</t>
        </is>
      </c>
      <c r="G9" s="249" t="inlineStr">
        <is>
          <t>Exam prep · Neurobiological Theories</t>
        </is>
      </c>
    </row>
    <row r="10">
      <c r="A10" s="240" t="inlineStr">
        <is>
          <t>Module 1</t>
        </is>
      </c>
      <c r="B10" s="241" t="n"/>
      <c r="C10" s="242" t="inlineStr">
        <is>
          <t>Summer 2026</t>
        </is>
      </c>
      <c r="D10" s="242" t="inlineStr">
        <is>
          <t>SimpleNursing</t>
        </is>
      </c>
      <c r="E10" s="243">
        <f>HYPERLINK("https://drive.google.com/file/d/1JcuWKd7Q4vhxocs85o_eCmTZgsT8Ltpu/view","▶  Watch")</f>
        <v/>
      </c>
      <c r="F10" s="242" t="inlineStr">
        <is>
          <t>NUR175_Summer2026_SimpleNursing_WkNA_DayNA_Psych Meds Intro Clip - Neurotransmitters - 2026-07-03.mp4</t>
        </is>
      </c>
      <c r="G10" s="244" t="inlineStr">
        <is>
          <t>Psych Meds Intro Clip - Neurotransmitters - 2026-07-03</t>
        </is>
      </c>
    </row>
    <row r="11" ht="15.75" customHeight="1" s="149">
      <c r="A11" s="245" t="inlineStr">
        <is>
          <t>Module 2</t>
        </is>
      </c>
      <c r="B11" s="246" t="n"/>
      <c r="C11" s="247" t="inlineStr">
        <is>
          <t>Summer 2026</t>
        </is>
      </c>
      <c r="D11" s="247" t="inlineStr">
        <is>
          <t>Dr E</t>
        </is>
      </c>
      <c r="E11" s="248">
        <f>HYPERLINK("https://drive.google.com/file/d/1Pe3ZmnCtnKxH-MmstQXog3BSo52qfdAB/view","▶  Watch")</f>
        <v/>
      </c>
      <c r="F11" s="247" t="inlineStr">
        <is>
          <t>NUR175_Summer2026_Dr-E_Wk02_DayNA_Theories Therapy and Treatment Settings.mp4</t>
        </is>
      </c>
      <c r="G11" s="249" t="inlineStr">
        <is>
          <t>Theories Therapy and Treatment Settings</t>
        </is>
      </c>
    </row>
    <row r="12" ht="15.75" customHeight="1" s="149">
      <c r="A12" s="240" t="inlineStr">
        <is>
          <t>Module 5</t>
        </is>
      </c>
      <c r="B12" s="241" t="n"/>
      <c r="C12" s="242" t="inlineStr">
        <is>
          <t>Fall 2026</t>
        </is>
      </c>
      <c r="D12" s="242" t="inlineStr">
        <is>
          <t>SimpleNursing</t>
        </is>
      </c>
      <c r="E12" s="243">
        <f>HYPERLINK("https://drive.google.com/file/d/1LJA-UCPkQcPVhtpUjWVppatjFP-TThur/view","▶  Watch")</f>
        <v/>
      </c>
      <c r="F12" s="242" t="inlineStr">
        <is>
          <t>NUR235_Fall2026_SimpleNursing_Wk01_DayNA_Child's concept of death, palliative and hospice care.mp4</t>
        </is>
      </c>
      <c r="G12" s="244" t="inlineStr">
        <is>
          <t>Child's concept of death, palliative and hospice care · related: grief, loss, palliative and hospice care · filed under NUR 235 Module 1</t>
        </is>
      </c>
    </row>
    <row r="13" ht="15.75" customHeight="1" s="149">
      <c r="A13" s="245" t="inlineStr">
        <is>
          <t>Module 6</t>
        </is>
      </c>
      <c r="B13" s="246" t="n"/>
      <c r="C13" s="247" t="inlineStr">
        <is>
          <t>Fall 2026</t>
        </is>
      </c>
      <c r="D13" s="247" t="inlineStr">
        <is>
          <t>LSC</t>
        </is>
      </c>
      <c r="E13" s="248">
        <f>HYPERLINK("https://drive.google.com/file/d/1s-JFTVHX7JowbxG52oebTWEyFXSAyVap/view","▶  Watch")</f>
        <v/>
      </c>
      <c r="F13" s="247" t="inlineStr">
        <is>
          <t>NUR175_Fall2026_LSC_Wk06_DayNA_Module 6 - Anger, Hostility, Aggression, Abuse, Violence (exam prep, Dr Corey Meyer and Dr Greg, 88-06).mp4</t>
        </is>
      </c>
      <c r="G13" s="249" t="inlineStr">
        <is>
          <t>M6 · Exam prep · Anger, hostility, aggression, abuse, violence</t>
        </is>
      </c>
    </row>
    <row r="14" ht="15.75" customHeight="1" s="149">
      <c r="A14" s="240" t="inlineStr">
        <is>
          <t>Module 6</t>
        </is>
      </c>
      <c r="B14" s="241" t="inlineStr">
        <is>
          <t>Day 1</t>
        </is>
      </c>
      <c r="C14" s="242" t="inlineStr">
        <is>
          <t>Spring 2026</t>
        </is>
      </c>
      <c r="D14" s="242" t="inlineStr">
        <is>
          <t>Wilkins</t>
        </is>
      </c>
      <c r="E14" s="243">
        <f>HYPERLINK("https://drive.google.com/file/d/1ub_RgvhQ15wEThSZ6lFdaPwkAIoZQQoA/view","▶  Watch")</f>
        <v/>
      </c>
      <c r="F14" s="242" t="inlineStr">
        <is>
          <t>NUR175_Spring2026_Wilkins_Wk06_Day1_Anger Hostility Aggression.mp4</t>
        </is>
      </c>
      <c r="G14" s="244" t="inlineStr">
        <is>
          <t>Day 1 · Anger Hostility Aggression</t>
        </is>
      </c>
    </row>
    <row r="15" ht="15.75" customHeight="1" s="149">
      <c r="A15" s="245" t="inlineStr">
        <is>
          <t>Module 7</t>
        </is>
      </c>
      <c r="B15" s="246" t="n"/>
      <c r="C15" s="247" t="inlineStr">
        <is>
          <t>Spring 2026</t>
        </is>
      </c>
      <c r="D15" s="247" t="inlineStr">
        <is>
          <t>Wilkins</t>
        </is>
      </c>
      <c r="E15" s="248">
        <f>HYPERLINK("https://drive.google.com/file/d/1UL4j3SaKpfkhCEnxm2LnOKxcE7u6cfuc/view","▶  Watch")</f>
        <v/>
      </c>
      <c r="F15" s="247" t="inlineStr">
        <is>
          <t>NUR175_Spring2026_Wilkins_Wk07_DayNA_Trauma and Stressor-Related.mp4</t>
        </is>
      </c>
      <c r="G15" s="249" t="inlineStr">
        <is>
          <t>Trauma and Stressor-Related</t>
        </is>
      </c>
    </row>
    <row r="16" ht="15.75" customHeight="1" s="149">
      <c r="A16" s="240" t="inlineStr">
        <is>
          <t>Module 7</t>
        </is>
      </c>
      <c r="B16" s="241" t="n"/>
      <c r="C16" s="242" t="inlineStr">
        <is>
          <t>Summer 2026</t>
        </is>
      </c>
      <c r="D16" s="242" t="inlineStr">
        <is>
          <t>SimpleNursing</t>
        </is>
      </c>
      <c r="E16" s="243">
        <f>HYPERLINK("https://drive.google.com/file/d/1XNcrWLH2hXZ92f1HCSTV2Fex7cH16Nsd/view","▶  Watch")</f>
        <v/>
      </c>
      <c r="F16" s="242" t="inlineStr">
        <is>
          <t>NUR175_Summer2026_SimpleNursing_WkNA_DayNA_OCD &amp; Anxiety Disorders - Mental Health - 2026-07-04.mp4</t>
        </is>
      </c>
      <c r="G16" s="244" t="inlineStr">
        <is>
          <t>OCD &amp; Anxiety Disorders - Mental Health - 2026-07-04</t>
        </is>
      </c>
    </row>
    <row r="17" ht="15.75" customHeight="1" s="149">
      <c r="A17" s="245" t="inlineStr">
        <is>
          <t>Module 10</t>
        </is>
      </c>
      <c r="B17" s="246" t="n"/>
      <c r="C17" s="247" t="inlineStr">
        <is>
          <t>Summer 2026</t>
        </is>
      </c>
      <c r="D17" s="247" t="inlineStr">
        <is>
          <t>Not named</t>
        </is>
      </c>
      <c r="E17" s="248">
        <f>HYPERLINK("https://drive.google.com/file/d/1mbE9wVZcJkc2oTEDU_Jq7Zr6LR1qS-sG/view","▶  Watch")</f>
        <v/>
      </c>
      <c r="F17" s="247" t="inlineStr">
        <is>
          <t>NUR175_Summer2026_Unknown_WkNA_DayNA_Live Class - Addiction &amp; Eating Disorders - 2026-07-04.mp4</t>
        </is>
      </c>
      <c r="G17" s="249" t="inlineStr">
        <is>
          <t>Live Class - Addiction &amp; Eating Disorders - 2026-07-04</t>
        </is>
      </c>
    </row>
    <row r="18" ht="15.75" customHeight="1" s="149">
      <c r="A18" s="240" t="inlineStr">
        <is>
          <t>Module 10</t>
        </is>
      </c>
      <c r="B18" s="241" t="n"/>
      <c r="C18" s="242" t="inlineStr">
        <is>
          <t>Summer 2026</t>
        </is>
      </c>
      <c r="D18" s="242" t="inlineStr">
        <is>
          <t>SimpleNursing</t>
        </is>
      </c>
      <c r="E18" s="243">
        <f>HYPERLINK("https://drive.google.com/file/d/1PtrAWNr2AQ-CndxK1DP1Hn1nvG6wvIkQ/view","▶  Watch")</f>
        <v/>
      </c>
      <c r="F18" s="242" t="inlineStr">
        <is>
          <t>NUR175_Summer2026_SimpleNursing_WkNA_DayNA_Mental health videos - personality disorders and more (screen recording 8 Jul).mp4</t>
        </is>
      </c>
      <c r="G18" s="244" t="inlineStr">
        <is>
          <t>Mental health videos · personality disorders and more (8 Jul)</t>
        </is>
      </c>
    </row>
    <row r="19" ht="15.75" customHeight="1" s="149">
      <c r="A19" s="245" t="inlineStr">
        <is>
          <t>Module 11</t>
        </is>
      </c>
      <c r="B19" s="246" t="n"/>
      <c r="C19" s="247" t="inlineStr">
        <is>
          <t>Summer 2026</t>
        </is>
      </c>
      <c r="D19" s="247" t="inlineStr">
        <is>
          <t>Crystal Steele</t>
        </is>
      </c>
      <c r="E19" s="248">
        <f>HYPERLINK("https://drive.google.com/file/d/1kzaMHIBDRT_tUPJwjgLQPzK9uakpe83T/view","▶  Watch")</f>
        <v/>
      </c>
      <c r="F19" s="247" t="inlineStr">
        <is>
          <t>NUR175_Summer2026_Crystal-Steele_WkNA_DayNA_2026-07-05 Chrome - Mental Health Nursing Zoom lecture.mp4</t>
        </is>
      </c>
      <c r="G19" s="249" t="inlineStr">
        <is>
          <t>2026-07-05 Chrome - Mental Health Nursing Zoom lecture</t>
        </is>
      </c>
    </row>
    <row r="20">
      <c r="A20" s="240" t="inlineStr">
        <is>
          <t>Module 11</t>
        </is>
      </c>
      <c r="B20" s="241" t="n"/>
      <c r="C20" s="242" t="inlineStr">
        <is>
          <t>Summer 2026</t>
        </is>
      </c>
      <c r="D20" s="242" t="inlineStr">
        <is>
          <t>Wilkins</t>
        </is>
      </c>
      <c r="E20" s="243">
        <f>HYPERLINK("https://drive.google.com/file/d/13h4QvgxevjrlsF5Q7cK7lbHG15t-xrh9/view","▶  Watch")</f>
        <v/>
      </c>
      <c r="F20" s="242" t="inlineStr">
        <is>
          <t>NUR175_Summer2026_Wilkins_Wk11_DayNA_Somatic Symptom Illness and Neurodevelopmental Disorder.mp4</t>
        </is>
      </c>
      <c r="G20" s="244" t="inlineStr">
        <is>
          <t>Week 11 · Somatic Symptom Illness and Neurodevelopmental Disorder</t>
        </is>
      </c>
    </row>
    <row r="21" ht="15.75" customHeight="1" s="149">
      <c r="A21" s="245" t="inlineStr">
        <is>
          <t>Module 12</t>
        </is>
      </c>
      <c r="B21" s="246" t="n"/>
      <c r="C21" s="247" t="inlineStr">
        <is>
          <t>Fall 2026</t>
        </is>
      </c>
      <c r="D21" s="247" t="inlineStr">
        <is>
          <t>SimpleNursing</t>
        </is>
      </c>
      <c r="E21" s="248">
        <f>HYPERLINK("https://drive.google.com/file/d/1eFvyj5bgw2NDc5sMW3P43Mr9dbGCi3cS/view","▶  Watch")</f>
        <v/>
      </c>
      <c r="F21" s="247" t="inlineStr">
        <is>
          <t>NUR258_Fall2026_SimpleNursing_Wk07_DayNA_CNS and PNS.mp4</t>
        </is>
      </c>
      <c r="G21" s="249" t="inlineStr">
        <is>
          <t>CNS and PNS · related: includes Alzheimer disease - cognitive disorders · filed under NUR 258 Module 7</t>
        </is>
      </c>
    </row>
    <row r="22" ht="15.75" customHeight="1" s="149">
      <c r="A22" s="240" t="inlineStr">
        <is>
          <t>Module 13</t>
        </is>
      </c>
      <c r="B22" s="241" t="n"/>
      <c r="C22" s="242" t="inlineStr">
        <is>
          <t>Summer 2026</t>
        </is>
      </c>
      <c r="D22" s="242" t="inlineStr">
        <is>
          <t>LSC</t>
        </is>
      </c>
      <c r="E22" s="243">
        <f>HYPERLINK("https://drive.google.com/file/d/1inieICqA7U070hIaplwNlrAijcoh8hXJ/view","▶  Watch")</f>
        <v/>
      </c>
      <c r="F22" s="242" t="inlineStr">
        <is>
          <t>NUR175_Summer2026_LSC_Wk13_DayNA_Module 13 - Psychopharmacology (LSC exam prep, 14 Aug 2026, 47-19).mp4</t>
        </is>
      </c>
      <c r="G22" s="244" t="inlineStr">
        <is>
          <t>M13 · Exam prep · Psychopharmacology · 47:19</t>
        </is>
      </c>
    </row>
    <row r="23" ht="15.75" customHeight="1" s="149">
      <c r="A23" s="245" t="inlineStr">
        <is>
          <t>Module 13</t>
        </is>
      </c>
      <c r="B23" s="246" t="n"/>
      <c r="C23" s="247" t="inlineStr">
        <is>
          <t>Summer 2026</t>
        </is>
      </c>
      <c r="D23" s="247" t="inlineStr">
        <is>
          <t>Wilkins</t>
        </is>
      </c>
      <c r="E23" s="248">
        <f>HYPERLINK("https://drive.google.com/file/d/1EKhhlXXsLO5s6joXtNIQrzqjPoWmUy_f/view","▶  Watch")</f>
        <v/>
      </c>
      <c r="F23" s="247" t="inlineStr">
        <is>
          <t>NUR175_Summer2026_Wilkins_WkNA_DayNA_Review of medications - antipsychotics and mental health drug classes (33-29).mp4</t>
        </is>
      </c>
      <c r="G23" s="249" t="inlineStr">
        <is>
          <t>Pharmacology review · Antipsychotics and mental health drug classes · 33:29</t>
        </is>
      </c>
    </row>
    <row r="24" ht="15.75" customHeight="1" s="149">
      <c r="A24" s="240" t="inlineStr">
        <is>
          <t>Module 13</t>
        </is>
      </c>
      <c r="B24" s="241" t="n"/>
      <c r="C24" s="242" t="inlineStr">
        <is>
          <t>Summer 2026</t>
        </is>
      </c>
      <c r="D24" s="242" t="inlineStr">
        <is>
          <t>SimpleNursing</t>
        </is>
      </c>
      <c r="E24" s="243">
        <f>HYPERLINK("https://drive.google.com/file/d/1GjskjzLlmq4xc_IHoBwi6ySUS_g_ymIC/view","▶  Watch")</f>
        <v/>
      </c>
      <c r="F24" s="242" t="inlineStr">
        <is>
          <t>NUR175_Summer2026_SimpleNursing_WkNA_DayNA_Mental Health Full Review - Psych Meds, Schizophrenia, Bipolar &amp; More - 2026-07-04.mp4</t>
        </is>
      </c>
      <c r="G24" s="244" t="inlineStr">
        <is>
          <t>Mental Health Full Review - Psych Meds, Schizophrenia, Bipolar &amp; More - 2026-07-04 · Simple Nursing full review - also covers schizophrenia and bipolar (Module 9)</t>
        </is>
      </c>
    </row>
    <row r="25" ht="15.75" customHeight="1" s="149">
      <c r="A25" s="245" t="inlineStr">
        <is>
          <t>Other</t>
        </is>
      </c>
      <c r="B25" s="246" t="n"/>
      <c r="C25" s="247" t="inlineStr">
        <is>
          <t>Fall 2026</t>
        </is>
      </c>
      <c r="D25" s="247" t="inlineStr">
        <is>
          <t>Not named</t>
        </is>
      </c>
      <c r="E25" s="248">
        <f>HYPERLINK("https://drive.google.com/file/d/1GKBuzAE_UdDt1wtabvp_jLP1jNiCwsc2/view","▶  Watch")</f>
        <v/>
      </c>
      <c r="F25" s="247" t="inlineStr">
        <is>
          <t>NUR175_Fall2026_Unknown_WkNA_DayNA_Sat 12 Sep 3-53 PM - Mental health practice questions - schizophrenia, bipolar (topic from the speech index).mp4</t>
        </is>
      </c>
      <c r="G25" s="249" t="inlineStr">
        <is>
          <t>Mental health practice questions — schizophrenia, bipolar</t>
        </is>
      </c>
    </row>
    <row r="26" ht="15.75" customHeight="1" s="149">
      <c r="A26" s="240" t="inlineStr">
        <is>
          <t>Other</t>
        </is>
      </c>
      <c r="B26" s="241" t="n"/>
      <c r="C26" s="242" t="n"/>
      <c r="D26" s="242" t="inlineStr">
        <is>
          <t>Wilkins</t>
        </is>
      </c>
      <c r="E26" s="243">
        <f>HYPERLINK("https://www.youtube.com/watch?v=qYlhhjHHa2M","▶  Watch")</f>
        <v/>
      </c>
      <c r="F26" s="242" t="inlineStr">
        <is>
          <t>Exam 3 review (YouTube)</t>
        </is>
      </c>
      <c r="G26" s="244" t="inlineStr">
        <is>
          <t>Exam 3 review</t>
        </is>
      </c>
    </row>
    <row r="27" ht="15.75" customHeight="1" s="149">
      <c r="A27" s="245" t="inlineStr">
        <is>
          <t>Other</t>
        </is>
      </c>
      <c r="B27" s="246" t="n"/>
      <c r="C27" s="247" t="n"/>
      <c r="D27" s="247" t="inlineStr">
        <is>
          <t>Wilkins</t>
        </is>
      </c>
      <c r="E27" s="248">
        <f>HYPERLINK("https://docs.google.com/spreadsheets/d/1ih8q-yF_7-yjMC4PMAUIcCb1gEgMI2IkOL97L6yLrXQ/edit","📄  Open sheet")</f>
        <v/>
      </c>
      <c r="F27" s="247" t="inlineStr">
        <is>
          <t>Exam 2 review - Zoom; link and passcode in the Wilkins sheet</t>
        </is>
      </c>
      <c r="G27" s="249" t="inlineStr">
        <is>
          <t>Exam 2 review</t>
        </is>
      </c>
    </row>
    <row r="28" ht="15.75" customHeight="1" s="149">
      <c r="A28" s="240" t="inlineStr">
        <is>
          <t>Other</t>
        </is>
      </c>
      <c r="B28" s="241" t="n"/>
      <c r="C28" s="242" t="n"/>
      <c r="D28" s="242" t="inlineStr">
        <is>
          <t>Wilkins</t>
        </is>
      </c>
      <c r="E28" s="243">
        <f>HYPERLINK("https://docs.google.com/spreadsheets/d/1ih8q-yF_7-yjMC4PMAUIcCb1gEgMI2IkOL97L6yLrXQ/edit","📄  Open sheet")</f>
        <v/>
      </c>
      <c r="F28" s="242" t="inlineStr">
        <is>
          <t>Psychopharm review - Zoom; link and passcode in the Wilkins sheet</t>
        </is>
      </c>
      <c r="G28" s="244" t="inlineStr">
        <is>
          <t>Psychopharm review</t>
        </is>
      </c>
    </row>
    <row r="29" ht="15.75" customHeight="1" s="149">
      <c r="A29" s="245" t="inlineStr">
        <is>
          <t>Other</t>
        </is>
      </c>
      <c r="B29" s="246" t="n"/>
      <c r="C29" s="247" t="n"/>
      <c r="D29" s="247" t="inlineStr">
        <is>
          <t>Wilkins</t>
        </is>
      </c>
      <c r="E29" s="248">
        <f>HYPERLINK("https://docs.google.com/spreadsheets/d/1ih8q-yF_7-yjMC4PMAUIcCb1gEgMI2IkOL97L6yLrXQ/edit","📄  Open sheet")</f>
        <v/>
      </c>
      <c r="F29" s="247" t="inlineStr">
        <is>
          <t>Week 2 practice questions - Zoom; link and passcode in the Wilkins sheet</t>
        </is>
      </c>
      <c r="G29" s="249" t="inlineStr">
        <is>
          <t>Week 2 practice questions</t>
        </is>
      </c>
    </row>
    <row r="30" ht="15.75" customHeight="1" s="149">
      <c r="A30" s="240" t="inlineStr">
        <is>
          <t>Other</t>
        </is>
      </c>
      <c r="B30" s="241" t="n"/>
      <c r="C30" s="242" t="n"/>
      <c r="D30" s="242" t="inlineStr">
        <is>
          <t>Wilkins</t>
        </is>
      </c>
      <c r="E30" s="243">
        <f>HYPERLINK("https://docs.google.com/spreadsheets/d/1ih8q-yF_7-yjMC4PMAUIcCb1gEgMI2IkOL97L6yLrXQ/edit","📄  Open sheet")</f>
        <v/>
      </c>
      <c r="F30" s="242" t="inlineStr">
        <is>
          <t>Week 3 practice questions - Zoom; link and passcode in the Wilkins sheet</t>
        </is>
      </c>
      <c r="G30" s="244" t="inlineStr">
        <is>
          <t>Week 3 practice questions</t>
        </is>
      </c>
    </row>
    <row r="31" ht="15.75" customHeight="1" s="149">
      <c r="A31" s="245" t="n"/>
      <c r="B31" s="246" t="n"/>
      <c r="C31" s="247" t="n"/>
      <c r="D31" s="247" t="n"/>
      <c r="E31" s="248" t="n"/>
      <c r="F31" s="247" t="n"/>
      <c r="G31" s="249" t="n"/>
    </row>
    <row r="32" ht="15.75" customHeight="1" s="149">
      <c r="A32" s="240" t="n"/>
      <c r="B32" s="241" t="n"/>
      <c r="C32" s="242" t="n"/>
      <c r="D32" s="242" t="n"/>
      <c r="E32" s="243" t="n"/>
      <c r="F32" s="242" t="n"/>
      <c r="G32" s="244" t="n"/>
    </row>
    <row r="33" ht="15.75" customHeight="1" s="149">
      <c r="A33" s="245" t="n"/>
      <c r="B33" s="246" t="n"/>
      <c r="C33" s="247" t="n"/>
      <c r="D33" s="247" t="n"/>
      <c r="E33" s="248" t="n"/>
      <c r="F33" s="247" t="n"/>
      <c r="G33" s="249" t="n"/>
    </row>
    <row r="34" ht="15.75" customHeight="1" s="149">
      <c r="A34" s="240" t="n"/>
      <c r="B34" s="241" t="n"/>
      <c r="C34" s="242" t="n"/>
      <c r="D34" s="242" t="n"/>
      <c r="E34" s="243" t="n"/>
      <c r="F34" s="242" t="n"/>
      <c r="G34" s="244" t="n"/>
    </row>
    <row r="35" ht="15.75" customHeight="1" s="149">
      <c r="A35" s="245" t="n"/>
      <c r="B35" s="246" t="n"/>
      <c r="C35" s="247" t="n"/>
      <c r="D35" s="247" t="n"/>
      <c r="E35" s="248" t="n"/>
      <c r="F35" s="247" t="n"/>
      <c r="G35" s="249" t="n"/>
    </row>
    <row r="36" ht="15.75" customHeight="1" s="149">
      <c r="A36" s="240" t="n"/>
      <c r="B36" s="241" t="n"/>
      <c r="C36" s="242" t="n"/>
      <c r="D36" s="242" t="n"/>
      <c r="E36" s="243" t="n"/>
      <c r="F36" s="242" t="n"/>
      <c r="G36" s="244" t="n"/>
    </row>
    <row r="37" ht="15.75" customHeight="1" s="149">
      <c r="A37" s="245" t="n"/>
      <c r="B37" s="246" t="n"/>
      <c r="C37" s="247" t="n"/>
      <c r="D37" s="247" t="n"/>
      <c r="E37" s="248" t="n"/>
      <c r="F37" s="247" t="n"/>
      <c r="G37" s="249" t="n"/>
    </row>
    <row r="38" ht="15.75" customHeight="1" s="149">
      <c r="A38" s="240" t="n"/>
      <c r="B38" s="241" t="n"/>
      <c r="C38" s="242" t="n"/>
      <c r="D38" s="242" t="n"/>
      <c r="E38" s="243" t="n"/>
      <c r="F38" s="242" t="n"/>
      <c r="G38" s="244" t="n"/>
    </row>
    <row r="39" ht="15.75" customHeight="1" s="149">
      <c r="A39" s="245" t="n"/>
      <c r="B39" s="246" t="n"/>
      <c r="C39" s="247" t="n"/>
      <c r="D39" s="247" t="n"/>
      <c r="E39" s="248" t="n"/>
      <c r="F39" s="247" t="n"/>
      <c r="G39" s="249" t="n"/>
    </row>
    <row r="40" ht="15.75" customHeight="1" s="149">
      <c r="A40" s="240" t="n"/>
      <c r="B40" s="241" t="n"/>
      <c r="C40" s="242" t="n"/>
      <c r="D40" s="242" t="n"/>
      <c r="E40" s="243" t="n"/>
      <c r="F40" s="242" t="n"/>
      <c r="G40" s="244" t="n"/>
    </row>
    <row r="41" ht="15.75" customHeight="1" s="149">
      <c r="A41" s="245" t="n"/>
      <c r="B41" s="246" t="n"/>
      <c r="C41" s="247" t="n"/>
      <c r="D41" s="247" t="n"/>
      <c r="E41" s="248" t="n"/>
      <c r="F41" s="247" t="n"/>
      <c r="G41" s="249" t="n"/>
    </row>
    <row r="42" ht="15.75" customHeight="1" s="149">
      <c r="A42" s="240" t="n"/>
      <c r="B42" s="241" t="n"/>
      <c r="C42" s="242" t="n"/>
      <c r="D42" s="242" t="n"/>
      <c r="E42" s="243" t="n"/>
      <c r="F42" s="242" t="n"/>
      <c r="G42" s="244" t="n"/>
    </row>
    <row r="43" ht="15.75" customHeight="1" s="149">
      <c r="A43" s="245" t="n"/>
      <c r="B43" s="246" t="n"/>
      <c r="C43" s="247" t="n"/>
      <c r="D43" s="247" t="n"/>
      <c r="E43" s="248" t="n"/>
      <c r="F43" s="247" t="n"/>
      <c r="G43" s="249" t="n"/>
    </row>
    <row r="44" ht="15.75" customHeight="1" s="149">
      <c r="A44" s="240" t="n"/>
      <c r="B44" s="241" t="n"/>
      <c r="C44" s="242" t="n"/>
      <c r="D44" s="242" t="n"/>
      <c r="E44" s="243" t="n"/>
      <c r="F44" s="242" t="n"/>
      <c r="G44" s="244" t="n"/>
    </row>
    <row r="45" ht="15.75" customHeight="1" s="149">
      <c r="A45" s="245" t="n"/>
      <c r="B45" s="246" t="n"/>
      <c r="C45" s="247" t="n"/>
      <c r="D45" s="247" t="n"/>
      <c r="E45" s="248" t="n"/>
      <c r="F45" s="247" t="n"/>
      <c r="G45" s="249" t="n"/>
    </row>
    <row r="46" ht="15.75" customHeight="1" s="149">
      <c r="A46" s="121" t="n"/>
      <c r="B46" s="122" t="n"/>
      <c r="C46" s="124" t="n"/>
      <c r="D46" s="124" t="n"/>
      <c r="E46" s="126" t="n"/>
      <c r="F46" s="124" t="n"/>
      <c r="G46" s="136" t="n"/>
    </row>
    <row r="47" ht="15.75" customHeight="1" s="149">
      <c r="A47" s="121" t="n"/>
      <c r="B47" s="122" t="n"/>
      <c r="C47" s="124" t="n"/>
      <c r="D47" s="124" t="n"/>
      <c r="E47" s="126" t="n"/>
      <c r="F47" s="124" t="n"/>
      <c r="G47" s="127" t="n"/>
    </row>
    <row r="48" ht="15.75" customHeight="1" s="149">
      <c r="A48" s="121" t="n"/>
      <c r="B48" s="122" t="n"/>
      <c r="C48" s="124" t="n"/>
      <c r="D48" s="124" t="n"/>
      <c r="E48" s="126" t="n"/>
      <c r="F48" s="124" t="n"/>
      <c r="G48" s="127" t="n"/>
    </row>
    <row r="49" ht="15.75" customHeight="1" s="149">
      <c r="A49" s="121" t="n"/>
      <c r="B49" s="122" t="n"/>
      <c r="C49" s="124" t="n"/>
      <c r="D49" s="124" t="n"/>
      <c r="E49" s="126" t="n"/>
      <c r="F49" s="124" t="n"/>
      <c r="G49" s="127" t="n"/>
    </row>
    <row r="50" ht="15.75" customHeight="1" s="149">
      <c r="A50" s="121" t="n"/>
      <c r="B50" s="122" t="n"/>
      <c r="C50" s="124" t="n"/>
      <c r="D50" s="124" t="n"/>
      <c r="E50" s="126" t="n"/>
      <c r="F50" s="124" t="n"/>
      <c r="G50" s="127" t="n"/>
    </row>
    <row r="51" ht="15.75" customHeight="1" s="149">
      <c r="A51" s="121" t="n"/>
      <c r="B51" s="122" t="n"/>
      <c r="C51" s="124" t="n"/>
      <c r="D51" s="124" t="n"/>
      <c r="E51" s="124" t="n"/>
      <c r="F51" s="124" t="n"/>
      <c r="G51" s="127" t="n"/>
    </row>
    <row r="52" ht="15.75" customHeight="1" s="149">
      <c r="A52" s="137" t="n"/>
      <c r="B52" s="138" t="n"/>
      <c r="C52" s="139" t="n"/>
      <c r="D52" s="139" t="n"/>
      <c r="E52" s="141" t="n"/>
      <c r="F52" s="139" t="n"/>
      <c r="G52" s="142"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220"/>
  <sheetViews>
    <sheetView workbookViewId="0">
      <selection activeCell="A1" sqref="A1"/>
    </sheetView>
  </sheetViews>
  <sheetFormatPr baseColWidth="8" defaultColWidth="14.43" defaultRowHeight="15" customHeight="1"/>
  <cols>
    <col width="12" customWidth="1" style="149" min="1" max="1"/>
    <col width="10" customWidth="1" style="149" min="2" max="2"/>
    <col width="14" customWidth="1" style="149" min="3" max="4"/>
    <col width="20" customWidth="1" style="149" min="5" max="5"/>
    <col hidden="1" width="28" customWidth="1" style="149" min="6" max="6"/>
    <col width="44" customWidth="1" style="149" min="7" max="7"/>
  </cols>
  <sheetData>
    <row r="1">
      <c r="A1" s="250" t="inlineStr">
        <is>
          <t>NUR125  ·  Fundamentals  ·  videos by module</t>
        </is>
      </c>
    </row>
    <row r="2">
      <c r="A2" s="9" t="inlineStr">
        <is>
          <t>NUR234</t>
        </is>
      </c>
      <c r="B2" s="9" t="inlineStr">
        <is>
          <t>NUR235</t>
        </is>
      </c>
      <c r="C2" s="9" t="inlineStr">
        <is>
          <t>NUR258</t>
        </is>
      </c>
      <c r="D2" s="9" t="inlineStr">
        <is>
          <t>🏠 START HERE</t>
        </is>
      </c>
      <c r="E2" s="9" t="inlineStr">
        <is>
          <t>📥 Sort me</t>
        </is>
      </c>
      <c r="F2" s="16" t="n"/>
      <c r="G2" s="16" t="n"/>
    </row>
    <row r="3">
      <c r="A3" s="19" t="inlineStr">
        <is>
          <t>NUR198</t>
        </is>
      </c>
      <c r="B3" s="19" t="inlineStr">
        <is>
          <t>NUR175</t>
        </is>
      </c>
      <c r="C3" s="128" t="inlineStr">
        <is>
          <t>NUR125</t>
        </is>
      </c>
      <c r="D3" s="19" t="n"/>
      <c r="E3" s="19" t="n"/>
      <c r="F3" s="93" t="n"/>
      <c r="G3" s="16" t="n"/>
    </row>
    <row r="4">
      <c r="A4" s="16" t="n"/>
      <c r="B4" s="16" t="n"/>
      <c r="C4" s="16" t="n"/>
      <c r="D4" s="16" t="n"/>
      <c r="E4" s="16" t="n"/>
      <c r="F4" s="16" t="n"/>
      <c r="G4" s="16" t="n"/>
    </row>
    <row r="5">
      <c r="A5" s="251" t="inlineStr">
        <is>
          <t>Module</t>
        </is>
      </c>
      <c r="B5" s="252" t="inlineStr">
        <is>
          <t>Day</t>
        </is>
      </c>
      <c r="C5" s="252" t="inlineStr">
        <is>
          <t>Date</t>
        </is>
      </c>
      <c r="D5" s="252" t="inlineStr">
        <is>
          <t>Lecturer</t>
        </is>
      </c>
      <c r="E5" s="252" t="inlineStr">
        <is>
          <t>Recording</t>
        </is>
      </c>
      <c r="F5" s="252" t="inlineStr">
        <is>
          <t>File</t>
        </is>
      </c>
      <c r="G5" s="253" t="inlineStr">
        <is>
          <t>Notes</t>
        </is>
      </c>
      <c r="H5" s="5" t="n"/>
      <c r="I5" s="5" t="n"/>
      <c r="J5" s="5" t="n"/>
      <c r="K5" s="5" t="n"/>
      <c r="L5" s="5" t="n"/>
      <c r="M5" s="5" t="n"/>
      <c r="N5" s="5" t="n"/>
      <c r="O5" s="5" t="n"/>
      <c r="P5" s="5" t="n"/>
      <c r="Q5" s="5" t="n"/>
      <c r="R5" s="5" t="n"/>
      <c r="S5" s="5" t="n"/>
      <c r="T5" s="5" t="n"/>
      <c r="U5" s="5" t="n"/>
      <c r="V5" s="5" t="n"/>
      <c r="W5" s="5" t="n"/>
      <c r="X5" s="5" t="n"/>
      <c r="Y5" s="5" t="n"/>
      <c r="Z5" s="5" t="n"/>
    </row>
    <row r="6">
      <c r="A6" s="254" t="inlineStr">
        <is>
          <t>Module 1</t>
        </is>
      </c>
      <c r="B6" s="255" t="n"/>
      <c r="C6" s="256" t="inlineStr">
        <is>
          <t>Fall 2026</t>
        </is>
      </c>
      <c r="D6" s="256" t="inlineStr">
        <is>
          <t>SimpleNursing</t>
        </is>
      </c>
      <c r="E6" s="257">
        <f>HYPERLINK("https://drive.google.com/file/d/1WgVa1Vbn8CUeYQ-DB8WdxUGk-IPIi-1S/view","▶  Watch")</f>
        <v/>
      </c>
      <c r="F6" s="256" t="inlineStr">
        <is>
          <t>NUR235_Fall2026_SimpleNursing_Wk01_DayNA_Pediatric vital signs.mp4</t>
        </is>
      </c>
      <c r="G6" s="258" t="inlineStr">
        <is>
          <t>Pediatric vital signs · related: vital signs (pediatric ranges) · filed under NUR 235 Module 1</t>
        </is>
      </c>
      <c r="H6" s="5" t="n"/>
      <c r="I6" s="5" t="n"/>
      <c r="J6" s="5" t="n"/>
      <c r="K6" s="5" t="n"/>
      <c r="L6" s="5" t="n"/>
      <c r="M6" s="5" t="n"/>
      <c r="N6" s="5" t="n"/>
      <c r="O6" s="5" t="n"/>
      <c r="P6" s="5" t="n"/>
      <c r="Q6" s="5" t="n"/>
      <c r="R6" s="5" t="n"/>
      <c r="S6" s="5" t="n"/>
      <c r="T6" s="5" t="n"/>
      <c r="U6" s="5" t="n"/>
      <c r="V6" s="5" t="n"/>
      <c r="W6" s="5" t="n"/>
      <c r="X6" s="5" t="n"/>
      <c r="Y6" s="5" t="n"/>
      <c r="Z6" s="5" t="n"/>
    </row>
    <row r="7">
      <c r="A7" s="259" t="inlineStr">
        <is>
          <t>Module 3</t>
        </is>
      </c>
      <c r="B7" s="260" t="n"/>
      <c r="C7" s="261" t="inlineStr">
        <is>
          <t>Fall 2026</t>
        </is>
      </c>
      <c r="D7" s="261" t="inlineStr">
        <is>
          <t>SimpleNursing</t>
        </is>
      </c>
      <c r="E7" s="262">
        <f>HYPERLINK("https://drive.google.com/file/d/1G3BCt5NJZpY7A4Y7odGQyjUxgsGSa2Zr/view","▶  Watch")</f>
        <v/>
      </c>
      <c r="F7" s="261" t="inlineStr">
        <is>
          <t>NUR235_Fall2026_SimpleNursing_Wk05_DayNA_Chemotherapy, neutropenic precautions and radiation.mp4</t>
        </is>
      </c>
      <c r="G7" s="263" t="inlineStr">
        <is>
          <t>Chemotherapy, neutropenic precautions and radiation · related: neutropenic precautions - infection control · filed under NUR 235 Module 5</t>
        </is>
      </c>
      <c r="H7" s="5" t="n"/>
      <c r="I7" s="5" t="n"/>
      <c r="J7" s="5" t="n"/>
      <c r="K7" s="5" t="n"/>
      <c r="L7" s="5" t="n"/>
      <c r="M7" s="5" t="n"/>
      <c r="N7" s="5" t="n"/>
      <c r="O7" s="5" t="n"/>
      <c r="P7" s="5" t="n"/>
      <c r="Q7" s="5" t="n"/>
      <c r="R7" s="5" t="n"/>
      <c r="S7" s="5" t="n"/>
      <c r="T7" s="5" t="n"/>
      <c r="U7" s="5" t="n"/>
      <c r="V7" s="5" t="n"/>
      <c r="W7" s="5" t="n"/>
      <c r="X7" s="5" t="n"/>
      <c r="Y7" s="5" t="n"/>
      <c r="Z7" s="5" t="n"/>
    </row>
    <row r="8">
      <c r="A8" s="254" t="inlineStr">
        <is>
          <t>Other</t>
        </is>
      </c>
      <c r="B8" s="255" t="n"/>
      <c r="C8" s="256" t="inlineStr">
        <is>
          <t>Summer 2026</t>
        </is>
      </c>
      <c r="D8" s="256" t="inlineStr">
        <is>
          <t>SimpleNursing</t>
        </is>
      </c>
      <c r="E8" s="257">
        <f>HYPERLINK("https://drive.google.com/file/d/1HtupS1Q7_a_mdE36macLQqfrJNwddNBi/view","▶  Watch")</f>
        <v/>
      </c>
      <c r="F8" s="256" t="inlineStr">
        <is>
          <t>NUR125_Summer2026_SimpleNursing_WkNA_DayNA_Nursing Process - delegation, pain, pre-op, age-related changes (14 Jul 2026).mp4</t>
        </is>
      </c>
      <c r="G8" s="258" t="inlineStr">
        <is>
          <t>Nursing Process — delegation, pain, pre-op, age-related changes</t>
        </is>
      </c>
      <c r="H8" s="5" t="n"/>
      <c r="I8" s="5" t="n"/>
      <c r="J8" s="5" t="n"/>
      <c r="K8" s="5" t="n"/>
      <c r="L8" s="5" t="n"/>
      <c r="M8" s="5" t="n"/>
      <c r="N8" s="5" t="n"/>
      <c r="O8" s="5" t="n"/>
      <c r="P8" s="5" t="n"/>
      <c r="Q8" s="5" t="n"/>
      <c r="R8" s="5" t="n"/>
      <c r="S8" s="5" t="n"/>
      <c r="T8" s="5" t="n"/>
      <c r="U8" s="5" t="n"/>
      <c r="V8" s="5" t="n"/>
      <c r="W8" s="5" t="n"/>
      <c r="X8" s="5" t="n"/>
      <c r="Y8" s="5" t="n"/>
      <c r="Z8" s="5" t="n"/>
    </row>
    <row r="9">
      <c r="A9" s="259" t="n"/>
      <c r="B9" s="260" t="n"/>
      <c r="C9" s="261" t="n"/>
      <c r="D9" s="261" t="n"/>
      <c r="E9" s="262" t="n"/>
      <c r="F9" s="261" t="n"/>
      <c r="G9" s="263" t="n"/>
      <c r="H9" s="5" t="n"/>
      <c r="I9" s="5" t="n"/>
      <c r="J9" s="5" t="n"/>
      <c r="K9" s="5" t="n"/>
      <c r="L9" s="5" t="n"/>
      <c r="M9" s="5" t="n"/>
      <c r="N9" s="5" t="n"/>
      <c r="O9" s="5" t="n"/>
      <c r="P9" s="5" t="n"/>
      <c r="Q9" s="5" t="n"/>
      <c r="R9" s="5" t="n"/>
      <c r="S9" s="5" t="n"/>
      <c r="T9" s="5" t="n"/>
      <c r="U9" s="5" t="n"/>
      <c r="V9" s="5" t="n"/>
      <c r="W9" s="5" t="n"/>
      <c r="X9" s="5" t="n"/>
      <c r="Y9" s="5" t="n"/>
      <c r="Z9" s="5" t="n"/>
    </row>
    <row r="10" ht="15.75" customHeight="1" s="149">
      <c r="A10" s="254" t="n"/>
      <c r="B10" s="255" t="n"/>
      <c r="C10" s="256" t="n"/>
      <c r="D10" s="256" t="n"/>
      <c r="E10" s="257" t="n"/>
      <c r="F10" s="256" t="n"/>
      <c r="G10" s="258"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149">
      <c r="A11" s="259" t="n"/>
      <c r="B11" s="260" t="n"/>
      <c r="C11" s="261" t="n"/>
      <c r="D11" s="261" t="n"/>
      <c r="E11" s="262" t="n"/>
      <c r="F11" s="261" t="n"/>
      <c r="G11" s="263" t="n"/>
      <c r="H11" s="5" t="n"/>
      <c r="I11" s="5" t="n"/>
      <c r="J11" s="5" t="n"/>
      <c r="K11" s="5" t="n"/>
      <c r="L11" s="5" t="n"/>
      <c r="M11" s="5" t="n"/>
      <c r="N11" s="5" t="n"/>
      <c r="O11" s="5" t="n"/>
      <c r="P11" s="5" t="n"/>
      <c r="Q11" s="5" t="n"/>
      <c r="R11" s="5" t="n"/>
      <c r="S11" s="5" t="n"/>
      <c r="T11" s="5" t="n"/>
      <c r="U11" s="5" t="n"/>
      <c r="V11" s="5" t="n"/>
      <c r="W11" s="5" t="n"/>
      <c r="X11" s="5" t="n"/>
      <c r="Y11" s="5" t="n"/>
      <c r="Z11" s="5" t="n"/>
    </row>
    <row r="12" ht="15.75" customHeight="1" s="149">
      <c r="A12" s="254" t="n"/>
      <c r="B12" s="255" t="n"/>
      <c r="C12" s="256" t="n"/>
      <c r="D12" s="256" t="n"/>
      <c r="E12" s="257" t="n"/>
      <c r="F12" s="256" t="n"/>
      <c r="G12" s="258" t="n"/>
      <c r="H12" s="5" t="n"/>
      <c r="I12" s="5" t="n"/>
      <c r="J12" s="5" t="n"/>
      <c r="K12" s="5" t="n"/>
      <c r="L12" s="5" t="n"/>
      <c r="M12" s="5" t="n"/>
      <c r="N12" s="5" t="n"/>
      <c r="O12" s="5" t="n"/>
      <c r="P12" s="5" t="n"/>
      <c r="Q12" s="5" t="n"/>
      <c r="R12" s="5" t="n"/>
      <c r="S12" s="5" t="n"/>
      <c r="T12" s="5" t="n"/>
      <c r="U12" s="5" t="n"/>
      <c r="V12" s="5" t="n"/>
      <c r="W12" s="5" t="n"/>
      <c r="X12" s="5" t="n"/>
      <c r="Y12" s="5" t="n"/>
      <c r="Z12" s="5" t="n"/>
    </row>
    <row r="13" ht="15.75" customHeight="1" s="149">
      <c r="A13" s="259" t="n"/>
      <c r="B13" s="260" t="n"/>
      <c r="C13" s="261" t="n"/>
      <c r="D13" s="261" t="n"/>
      <c r="E13" s="262" t="n"/>
      <c r="F13" s="261" t="n"/>
      <c r="G13" s="263" t="n"/>
      <c r="H13" s="5" t="n"/>
      <c r="I13" s="5" t="n"/>
      <c r="J13" s="5" t="n"/>
      <c r="K13" s="5" t="n"/>
      <c r="L13" s="5" t="n"/>
      <c r="M13" s="5" t="n"/>
      <c r="N13" s="5" t="n"/>
      <c r="O13" s="5" t="n"/>
      <c r="P13" s="5" t="n"/>
      <c r="Q13" s="5" t="n"/>
      <c r="R13" s="5" t="n"/>
      <c r="S13" s="5" t="n"/>
      <c r="T13" s="5" t="n"/>
      <c r="U13" s="5" t="n"/>
      <c r="V13" s="5" t="n"/>
      <c r="W13" s="5" t="n"/>
      <c r="X13" s="5" t="n"/>
      <c r="Y13" s="5" t="n"/>
      <c r="Z13" s="5" t="n"/>
    </row>
    <row r="14" ht="15.75" customHeight="1" s="149">
      <c r="A14" s="254" t="n"/>
      <c r="B14" s="255" t="n"/>
      <c r="C14" s="256" t="n"/>
      <c r="D14" s="256" t="n"/>
      <c r="E14" s="257" t="n"/>
      <c r="F14" s="256" t="n"/>
      <c r="G14" s="258" t="n"/>
      <c r="H14" s="5" t="n"/>
      <c r="I14" s="5" t="n"/>
      <c r="J14" s="5" t="n"/>
      <c r="K14" s="5" t="n"/>
      <c r="L14" s="5" t="n"/>
      <c r="M14" s="5" t="n"/>
      <c r="N14" s="5" t="n"/>
      <c r="O14" s="5" t="n"/>
      <c r="P14" s="5" t="n"/>
      <c r="Q14" s="5" t="n"/>
      <c r="R14" s="5" t="n"/>
      <c r="S14" s="5" t="n"/>
      <c r="T14" s="5" t="n"/>
      <c r="U14" s="5" t="n"/>
      <c r="V14" s="5" t="n"/>
      <c r="W14" s="5" t="n"/>
      <c r="X14" s="5" t="n"/>
      <c r="Y14" s="5" t="n"/>
      <c r="Z14" s="5" t="n"/>
    </row>
    <row r="15" ht="15.75" customHeight="1" s="149">
      <c r="A15" s="259" t="n"/>
      <c r="B15" s="260" t="n"/>
      <c r="C15" s="261" t="n"/>
      <c r="D15" s="261" t="n"/>
      <c r="E15" s="262" t="n"/>
      <c r="F15" s="261" t="n"/>
      <c r="G15" s="263" t="n"/>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49">
      <c r="A16" s="254" t="n"/>
      <c r="B16" s="255" t="n"/>
      <c r="C16" s="256" t="n"/>
      <c r="D16" s="256" t="n"/>
      <c r="E16" s="257" t="n"/>
      <c r="F16" s="256" t="n"/>
      <c r="G16" s="258" t="n"/>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49">
      <c r="A17" s="259" t="n"/>
      <c r="B17" s="260" t="n"/>
      <c r="C17" s="261" t="n"/>
      <c r="D17" s="261" t="n"/>
      <c r="E17" s="262" t="n"/>
      <c r="F17" s="261" t="n"/>
      <c r="G17" s="263" t="n"/>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49">
      <c r="A18" s="254" t="n"/>
      <c r="B18" s="255" t="n"/>
      <c r="C18" s="256" t="n"/>
      <c r="D18" s="256" t="n"/>
      <c r="E18" s="257" t="n"/>
      <c r="F18" s="256" t="n"/>
      <c r="G18" s="258" t="n"/>
      <c r="H18" s="5" t="n"/>
      <c r="I18" s="5" t="n"/>
      <c r="J18" s="5" t="n"/>
      <c r="K18" s="5" t="n"/>
      <c r="L18" s="5" t="n"/>
      <c r="M18" s="5" t="n"/>
      <c r="N18" s="5" t="n"/>
      <c r="O18" s="5" t="n"/>
      <c r="P18" s="5" t="n"/>
      <c r="Q18" s="5" t="n"/>
      <c r="R18" s="5" t="n"/>
      <c r="S18" s="5" t="n"/>
      <c r="T18" s="5" t="n"/>
      <c r="U18" s="5" t="n"/>
      <c r="V18" s="5" t="n"/>
      <c r="W18" s="5" t="n"/>
      <c r="X18" s="5" t="n"/>
      <c r="Y18" s="5" t="n"/>
      <c r="Z18" s="5" t="n"/>
    </row>
    <row r="19">
      <c r="A19" s="259" t="n"/>
      <c r="B19" s="260" t="n"/>
      <c r="C19" s="261" t="n"/>
      <c r="D19" s="261" t="n"/>
      <c r="E19" s="262" t="n"/>
      <c r="F19" s="261" t="n"/>
      <c r="G19" s="263" t="n"/>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49">
      <c r="A20" s="254" t="n"/>
      <c r="B20" s="255" t="n"/>
      <c r="C20" s="256" t="n"/>
      <c r="D20" s="256" t="n"/>
      <c r="E20" s="257" t="n"/>
      <c r="F20" s="256" t="n"/>
      <c r="G20" s="258" t="n"/>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49">
      <c r="A21" s="259" t="n"/>
      <c r="B21" s="260" t="n"/>
      <c r="C21" s="261" t="n"/>
      <c r="D21" s="261" t="n"/>
      <c r="E21" s="262" t="n"/>
      <c r="F21" s="261" t="n"/>
      <c r="G21" s="263" t="n"/>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49">
      <c r="A22" s="254" t="n"/>
      <c r="B22" s="255" t="n"/>
      <c r="C22" s="256" t="n"/>
      <c r="D22" s="256" t="n"/>
      <c r="E22" s="257" t="n"/>
      <c r="F22" s="256" t="n"/>
      <c r="G22" s="258" t="n"/>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49">
      <c r="A23" s="259" t="n"/>
      <c r="B23" s="260" t="n"/>
      <c r="C23" s="261" t="n"/>
      <c r="D23" s="261" t="n"/>
      <c r="E23" s="262" t="n"/>
      <c r="F23" s="261" t="n"/>
      <c r="G23" s="263" t="n"/>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49">
      <c r="A24" s="121" t="n"/>
      <c r="B24" s="122" t="n"/>
      <c r="C24" s="124" t="n"/>
      <c r="D24" s="124" t="n"/>
      <c r="E24" s="126" t="n"/>
      <c r="F24" s="124" t="n"/>
      <c r="G24" s="127" t="n"/>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49">
      <c r="A25" s="121" t="n"/>
      <c r="B25" s="122" t="n"/>
      <c r="C25" s="124" t="n"/>
      <c r="D25" s="124" t="n"/>
      <c r="E25" s="126" t="n"/>
      <c r="F25" s="124" t="n"/>
      <c r="G25" s="127" t="n"/>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49">
      <c r="A26" s="121" t="n"/>
      <c r="B26" s="122" t="n"/>
      <c r="C26" s="124" t="n"/>
      <c r="D26" s="124" t="n"/>
      <c r="E26" s="126" t="n"/>
      <c r="F26" s="124" t="n"/>
      <c r="G26" s="127" t="n"/>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49">
      <c r="A27" s="121" t="n"/>
      <c r="B27" s="122" t="n"/>
      <c r="C27" s="124" t="n"/>
      <c r="D27" s="124" t="n"/>
      <c r="E27" s="126" t="n"/>
      <c r="F27" s="124" t="n"/>
      <c r="G27" s="127" t="n"/>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49">
      <c r="A28" s="121" t="n"/>
      <c r="B28" s="122" t="n"/>
      <c r="C28" s="124" t="n"/>
      <c r="D28" s="124" t="n"/>
      <c r="E28" s="126" t="n"/>
      <c r="F28" s="124" t="n"/>
      <c r="G28" s="127" t="n"/>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49">
      <c r="A29" s="121" t="n"/>
      <c r="B29" s="122" t="n"/>
      <c r="C29" s="124" t="n"/>
      <c r="D29" s="124" t="n"/>
      <c r="E29" s="126" t="n"/>
      <c r="F29" s="124" t="n"/>
      <c r="G29" s="127"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49">
      <c r="A30" s="121" t="n"/>
      <c r="B30" s="122" t="n"/>
      <c r="C30" s="124" t="n"/>
      <c r="D30" s="124" t="n"/>
      <c r="E30" s="126" t="n"/>
      <c r="F30" s="124" t="n"/>
      <c r="G30" s="127"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49">
      <c r="A31" s="121" t="n"/>
      <c r="B31" s="122" t="n"/>
      <c r="C31" s="124" t="n"/>
      <c r="D31" s="124" t="n"/>
      <c r="E31" s="126" t="n"/>
      <c r="F31" s="124" t="n"/>
      <c r="G31" s="127"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49">
      <c r="A32" s="121" t="n"/>
      <c r="B32" s="122" t="n"/>
      <c r="C32" s="124" t="n"/>
      <c r="D32" s="124" t="n"/>
      <c r="E32" s="126" t="n"/>
      <c r="F32" s="124" t="n"/>
      <c r="G32" s="127"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49">
      <c r="A33" s="121" t="n"/>
      <c r="B33" s="122" t="n"/>
      <c r="C33" s="124" t="n"/>
      <c r="D33" s="124" t="n"/>
      <c r="E33" s="126" t="n"/>
      <c r="F33" s="124" t="n"/>
      <c r="G33" s="127"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49">
      <c r="A34" s="121" t="n"/>
      <c r="B34" s="122" t="n"/>
      <c r="C34" s="124" t="n"/>
      <c r="D34" s="124" t="n"/>
      <c r="E34" s="126" t="n"/>
      <c r="F34" s="124" t="n"/>
      <c r="G34" s="127"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49">
      <c r="A35" s="121" t="n"/>
      <c r="B35" s="122" t="n"/>
      <c r="C35" s="124" t="n"/>
      <c r="D35" s="124" t="n"/>
      <c r="E35" s="126" t="n"/>
      <c r="F35" s="124" t="n"/>
      <c r="G35" s="127"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49">
      <c r="A36" s="121" t="n"/>
      <c r="B36" s="122" t="n"/>
      <c r="C36" s="124" t="n"/>
      <c r="D36" s="124" t="n"/>
      <c r="E36" s="126" t="n"/>
      <c r="F36" s="124" t="n"/>
      <c r="G36" s="127"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49">
      <c r="A37" s="121" t="n"/>
      <c r="B37" s="122" t="n"/>
      <c r="C37" s="124" t="n"/>
      <c r="D37" s="124" t="n"/>
      <c r="E37" s="126" t="n"/>
      <c r="F37" s="124" t="n"/>
      <c r="G37" s="127"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49">
      <c r="A38" s="121" t="n"/>
      <c r="B38" s="122" t="n"/>
      <c r="C38" s="124" t="n"/>
      <c r="D38" s="124" t="n"/>
      <c r="E38" s="126" t="n"/>
      <c r="F38" s="124" t="n"/>
      <c r="G38" s="127"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49">
      <c r="A39" s="121" t="n"/>
      <c r="B39" s="122" t="n"/>
      <c r="C39" s="124" t="n"/>
      <c r="D39" s="124" t="n"/>
      <c r="E39" s="126" t="n"/>
      <c r="F39" s="124" t="n"/>
      <c r="G39" s="127"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49">
      <c r="A40" s="121" t="n"/>
      <c r="B40" s="122" t="n"/>
      <c r="C40" s="124" t="n"/>
      <c r="D40" s="124" t="n"/>
      <c r="E40" s="126" t="n"/>
      <c r="F40" s="124" t="n"/>
      <c r="G40" s="127"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49">
      <c r="A41" s="121" t="n"/>
      <c r="B41" s="122" t="n"/>
      <c r="C41" s="124" t="n"/>
      <c r="D41" s="124" t="n"/>
      <c r="E41" s="126" t="n"/>
      <c r="F41" s="124" t="n"/>
      <c r="G41" s="127"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49">
      <c r="A42" s="121" t="n"/>
      <c r="B42" s="122" t="n"/>
      <c r="C42" s="124" t="n"/>
      <c r="D42" s="124" t="n"/>
      <c r="E42" s="126" t="n"/>
      <c r="F42" s="124" t="n"/>
      <c r="G42" s="127"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49">
      <c r="A43" s="121" t="n"/>
      <c r="B43" s="122" t="n"/>
      <c r="C43" s="124" t="n"/>
      <c r="D43" s="124" t="n"/>
      <c r="E43" s="126" t="n"/>
      <c r="F43" s="124" t="n"/>
      <c r="G43" s="127"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49">
      <c r="A44" s="121" t="n"/>
      <c r="B44" s="122" t="n"/>
      <c r="C44" s="124" t="n"/>
      <c r="D44" s="124" t="n"/>
      <c r="E44" s="126" t="n"/>
      <c r="F44" s="124" t="n"/>
      <c r="G44" s="127"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49">
      <c r="A45" s="121" t="n"/>
      <c r="B45" s="122" t="n"/>
      <c r="C45" s="124" t="n"/>
      <c r="D45" s="124" t="n"/>
      <c r="E45" s="126" t="n"/>
      <c r="F45" s="124" t="n"/>
      <c r="G45" s="136"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49">
      <c r="A46" s="121" t="n"/>
      <c r="B46" s="122" t="n"/>
      <c r="C46" s="124" t="n"/>
      <c r="D46" s="124" t="n"/>
      <c r="E46" s="126" t="n"/>
      <c r="F46" s="124" t="n"/>
      <c r="G46" s="127"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49">
      <c r="A47" s="121" t="n"/>
      <c r="B47" s="122" t="n"/>
      <c r="C47" s="124" t="n"/>
      <c r="D47" s="124" t="n"/>
      <c r="E47" s="126" t="n"/>
      <c r="F47" s="124" t="n"/>
      <c r="G47" s="127"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49">
      <c r="A48" s="121" t="n"/>
      <c r="B48" s="122" t="n"/>
      <c r="C48" s="124" t="n"/>
      <c r="D48" s="124" t="n"/>
      <c r="E48" s="126" t="n"/>
      <c r="F48" s="124" t="n"/>
      <c r="G48" s="127"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49">
      <c r="A49" s="121" t="n"/>
      <c r="B49" s="122" t="n"/>
      <c r="C49" s="124" t="n"/>
      <c r="D49" s="124" t="n"/>
      <c r="E49" s="126" t="n"/>
      <c r="F49" s="124" t="n"/>
      <c r="G49" s="127"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49">
      <c r="A50" s="121" t="n"/>
      <c r="B50" s="122" t="n"/>
      <c r="C50" s="124" t="n"/>
      <c r="D50" s="124" t="n"/>
      <c r="E50" s="124" t="n"/>
      <c r="F50" s="124" t="n"/>
      <c r="G50" s="127"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49">
      <c r="A51" s="137" t="n"/>
      <c r="B51" s="138" t="n"/>
      <c r="C51" s="139" t="n"/>
      <c r="D51" s="139" t="n"/>
      <c r="E51" s="141" t="n"/>
      <c r="F51" s="139" t="n"/>
      <c r="G51" s="142"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49">
      <c r="A52" s="5" t="n"/>
      <c r="B52" s="5" t="n"/>
      <c r="C52" s="5" t="n"/>
      <c r="D52" s="5" t="n"/>
      <c r="E52" s="5" t="n"/>
      <c r="F52" s="5" t="n"/>
      <c r="G52" s="5" t="n"/>
    </row>
    <row r="53" ht="15.75" customHeight="1" s="149">
      <c r="A53" s="5" t="n"/>
      <c r="B53" s="5" t="n"/>
      <c r="C53" s="5" t="n"/>
      <c r="D53" s="5" t="n"/>
      <c r="E53" s="5" t="n"/>
      <c r="F53" s="5" t="n"/>
      <c r="G53" s="5" t="n"/>
    </row>
    <row r="54" ht="15.75" customHeight="1" s="149">
      <c r="A54" s="5" t="n"/>
      <c r="B54" s="5" t="n"/>
      <c r="C54" s="5" t="n"/>
      <c r="D54" s="5" t="n"/>
      <c r="E54" s="5" t="n"/>
      <c r="F54" s="5" t="n"/>
      <c r="G54" s="5" t="n"/>
    </row>
    <row r="55" ht="15.75" customHeight="1" s="149">
      <c r="A55" s="5" t="n"/>
      <c r="B55" s="5" t="n"/>
      <c r="C55" s="5" t="n"/>
      <c r="D55" s="5" t="n"/>
      <c r="E55" s="5" t="n"/>
      <c r="F55" s="5" t="n"/>
      <c r="G55" s="5" t="n"/>
    </row>
    <row r="56" ht="15.75" customHeight="1" s="149">
      <c r="A56" s="5" t="n"/>
      <c r="B56" s="5" t="n"/>
      <c r="C56" s="5" t="n"/>
      <c r="D56" s="5" t="n"/>
      <c r="E56" s="5" t="n"/>
      <c r="F56" s="5" t="n"/>
      <c r="G56" s="5" t="n"/>
    </row>
    <row r="57" ht="15.75" customHeight="1" s="149">
      <c r="A57" s="5" t="n"/>
      <c r="B57" s="5" t="n"/>
      <c r="C57" s="5" t="n"/>
      <c r="D57" s="5" t="n"/>
      <c r="E57" s="5" t="n"/>
      <c r="F57" s="5" t="n"/>
      <c r="G57" s="5" t="n"/>
    </row>
    <row r="58" ht="15.75" customHeight="1" s="149">
      <c r="A58" s="5" t="n"/>
      <c r="B58" s="5" t="n"/>
      <c r="C58" s="5" t="n"/>
      <c r="D58" s="5" t="n"/>
      <c r="E58" s="5" t="n"/>
      <c r="F58" s="5" t="n"/>
      <c r="G58" s="5" t="n"/>
    </row>
    <row r="59" ht="15.75" customHeight="1" s="149">
      <c r="A59" s="5" t="n"/>
      <c r="B59" s="5" t="n"/>
      <c r="C59" s="5" t="n"/>
      <c r="D59" s="5" t="n"/>
      <c r="E59" s="5" t="n"/>
      <c r="F59" s="5" t="n"/>
      <c r="G59" s="5" t="n"/>
    </row>
    <row r="60" ht="15.75" customHeight="1" s="149">
      <c r="A60" s="5" t="n"/>
      <c r="B60" s="5" t="n"/>
      <c r="C60" s="5" t="n"/>
      <c r="D60" s="5" t="n"/>
      <c r="E60" s="5" t="n"/>
      <c r="F60" s="5" t="n"/>
      <c r="G60" s="5" t="n"/>
    </row>
    <row r="61" ht="15.75" customHeight="1" s="149">
      <c r="A61" s="5" t="n"/>
      <c r="B61" s="5" t="n"/>
      <c r="C61" s="5" t="n"/>
      <c r="D61" s="5" t="n"/>
      <c r="E61" s="5" t="n"/>
      <c r="F61" s="5" t="n"/>
      <c r="G61" s="5" t="n"/>
    </row>
    <row r="62" ht="15.75" customHeight="1" s="149">
      <c r="A62" s="5" t="n"/>
      <c r="B62" s="5" t="n"/>
      <c r="C62" s="5" t="n"/>
      <c r="D62" s="5" t="n"/>
      <c r="E62" s="5" t="n"/>
      <c r="F62" s="5" t="n"/>
      <c r="G62" s="5" t="n"/>
    </row>
    <row r="63" ht="15.75" customHeight="1" s="149">
      <c r="A63" s="5" t="n"/>
      <c r="B63" s="5" t="n"/>
      <c r="C63" s="5" t="n"/>
      <c r="D63" s="5" t="n"/>
      <c r="E63" s="5" t="n"/>
      <c r="F63" s="5" t="n"/>
      <c r="G63" s="5" t="n"/>
    </row>
    <row r="64" ht="15.75" customHeight="1" s="149">
      <c r="A64" s="5" t="n"/>
      <c r="B64" s="5" t="n"/>
      <c r="C64" s="5" t="n"/>
      <c r="D64" s="5" t="n"/>
      <c r="E64" s="5" t="n"/>
      <c r="F64" s="5" t="n"/>
      <c r="G64" s="5" t="n"/>
    </row>
    <row r="65" ht="15.75" customHeight="1" s="149">
      <c r="A65" s="5" t="n"/>
      <c r="B65" s="5" t="n"/>
      <c r="C65" s="5" t="n"/>
      <c r="D65" s="5" t="n"/>
      <c r="E65" s="5" t="n"/>
      <c r="F65" s="5" t="n"/>
      <c r="G65" s="5" t="n"/>
    </row>
    <row r="66" ht="15.75" customHeight="1" s="149">
      <c r="A66" s="5" t="n"/>
      <c r="B66" s="5" t="n"/>
      <c r="C66" s="5" t="n"/>
      <c r="D66" s="5" t="n"/>
      <c r="E66" s="5" t="n"/>
      <c r="F66" s="5" t="n"/>
      <c r="G66" s="5" t="n"/>
    </row>
    <row r="67" ht="15.75" customHeight="1" s="149">
      <c r="A67" s="5" t="n"/>
      <c r="B67" s="5" t="n"/>
      <c r="C67" s="5" t="n"/>
      <c r="D67" s="5" t="n"/>
      <c r="E67" s="5" t="n"/>
      <c r="F67" s="5" t="n"/>
      <c r="G67" s="5" t="n"/>
    </row>
    <row r="68" ht="15.75" customHeight="1" s="149">
      <c r="A68" s="5" t="n"/>
      <c r="B68" s="5" t="n"/>
      <c r="C68" s="5" t="n"/>
      <c r="D68" s="5" t="n"/>
      <c r="E68" s="5" t="n"/>
      <c r="F68" s="5" t="n"/>
      <c r="G68" s="5" t="n"/>
    </row>
    <row r="69" ht="15.75" customHeight="1" s="149">
      <c r="A69" s="5" t="n"/>
      <c r="B69" s="5" t="n"/>
      <c r="C69" s="5" t="n"/>
      <c r="D69" s="5" t="n"/>
      <c r="E69" s="5" t="n"/>
      <c r="F69" s="5" t="n"/>
      <c r="G69" s="5" t="n"/>
    </row>
    <row r="70" ht="15.75" customHeight="1" s="149">
      <c r="A70" s="5" t="n"/>
      <c r="B70" s="5" t="n"/>
      <c r="C70" s="5" t="n"/>
      <c r="D70" s="5" t="n"/>
      <c r="E70" s="5" t="n"/>
      <c r="F70" s="5" t="n"/>
      <c r="G70" s="5"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row r="222" ht="15.75" customHeight="1" s="149"/>
    <row r="223" ht="15.75" customHeight="1" s="149"/>
    <row r="224" ht="15.75" customHeight="1" s="149"/>
    <row r="225" ht="15.75" customHeight="1" s="149"/>
    <row r="226" ht="15.75" customHeight="1" s="149"/>
    <row r="227" ht="15.75" customHeight="1" s="149"/>
    <row r="228" ht="15.75" customHeight="1" s="149"/>
    <row r="229" ht="15.75" customHeight="1" s="149"/>
    <row r="230" ht="15.75" customHeight="1" s="149"/>
    <row r="231" ht="15.75" customHeight="1" s="149"/>
    <row r="232" ht="15.75" customHeight="1" s="149"/>
    <row r="233" ht="15.75" customHeight="1" s="149"/>
    <row r="234" ht="15.75" customHeight="1" s="149"/>
    <row r="235" ht="15.75" customHeight="1" s="149"/>
    <row r="236" ht="15.75" customHeight="1" s="149"/>
    <row r="237" ht="15.75" customHeight="1" s="149"/>
    <row r="238" ht="15.75" customHeight="1" s="149"/>
    <row r="239" ht="15.75" customHeight="1" s="149"/>
    <row r="240" ht="15.75" customHeight="1" s="149"/>
    <row r="241" ht="15.75" customHeight="1" s="149"/>
    <row r="242" ht="15.75" customHeight="1" s="149"/>
    <row r="243" ht="15.75" customHeight="1" s="149"/>
    <row r="244" ht="15.75" customHeight="1" s="149"/>
    <row r="245" ht="15.75" customHeight="1" s="149"/>
    <row r="246" ht="15.75" customHeight="1" s="149"/>
    <row r="247" ht="15.75" customHeight="1" s="149"/>
    <row r="248" ht="15.75" customHeight="1" s="149"/>
    <row r="249" ht="15.75" customHeight="1" s="149"/>
    <row r="250" ht="15.75" customHeight="1" s="149"/>
    <row r="251" ht="15.75" customHeight="1" s="149"/>
    <row r="252" ht="15.75" customHeight="1" s="149"/>
    <row r="253" ht="15.75" customHeight="1" s="149"/>
    <row r="254" ht="15.75" customHeight="1" s="149"/>
    <row r="255" ht="15.75" customHeight="1" s="149"/>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25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49" min="1" max="1"/>
    <col width="14" customWidth="1" style="149" min="2" max="2"/>
    <col width="52" customWidth="1" style="149" min="3" max="3"/>
    <col width="22" customWidth="1" style="149" min="4" max="4"/>
    <col width="18" customWidth="1" style="149" min="5" max="5"/>
    <col width="20" customWidth="1" style="149" min="6" max="6"/>
    <col width="34" customWidth="1" style="149" min="7" max="7"/>
  </cols>
  <sheetData>
    <row r="1">
      <c r="A1" s="83" t="inlineStr">
        <is>
          <t>EXAM REVIEWS  ·  other classes (NUR 198, NUR 175, BIO 290V, BIO 280V, Anatomy, Physiology, MAT 300)</t>
        </is>
      </c>
    </row>
    <row r="2">
      <c r="A2" s="9" t="inlineStr">
        <is>
          <t>NUR234</t>
        </is>
      </c>
      <c r="B2" s="11" t="inlineStr">
        <is>
          <t>NUR235</t>
        </is>
      </c>
      <c r="C2" s="9" t="inlineStr">
        <is>
          <t>NUR258</t>
        </is>
      </c>
      <c r="D2" s="17" t="inlineStr">
        <is>
          <t>🏠 START HERE</t>
        </is>
      </c>
      <c r="E2" s="15" t="inlineStr">
        <is>
          <t>📥 Sort me</t>
        </is>
      </c>
      <c r="F2" s="16" t="n"/>
      <c r="G2" s="16" t="n"/>
    </row>
    <row r="3">
      <c r="A3" s="129" t="inlineStr">
        <is>
          <t>Every exam review, exam prep and final review recording for the classes that are not in this workbook, linked to the sorted copy in the class folder.</t>
        </is>
      </c>
      <c r="B3" s="129" t="n"/>
      <c r="C3" s="129" t="n"/>
      <c r="D3" s="130" t="n"/>
      <c r="E3" s="131" t="n"/>
      <c r="F3" s="16" t="n"/>
      <c r="G3" s="16" t="n"/>
    </row>
    <row r="4">
      <c r="A4" s="16" t="n"/>
      <c r="B4" s="16" t="n"/>
      <c r="C4" s="16" t="n"/>
      <c r="D4" s="16" t="n"/>
      <c r="E4" s="16" t="n"/>
      <c r="F4" s="16" t="n"/>
      <c r="G4" s="16" t="n"/>
    </row>
    <row r="5">
      <c r="A5" s="184" t="inlineStr">
        <is>
          <t>Class</t>
        </is>
      </c>
      <c r="B5" s="184" t="inlineStr">
        <is>
          <t>Exam</t>
        </is>
      </c>
      <c r="C5" s="184" t="inlineStr">
        <is>
          <t>Recording</t>
        </is>
      </c>
      <c r="D5" s="184" t="inlineStr">
        <is>
          <t>Who</t>
        </is>
      </c>
      <c r="E5" s="184" t="inlineStr">
        <is>
          <t>Type</t>
        </is>
      </c>
      <c r="F5" s="184" t="inlineStr">
        <is>
          <t>Link</t>
        </is>
      </c>
      <c r="G5" s="184" t="inlineStr">
        <is>
          <t>Notes</t>
        </is>
      </c>
    </row>
    <row r="6">
      <c r="A6" s="185" t="inlineStr">
        <is>
          <t>NUR 198</t>
        </is>
      </c>
      <c r="B6" s="185" t="inlineStr">
        <is>
          <t>Exam 1</t>
        </is>
      </c>
      <c r="C6" s="264" t="inlineStr">
        <is>
          <t>Exam 1 Lecture - Older Adult</t>
        </is>
      </c>
      <c r="D6" s="186" t="inlineStr">
        <is>
          <t>Exam prep</t>
        </is>
      </c>
      <c r="E6" s="185" t="inlineStr">
        <is>
          <t>Video</t>
        </is>
      </c>
      <c r="F6" s="265">
        <f>HYPERLINK("https://drive.google.com/file/d/1cAp3VRFG4m3iAIc7BIx1RBqyllw1qmV4/view","▶  Watch")</f>
        <v/>
      </c>
      <c r="G6" s="264" t="inlineStr">
        <is>
          <t>Week 1</t>
        </is>
      </c>
    </row>
    <row r="7">
      <c r="A7" s="188" t="inlineStr">
        <is>
          <t>NUR 198</t>
        </is>
      </c>
      <c r="B7" s="188" t="inlineStr">
        <is>
          <t>Exam 3</t>
        </is>
      </c>
      <c r="C7" s="266" t="inlineStr">
        <is>
          <t>Practice questions review - pharm, cardiac, vascular (21 Jun)</t>
        </is>
      </c>
      <c r="D7" s="189" t="inlineStr">
        <is>
          <t>Cory Meyer</t>
        </is>
      </c>
      <c r="E7" s="188" t="inlineStr">
        <is>
          <t>Video</t>
        </is>
      </c>
      <c r="F7" s="267">
        <f>HYPERLINK("https://drive.google.com/file/d/1WH0aQydvO8PNZI_gITvrrwYAglusRTc_/view","▶  Watch")</f>
        <v/>
      </c>
      <c r="G7" s="266" t="inlineStr">
        <is>
          <t>Week 7</t>
        </is>
      </c>
    </row>
    <row r="8">
      <c r="A8" s="185" t="inlineStr">
        <is>
          <t>NUR 198</t>
        </is>
      </c>
      <c r="B8" s="185" t="inlineStr">
        <is>
          <t>Exam 4</t>
        </is>
      </c>
      <c r="C8" s="264" t="inlineStr">
        <is>
          <t>Exam 4 Review Lectures</t>
        </is>
      </c>
      <c r="D8" s="186" t="inlineStr">
        <is>
          <t>Exam prep</t>
        </is>
      </c>
      <c r="E8" s="185" t="inlineStr">
        <is>
          <t>Video</t>
        </is>
      </c>
      <c r="F8" s="265">
        <f>HYPERLINK("https://drive.google.com/file/d/1Rcbc5XpjD9VtstRy-uwhiajLf-LFzYj_/view","▶  Watch")</f>
        <v/>
      </c>
      <c r="G8" s="264" t="inlineStr">
        <is>
          <t>5.4 GB, several sessions in one file</t>
        </is>
      </c>
    </row>
    <row r="9">
      <c r="A9" s="188" t="inlineStr">
        <is>
          <t>NUR 198</t>
        </is>
      </c>
      <c r="B9" s="188" t="inlineStr">
        <is>
          <t>Exam 4</t>
        </is>
      </c>
      <c r="C9" s="266" t="inlineStr">
        <is>
          <t>Exam Prep - Renal &amp; Urinary Disorders (3 Jul)</t>
        </is>
      </c>
      <c r="D9" s="189" t="inlineStr">
        <is>
          <t>Dr Clancey-Sollis + Dr Greg</t>
        </is>
      </c>
      <c r="E9" s="188" t="inlineStr">
        <is>
          <t>Video</t>
        </is>
      </c>
      <c r="F9" s="267">
        <f>HYPERLINK("https://drive.google.com/file/d/12n_z-PNGwS16Xn2J4wZbsBS7FiHvKmfE/view","▶  Watch")</f>
        <v/>
      </c>
      <c r="G9" s="266" t="inlineStr">
        <is>
          <t>Week 9</t>
        </is>
      </c>
    </row>
    <row r="10">
      <c r="A10" s="185" t="inlineStr">
        <is>
          <t>NUR 198</t>
        </is>
      </c>
      <c r="B10" s="185" t="inlineStr">
        <is>
          <t>Exam 4</t>
        </is>
      </c>
      <c r="C10" s="264" t="inlineStr">
        <is>
          <t>Renal &amp; Urinary Disorders Review - CKD, Dialysis, Incontinence</t>
        </is>
      </c>
      <c r="D10" s="186" t="inlineStr">
        <is>
          <t>SimpleNursing</t>
        </is>
      </c>
      <c r="E10" s="185" t="inlineStr">
        <is>
          <t>Video</t>
        </is>
      </c>
      <c r="F10" s="265">
        <f>HYPERLINK("https://drive.google.com/file/d/1JAA1oQgUSK4b51Ld6ZZ6bYoZMtAgI84X/view","▶  Watch")</f>
        <v/>
      </c>
      <c r="G10" s="264" t="inlineStr">
        <is>
          <t>Week 9, YouTube capture</t>
        </is>
      </c>
    </row>
    <row r="11">
      <c r="A11" s="188" t="inlineStr">
        <is>
          <t>NUR 198</t>
        </is>
      </c>
      <c r="B11" s="188" t="inlineStr">
        <is>
          <t>Exam 5</t>
        </is>
      </c>
      <c r="C11" s="266" t="inlineStr">
        <is>
          <t>Exam 5 prep - Zoom recording 23 Jul</t>
        </is>
      </c>
      <c r="D11" s="189" t="inlineStr">
        <is>
          <t>Exam prep</t>
        </is>
      </c>
      <c r="E11" s="188" t="inlineStr">
        <is>
          <t>Video</t>
        </is>
      </c>
      <c r="F11" s="267">
        <f>HYPERLINK("https://drive.google.com/file/d/1SkLjzKER5z7mRr2w_fvhuGHYDB47FMTU/view","▶  Watch")</f>
        <v/>
      </c>
      <c r="G11" s="266" t="n"/>
    </row>
    <row r="12">
      <c r="A12" s="185" t="inlineStr">
        <is>
          <t>NUR 198</t>
        </is>
      </c>
      <c r="B12" s="185" t="inlineStr">
        <is>
          <t>Exam 5</t>
        </is>
      </c>
      <c r="C12" s="264" t="inlineStr">
        <is>
          <t>Exam 5 prep - Zoom recording 24 Jul</t>
        </is>
      </c>
      <c r="D12" s="186" t="inlineStr">
        <is>
          <t>Exam prep</t>
        </is>
      </c>
      <c r="E12" s="185" t="inlineStr">
        <is>
          <t>Video</t>
        </is>
      </c>
      <c r="F12" s="265">
        <f>HYPERLINK("https://drive.google.com/file/d/1y-zZh8NEksWdsxMUB86YaDYPwaWHbnaP/view","▶  Watch")</f>
        <v/>
      </c>
      <c r="G12" s="264" t="n"/>
    </row>
    <row r="13">
      <c r="A13" s="188" t="inlineStr">
        <is>
          <t>NUR 198</t>
        </is>
      </c>
      <c r="B13" s="188" t="inlineStr">
        <is>
          <t>Exam 5</t>
        </is>
      </c>
      <c r="C13" s="266" t="inlineStr">
        <is>
          <t>GI Disorders Full Review - Appendicitis to Pancreatitis</t>
        </is>
      </c>
      <c r="D13" s="189" t="inlineStr">
        <is>
          <t>SimpleNursing</t>
        </is>
      </c>
      <c r="E13" s="188" t="inlineStr">
        <is>
          <t>Video</t>
        </is>
      </c>
      <c r="F13" s="267">
        <f>HYPERLINK("https://drive.google.com/file/d/1Xq3mRU_jxKjkdNDgxHWNQo6kr1amPwcB/view","▶  Watch")</f>
        <v/>
      </c>
      <c r="G13" s="266" t="inlineStr">
        <is>
          <t>Week 12, YouTube capture</t>
        </is>
      </c>
    </row>
    <row r="14">
      <c r="A14" s="185" t="inlineStr">
        <is>
          <t>NUR 198</t>
        </is>
      </c>
      <c r="B14" s="185" t="inlineStr">
        <is>
          <t>Exam 5</t>
        </is>
      </c>
      <c r="C14" s="264" t="inlineStr">
        <is>
          <t>GI - Acute pancreatitis</t>
        </is>
      </c>
      <c r="D14" s="186" t="inlineStr">
        <is>
          <t>SimpleNursing</t>
        </is>
      </c>
      <c r="E14" s="185" t="inlineStr">
        <is>
          <t>Video</t>
        </is>
      </c>
      <c r="F14" s="265">
        <f>HYPERLINK("https://drive.google.com/file/d/1o8hf0Rx9OPo9z5qTgqrzR4BevugjF7JR/view","▶  Watch")</f>
        <v/>
      </c>
      <c r="G14" s="264" t="inlineStr">
        <is>
          <t>Week 12 (GI), filed 13 Oct 2026</t>
        </is>
      </c>
    </row>
    <row r="15">
      <c r="A15" s="188" t="inlineStr">
        <is>
          <t>NUR 198 ?</t>
        </is>
      </c>
      <c r="B15" s="188" t="inlineStr">
        <is>
          <t>ATI</t>
        </is>
      </c>
      <c r="C15" s="266" t="inlineStr">
        <is>
          <t>Adult health ATI practice review part 1 - shock, dialysis, asthma, electrolytes, sepsis (Sun 7 Sep)</t>
        </is>
      </c>
      <c r="D15" s="189" t="inlineStr">
        <is>
          <t>Not named</t>
        </is>
      </c>
      <c r="E15" s="188" t="inlineStr">
        <is>
          <t>Video</t>
        </is>
      </c>
      <c r="F15" s="267">
        <f>HYPERLINK("https://drive.google.com/file/d/1VwqGuxefxFmGgoQn9wZR_ctHpEO4qaSI/view","▶  Watch")</f>
        <v/>
      </c>
      <c r="G15" s="266" t="inlineStr">
        <is>
          <t>Could be NUR 258 - you tell me</t>
        </is>
      </c>
    </row>
    <row r="16">
      <c r="A16" s="185" t="inlineStr">
        <is>
          <t>NUR 198 ?</t>
        </is>
      </c>
      <c r="B16" s="185" t="inlineStr">
        <is>
          <t>ATI</t>
        </is>
      </c>
      <c r="C16" s="264" t="inlineStr">
        <is>
          <t>Adult health ATI practice review part 2 - electrolytes, respiratory (Mon 8 Sep)</t>
        </is>
      </c>
      <c r="D16" s="186" t="inlineStr">
        <is>
          <t>Not named</t>
        </is>
      </c>
      <c r="E16" s="185" t="inlineStr">
        <is>
          <t>Video</t>
        </is>
      </c>
      <c r="F16" s="265">
        <f>HYPERLINK("https://drive.google.com/file/d/17FEOKc4ndrct33Uz5cCzC3WgQ5ff-5Tl/view","▶  Watch")</f>
        <v/>
      </c>
      <c r="G16" s="264" t="inlineStr">
        <is>
          <t>Part 2 of the session above</t>
        </is>
      </c>
    </row>
    <row r="17">
      <c r="A17" s="188" t="inlineStr">
        <is>
          <t>NUR 175</t>
        </is>
      </c>
      <c r="B17" s="188" t="inlineStr">
        <is>
          <t>Pharm</t>
        </is>
      </c>
      <c r="C17" s="266" t="inlineStr">
        <is>
          <t>Review Pharmacology</t>
        </is>
      </c>
      <c r="D17" s="189" t="inlineStr">
        <is>
          <t>Wilkins</t>
        </is>
      </c>
      <c r="E17" s="188" t="inlineStr">
        <is>
          <t>Video</t>
        </is>
      </c>
      <c r="F17" s="267">
        <f>HYPERLINK("https://drive.google.com/file/d/11WezNrtsoNJiN3qI-6UBYpqm0TQwmg53/view","▶  Watch")</f>
        <v/>
      </c>
      <c r="G17" s="266" t="inlineStr">
        <is>
          <t>Spring 2026 cohort</t>
        </is>
      </c>
    </row>
    <row r="18">
      <c r="A18" s="185" t="inlineStr">
        <is>
          <t>NUR 175</t>
        </is>
      </c>
      <c r="B18" s="185" t="inlineStr">
        <is>
          <t>Final</t>
        </is>
      </c>
      <c r="C18" s="264" t="inlineStr">
        <is>
          <t>Mental Health Full Review - Psych Meds, Schizophrenia, Bipolar &amp; More</t>
        </is>
      </c>
      <c r="D18" s="186" t="inlineStr">
        <is>
          <t>SimpleNursing</t>
        </is>
      </c>
      <c r="E18" s="185" t="inlineStr">
        <is>
          <t>Video</t>
        </is>
      </c>
      <c r="F18" s="265">
        <f>HYPERLINK("https://drive.google.com/file/d/1GjskjzLlmq4xc_IHoBwi6ySUS_g_ymIC/view","▶  Watch")</f>
        <v/>
      </c>
      <c r="G18" s="264" t="inlineStr">
        <is>
          <t>YouTube capture, 1.7 GB</t>
        </is>
      </c>
    </row>
    <row r="19">
      <c r="A19" s="188" t="inlineStr">
        <is>
          <t>NUR 175</t>
        </is>
      </c>
      <c r="B19" s="188" t="inlineStr">
        <is>
          <t>Module 6</t>
        </is>
      </c>
      <c r="C19" s="266" t="inlineStr">
        <is>
          <t>Module 6 - Anger, Hostility, Aggression, Abuse, Violence</t>
        </is>
      </c>
      <c r="D19" s="189" t="inlineStr">
        <is>
          <t>Dr Corey Meyer + Dr Greg</t>
        </is>
      </c>
      <c r="E19" s="188" t="inlineStr">
        <is>
          <t>Video</t>
        </is>
      </c>
      <c r="F19" s="267">
        <f>HYPERLINK("https://drive.google.com/file/d/1s-JFTVHX7JowbxG52oebTWEyFXSAyVap/view","▶  Watch")</f>
        <v/>
      </c>
      <c r="G19" s="266" t="inlineStr">
        <is>
          <t>LSC exam prep, 88:06 on Canvas. Named from the recording's own opening caption. Phone capture 6 Oct 1:29 AM (671 MB), in Nursing School Videos.</t>
        </is>
      </c>
    </row>
    <row r="20">
      <c r="A20" s="185" t="inlineStr">
        <is>
          <t>BIO 290V</t>
        </is>
      </c>
      <c r="B20" s="185" t="inlineStr">
        <is>
          <t>Exam 1</t>
        </is>
      </c>
      <c r="C20" s="264" t="inlineStr">
        <is>
          <t>Exam prep - drugs, receptors, dosing (12 Sep 2025)</t>
        </is>
      </c>
      <c r="D20" s="186" t="inlineStr">
        <is>
          <t>Not named</t>
        </is>
      </c>
      <c r="E20" s="185" t="inlineStr">
        <is>
          <t>Video</t>
        </is>
      </c>
      <c r="F20" s="265">
        <f>HYPERLINK("https://drive.google.com/file/d/1WpniByv8x74YmS6zuxJ1jwAJaPvTTvAA/view","▶  Watch")</f>
        <v/>
      </c>
      <c r="G20" s="264" t="inlineStr">
        <is>
          <t>Week 2 screen recording</t>
        </is>
      </c>
    </row>
    <row r="21" ht="15.75" customHeight="1" s="149">
      <c r="A21" s="188" t="inlineStr">
        <is>
          <t>BIO 290V</t>
        </is>
      </c>
      <c r="B21" s="188" t="inlineStr">
        <is>
          <t>Exam 2</t>
        </is>
      </c>
      <c r="C21" s="266" t="inlineStr">
        <is>
          <t>Exam 2 Review</t>
        </is>
      </c>
      <c r="D21" s="189" t="inlineStr">
        <is>
          <t>King</t>
        </is>
      </c>
      <c r="E21" s="188" t="inlineStr">
        <is>
          <t>Video</t>
        </is>
      </c>
      <c r="F21" s="267">
        <f>HYPERLINK("https://drive.google.com/file/d/1yzddvEmfZY3CNtnQ1RSJo_XHA5G3S3ol/view","▶  Watch")</f>
        <v/>
      </c>
      <c r="G21" s="266" t="n"/>
    </row>
    <row r="22" ht="15.75" customHeight="1" s="149">
      <c r="A22" s="185" t="inlineStr">
        <is>
          <t>BIO 290V</t>
        </is>
      </c>
      <c r="B22" s="185" t="inlineStr">
        <is>
          <t>Exam 3</t>
        </is>
      </c>
      <c r="C22" s="264" t="inlineStr">
        <is>
          <t>Exam 3 Review</t>
        </is>
      </c>
      <c r="D22" s="186" t="inlineStr">
        <is>
          <t>Guerra</t>
        </is>
      </c>
      <c r="E22" s="185" t="inlineStr">
        <is>
          <t>Video</t>
        </is>
      </c>
      <c r="F22" s="265">
        <f>HYPERLINK("https://drive.google.com/file/d/1_wdvObqJojcouuKBZ-1_Xg1LlMcOeiA_/view","▶  Watch")</f>
        <v/>
      </c>
      <c r="G22" s="264" t="n"/>
    </row>
    <row r="23" ht="15.75" customHeight="1" s="149">
      <c r="A23" s="188" t="inlineStr">
        <is>
          <t>BIO 290V</t>
        </is>
      </c>
      <c r="B23" s="188" t="inlineStr">
        <is>
          <t>Exam 4</t>
        </is>
      </c>
      <c r="C23" s="266" t="inlineStr">
        <is>
          <t>Exam 4</t>
        </is>
      </c>
      <c r="D23" s="189" t="inlineStr">
        <is>
          <t>Guerra</t>
        </is>
      </c>
      <c r="E23" s="188" t="inlineStr">
        <is>
          <t>Video</t>
        </is>
      </c>
      <c r="F23" s="267">
        <f>HYPERLINK("https://drive.google.com/file/d/15gDrKfNa9XozHzbvVaTEi55TSh3mFdep/view","▶  Watch")</f>
        <v/>
      </c>
      <c r="G23" s="266" t="n"/>
    </row>
    <row r="24" ht="15.75" customHeight="1" s="149">
      <c r="A24" s="185" t="inlineStr">
        <is>
          <t>BIO 290V</t>
        </is>
      </c>
      <c r="B24" s="185" t="inlineStr">
        <is>
          <t>Exam 4</t>
        </is>
      </c>
      <c r="C24" s="264" t="inlineStr">
        <is>
          <t>Exam 4 Review</t>
        </is>
      </c>
      <c r="D24" s="186" t="inlineStr">
        <is>
          <t>Christensen</t>
        </is>
      </c>
      <c r="E24" s="185" t="inlineStr">
        <is>
          <t>Video</t>
        </is>
      </c>
      <c r="F24" s="265">
        <f>HYPERLINK("https://drive.google.com/file/d/1pFVjLbA4S81AoKMrwkfO_d-oOl3d1AyG/view","▶  Watch")</f>
        <v/>
      </c>
      <c r="G24" s="264" t="n"/>
    </row>
    <row r="25" ht="15.75" customHeight="1" s="149">
      <c r="A25" s="188" t="inlineStr">
        <is>
          <t>BIO 290V</t>
        </is>
      </c>
      <c r="B25" s="188" t="inlineStr">
        <is>
          <t>Exam 5</t>
        </is>
      </c>
      <c r="C25" s="266" t="inlineStr">
        <is>
          <t>Exam 5 Review</t>
        </is>
      </c>
      <c r="D25" s="189" t="inlineStr">
        <is>
          <t>Guerra</t>
        </is>
      </c>
      <c r="E25" s="188" t="inlineStr">
        <is>
          <t>Video</t>
        </is>
      </c>
      <c r="F25" s="267">
        <f>HYPERLINK("https://drive.google.com/file/d/1hm4Y2UGMf5umd8Djxmm9nrVz4uBSMEat/view","▶  Watch")</f>
        <v/>
      </c>
      <c r="G25" s="266" t="n"/>
    </row>
    <row r="26" ht="15.75" customHeight="1" s="149">
      <c r="A26" s="185" t="inlineStr">
        <is>
          <t>BIO 290V</t>
        </is>
      </c>
      <c r="B26" s="185" t="inlineStr">
        <is>
          <t>Exam 5</t>
        </is>
      </c>
      <c r="C26" s="264" t="inlineStr">
        <is>
          <t>Exam 5 Prep - Pharmacology Modules 8 and 9</t>
        </is>
      </c>
      <c r="D26" s="186" t="inlineStr">
        <is>
          <t>Exam prep</t>
        </is>
      </c>
      <c r="E26" s="185" t="inlineStr">
        <is>
          <t>Video</t>
        </is>
      </c>
      <c r="F26" s="265">
        <f>HYPERLINK("https://drive.google.com/file/d/12zEmpmMLDWRxVxvXWIl96bo9Js5pzC_H/view","▶  Watch")</f>
        <v/>
      </c>
      <c r="G26" s="264" t="n"/>
    </row>
    <row r="27" ht="15.75" customHeight="1" s="149">
      <c r="A27" s="188" t="inlineStr">
        <is>
          <t>BIO 290V</t>
        </is>
      </c>
      <c r="B27" s="188" t="inlineStr">
        <is>
          <t>Exam 6</t>
        </is>
      </c>
      <c r="C27" s="266" t="inlineStr">
        <is>
          <t>Exam 6 Lecture</t>
        </is>
      </c>
      <c r="D27" s="189" t="inlineStr">
        <is>
          <t>King</t>
        </is>
      </c>
      <c r="E27" s="188" t="inlineStr">
        <is>
          <t>Video</t>
        </is>
      </c>
      <c r="F27" s="267">
        <f>HYPERLINK("https://drive.google.com/file/d/1dr7UWaG5lynxtHJJbo8jI2aTBxmE37gQ/view","▶  Watch")</f>
        <v/>
      </c>
      <c r="G27" s="266" t="n"/>
    </row>
    <row r="28" ht="15.75" customHeight="1" s="149">
      <c r="A28" s="185" t="inlineStr">
        <is>
          <t>BIO 290V</t>
        </is>
      </c>
      <c r="B28" s="185" t="inlineStr">
        <is>
          <t>Exam 7</t>
        </is>
      </c>
      <c r="C28" s="264" t="inlineStr">
        <is>
          <t>Exam 7 Prep Session</t>
        </is>
      </c>
      <c r="D28" s="186" t="inlineStr">
        <is>
          <t>King</t>
        </is>
      </c>
      <c r="E28" s="185" t="inlineStr">
        <is>
          <t>Video</t>
        </is>
      </c>
      <c r="F28" s="265">
        <f>HYPERLINK("https://drive.google.com/file/d/1om7GpMMAgV490uNZcgPebM6_e3akw_Je/view","▶  Watch")</f>
        <v/>
      </c>
      <c r="G28" s="264" t="n"/>
    </row>
    <row r="29" ht="15.75" customHeight="1" s="149">
      <c r="A29" s="188" t="inlineStr">
        <is>
          <t>BIO 290V</t>
        </is>
      </c>
      <c r="B29" s="188" t="inlineStr">
        <is>
          <t>FINAL</t>
        </is>
      </c>
      <c r="C29" s="266" t="inlineStr">
        <is>
          <t>Final exam review 1</t>
        </is>
      </c>
      <c r="D29" s="189" t="inlineStr">
        <is>
          <t>Guerra</t>
        </is>
      </c>
      <c r="E29" s="188" t="inlineStr">
        <is>
          <t>Video</t>
        </is>
      </c>
      <c r="F29" s="267">
        <f>HYPERLINK("https://drive.google.com/file/d/1acOr-VH5wLsa5nifIVtkUb9T096o8-Ci/view","▶  Watch")</f>
        <v/>
      </c>
      <c r="G29" s="266" t="n"/>
    </row>
    <row r="30" ht="15.75" customHeight="1" s="149">
      <c r="A30" s="185" t="inlineStr">
        <is>
          <t>BIO 290V</t>
        </is>
      </c>
      <c r="B30" s="185" t="inlineStr">
        <is>
          <t>FINAL</t>
        </is>
      </c>
      <c r="C30" s="264" t="inlineStr">
        <is>
          <t>Final exam review 2</t>
        </is>
      </c>
      <c r="D30" s="186" t="inlineStr">
        <is>
          <t>Guerra</t>
        </is>
      </c>
      <c r="E30" s="185" t="inlineStr">
        <is>
          <t>Video</t>
        </is>
      </c>
      <c r="F30" s="265">
        <f>HYPERLINK("https://drive.google.com/file/d/1h4dE5HNtS-D_P5hQHWPpD8_uR0uJx9V4/view","▶  Watch")</f>
        <v/>
      </c>
      <c r="G30" s="264" t="n"/>
    </row>
    <row r="31" ht="15.75" customHeight="1" s="149">
      <c r="A31" s="188" t="inlineStr">
        <is>
          <t>BIO 290V</t>
        </is>
      </c>
      <c r="B31" s="188" t="inlineStr">
        <is>
          <t>FINAL</t>
        </is>
      </c>
      <c r="C31" s="266" t="inlineStr">
        <is>
          <t>Final exam review</t>
        </is>
      </c>
      <c r="D31" s="189" t="inlineStr">
        <is>
          <t>Pohl</t>
        </is>
      </c>
      <c r="E31" s="188" t="inlineStr">
        <is>
          <t>Video</t>
        </is>
      </c>
      <c r="F31" s="267">
        <f>HYPERLINK("https://drive.google.com/file/d/1afY6_3escGKEXej2K9-YaMCWdm0w3uc8/view","▶  Watch")</f>
        <v/>
      </c>
      <c r="G31" s="266" t="n"/>
    </row>
    <row r="32" ht="15.75" customHeight="1" s="149">
      <c r="A32" s="185" t="inlineStr">
        <is>
          <t>BIO 280V</t>
        </is>
      </c>
      <c r="B32" s="185" t="inlineStr">
        <is>
          <t>Exam 1</t>
        </is>
      </c>
      <c r="C32" s="264" t="inlineStr">
        <is>
          <t>Bio 280V Exam 1 Prep</t>
        </is>
      </c>
      <c r="D32" s="186" t="inlineStr">
        <is>
          <t>Exam prep</t>
        </is>
      </c>
      <c r="E32" s="185" t="inlineStr">
        <is>
          <t>Video</t>
        </is>
      </c>
      <c r="F32" s="265">
        <f>HYPERLINK("https://drive.google.com/file/d/1StGpFy32sz13JGfcY_uajmjWhjWW10n8/view","▶  Watch")</f>
        <v/>
      </c>
      <c r="G32" s="264" t="inlineStr">
        <is>
          <t>919 MB</t>
        </is>
      </c>
    </row>
    <row r="33" ht="15.75" customHeight="1" s="149">
      <c r="A33" s="188" t="inlineStr">
        <is>
          <t>BIO 280V</t>
        </is>
      </c>
      <c r="B33" s="188" t="inlineStr">
        <is>
          <t>Exam 1</t>
        </is>
      </c>
      <c r="C33" s="266" t="inlineStr">
        <is>
          <t>Exam 1 Prep Lecture</t>
        </is>
      </c>
      <c r="D33" s="189" t="inlineStr">
        <is>
          <t>Exam prep</t>
        </is>
      </c>
      <c r="E33" s="188" t="inlineStr">
        <is>
          <t>Video</t>
        </is>
      </c>
      <c r="F33" s="267">
        <f>HYPERLINK("https://drive.google.com/file/d/1nm3wWywVomKZ8twD5ZAeY1WCR-NJmbqA/view","▶  Watch")</f>
        <v/>
      </c>
      <c r="G33" s="266" t="n"/>
    </row>
    <row r="34" ht="15.75" customHeight="1" s="149">
      <c r="A34" s="185" t="inlineStr">
        <is>
          <t>BIO 280V</t>
        </is>
      </c>
      <c r="B34" s="185" t="inlineStr">
        <is>
          <t>Exam 1</t>
        </is>
      </c>
      <c r="C34" s="264" t="inlineStr">
        <is>
          <t>Exam 1 prep - screen recording 15 Sep 2025, 20:03</t>
        </is>
      </c>
      <c r="D34" s="186" t="inlineStr">
        <is>
          <t>Not named</t>
        </is>
      </c>
      <c r="E34" s="185" t="inlineStr">
        <is>
          <t>Video</t>
        </is>
      </c>
      <c r="F34" s="265">
        <f>HYPERLINK("https://drive.google.com/file/d/1Ur5_qaXldGBM-oAdDeGh7xCeXyrqtRB3/view","▶  Watch")</f>
        <v/>
      </c>
      <c r="G34" s="264" t="n"/>
    </row>
    <row r="35" ht="15.75" customHeight="1" s="149">
      <c r="A35" s="188" t="inlineStr">
        <is>
          <t>BIO 280V</t>
        </is>
      </c>
      <c r="B35" s="188" t="inlineStr">
        <is>
          <t>Exam 1</t>
        </is>
      </c>
      <c r="C35" s="266" t="inlineStr">
        <is>
          <t>Exam 1 prep - screen recording 15 Sep 2025, 20:36</t>
        </is>
      </c>
      <c r="D35" s="189" t="inlineStr">
        <is>
          <t>Not named</t>
        </is>
      </c>
      <c r="E35" s="188" t="inlineStr">
        <is>
          <t>Video</t>
        </is>
      </c>
      <c r="F35" s="267">
        <f>HYPERLINK("https://drive.google.com/file/d/19I5RittzDcpdFj67UL_zEMY6EDTPfIeS/view","▶  Watch")</f>
        <v/>
      </c>
      <c r="G35" s="266" t="n"/>
    </row>
    <row r="36" ht="15.75" customHeight="1" s="149">
      <c r="A36" s="185" t="inlineStr">
        <is>
          <t>BIO 280V</t>
        </is>
      </c>
      <c r="B36" s="185" t="inlineStr">
        <is>
          <t>Exam 2</t>
        </is>
      </c>
      <c r="C36" s="264" t="inlineStr">
        <is>
          <t>Exam 2 Lecture</t>
        </is>
      </c>
      <c r="D36" s="186" t="inlineStr">
        <is>
          <t>Exam prep</t>
        </is>
      </c>
      <c r="E36" s="185" t="inlineStr">
        <is>
          <t>Video</t>
        </is>
      </c>
      <c r="F36" s="265">
        <f>HYPERLINK("https://drive.google.com/file/d/1xEezQMx-KNmoVyLCeGcrvHeDz9ZZ9kDZ/view","▶  Watch")</f>
        <v/>
      </c>
      <c r="G36" s="264" t="inlineStr">
        <is>
          <t>2.9 GB</t>
        </is>
      </c>
    </row>
    <row r="37" ht="15.75" customHeight="1" s="149">
      <c r="A37" s="188" t="inlineStr">
        <is>
          <t>BIO 280V</t>
        </is>
      </c>
      <c r="B37" s="188" t="inlineStr">
        <is>
          <t>Exam 2</t>
        </is>
      </c>
      <c r="C37" s="266" t="inlineStr">
        <is>
          <t>Exam prep - cell injury, hypoxia, drugs (22 Sep 2025)</t>
        </is>
      </c>
      <c r="D37" s="189" t="inlineStr">
        <is>
          <t>Not named</t>
        </is>
      </c>
      <c r="E37" s="188" t="inlineStr">
        <is>
          <t>Video</t>
        </is>
      </c>
      <c r="F37" s="267">
        <f>HYPERLINK("https://drive.google.com/file/d/1nhLqtOdgUOHjQXABDMu1dQtwDse-tN0S/view","▶  Watch")</f>
        <v/>
      </c>
      <c r="G37" s="266" t="inlineStr">
        <is>
          <t>Week 4 screen recording</t>
        </is>
      </c>
    </row>
    <row r="38" ht="15.75" customHeight="1" s="149">
      <c r="A38" s="185" t="inlineStr">
        <is>
          <t>BIO 280V</t>
        </is>
      </c>
      <c r="B38" s="185" t="inlineStr">
        <is>
          <t>Exam 3</t>
        </is>
      </c>
      <c r="C38" s="264" t="inlineStr">
        <is>
          <t>Exam 3 Zoom</t>
        </is>
      </c>
      <c r="D38" s="186" t="inlineStr">
        <is>
          <t>Exam prep</t>
        </is>
      </c>
      <c r="E38" s="185" t="inlineStr">
        <is>
          <t>Video</t>
        </is>
      </c>
      <c r="F38" s="265">
        <f>HYPERLINK("https://drive.google.com/file/d/1bzs2XBpKhnDs9mkpzXQyUIqcva8Vca_9/view","▶  Watch")</f>
        <v/>
      </c>
      <c r="G38" s="264" t="n"/>
    </row>
    <row r="39" ht="15.75" customHeight="1" s="149">
      <c r="A39" s="188" t="inlineStr">
        <is>
          <t>BIO 280V</t>
        </is>
      </c>
      <c r="B39" s="188" t="inlineStr">
        <is>
          <t>Exam 3</t>
        </is>
      </c>
      <c r="C39" s="266" t="inlineStr">
        <is>
          <t>Bio280 Exam 3 Prep</t>
        </is>
      </c>
      <c r="D39" s="189" t="inlineStr">
        <is>
          <t>Exam prep</t>
        </is>
      </c>
      <c r="E39" s="188" t="inlineStr">
        <is>
          <t>Video</t>
        </is>
      </c>
      <c r="F39" s="267">
        <f>HYPERLINK("https://drive.google.com/file/d/1f6MwoICNucUfOOv7mB_X0rfGdlX0gJiU/view","▶  Watch")</f>
        <v/>
      </c>
      <c r="G39" s="266" t="inlineStr">
        <is>
          <t>1 GB</t>
        </is>
      </c>
    </row>
    <row r="40" ht="15.75" customHeight="1" s="149">
      <c r="A40" s="185" t="inlineStr">
        <is>
          <t>BIO 280V</t>
        </is>
      </c>
      <c r="B40" s="185" t="inlineStr">
        <is>
          <t>Exam 4</t>
        </is>
      </c>
      <c r="C40" s="264" t="inlineStr">
        <is>
          <t>Exam 4 prep - screen recording 26 Oct 2025</t>
        </is>
      </c>
      <c r="D40" s="186" t="inlineStr">
        <is>
          <t>Not named</t>
        </is>
      </c>
      <c r="E40" s="185" t="inlineStr">
        <is>
          <t>Video</t>
        </is>
      </c>
      <c r="F40" s="265">
        <f>HYPERLINK("https://drive.google.com/file/d/1xK-o6-XiEIM64IG_U-GFv_GNbNHEjEBL/view","▶  Watch")</f>
        <v/>
      </c>
      <c r="G40" s="264" t="n"/>
    </row>
    <row r="41" ht="15.75" customHeight="1" s="149">
      <c r="A41" s="188" t="inlineStr">
        <is>
          <t>BIO 280V</t>
        </is>
      </c>
      <c r="B41" s="188" t="inlineStr">
        <is>
          <t>Exam 5</t>
        </is>
      </c>
      <c r="C41" s="266" t="inlineStr">
        <is>
          <t>Exam 5 prep - screen recording 7 Nov 2025</t>
        </is>
      </c>
      <c r="D41" s="189" t="inlineStr">
        <is>
          <t>Not named</t>
        </is>
      </c>
      <c r="E41" s="188" t="inlineStr">
        <is>
          <t>Video</t>
        </is>
      </c>
      <c r="F41" s="267">
        <f>HYPERLINK("https://drive.google.com/file/d/19WESnmeDH52d7Z272xVo6UshjrjqDnmO/view","▶  Watch")</f>
        <v/>
      </c>
      <c r="G41" s="266" t="n"/>
    </row>
    <row r="42" ht="15.75" customHeight="1" s="149">
      <c r="A42" s="185" t="inlineStr">
        <is>
          <t>BIO 280V</t>
        </is>
      </c>
      <c r="B42" s="185" t="inlineStr">
        <is>
          <t>FINAL</t>
        </is>
      </c>
      <c r="C42" s="264" t="inlineStr">
        <is>
          <t>Final exam prep</t>
        </is>
      </c>
      <c r="D42" s="186" t="inlineStr">
        <is>
          <t>Exam prep</t>
        </is>
      </c>
      <c r="E42" s="185" t="inlineStr">
        <is>
          <t>Video</t>
        </is>
      </c>
      <c r="F42" s="265">
        <f>HYPERLINK("https://drive.google.com/file/d/116e4sUGbtET7q_r_FWaWS4E3YqOfGWI6/view","▶  Watch")</f>
        <v/>
      </c>
      <c r="G42" s="264" t="n"/>
    </row>
    <row r="43" ht="15.75" customHeight="1" s="149">
      <c r="A43" s="188" t="inlineStr">
        <is>
          <t>Anatomy</t>
        </is>
      </c>
      <c r="B43" s="188" t="inlineStr">
        <is>
          <t>Module 8</t>
        </is>
      </c>
      <c r="C43" s="266" t="inlineStr">
        <is>
          <t>Exam review</t>
        </is>
      </c>
      <c r="D43" s="189" t="inlineStr">
        <is>
          <t>Not named</t>
        </is>
      </c>
      <c r="E43" s="188" t="inlineStr">
        <is>
          <t>Video</t>
        </is>
      </c>
      <c r="F43" s="267">
        <f>HYPERLINK("https://drive.google.com/file/d/10zFKUxRWpBiNulYb_P0pOcA9T196bWRY/view","▶  Watch")</f>
        <v/>
      </c>
      <c r="G43" s="266" t="inlineStr">
        <is>
          <t>Week 8</t>
        </is>
      </c>
    </row>
    <row r="44" ht="15.75" customHeight="1" s="149">
      <c r="A44" s="185" t="inlineStr">
        <is>
          <t>Anatomy</t>
        </is>
      </c>
      <c r="B44" s="185" t="inlineStr">
        <is>
          <t>FINAL</t>
        </is>
      </c>
      <c r="C44" s="264" t="inlineStr">
        <is>
          <t>Final Review 5 August 2025</t>
        </is>
      </c>
      <c r="D44" s="186" t="inlineStr">
        <is>
          <t>Not named</t>
        </is>
      </c>
      <c r="E44" s="185" t="inlineStr">
        <is>
          <t>Video</t>
        </is>
      </c>
      <c r="F44" s="265">
        <f>HYPERLINK("https://drive.google.com/file/d/1oi_EhJSyj1T5PEM3HTnFd2aPm8pi1Yu6/view","▶  Watch")</f>
        <v/>
      </c>
      <c r="G44" s="264" t="n"/>
    </row>
    <row r="45" ht="15.75" customHeight="1" s="149">
      <c r="A45" s="188" t="inlineStr">
        <is>
          <t>Anatomy</t>
        </is>
      </c>
      <c r="B45" s="188" t="inlineStr">
        <is>
          <t>FINAL</t>
        </is>
      </c>
      <c r="C45" s="266" t="inlineStr">
        <is>
          <t>Final exam prep - screen recording 10 Aug 2025, 02:31</t>
        </is>
      </c>
      <c r="D45" s="189" t="inlineStr">
        <is>
          <t>Not named</t>
        </is>
      </c>
      <c r="E45" s="188" t="inlineStr">
        <is>
          <t>Video</t>
        </is>
      </c>
      <c r="F45" s="267">
        <f>HYPERLINK("https://drive.google.com/file/d/1jFE2tp8mgv0V-9nhg1jqA-Xx8zVi8Ez4/view","▶  Watch")</f>
        <v/>
      </c>
      <c r="G45" s="266" t="n"/>
    </row>
    <row r="46" ht="15.75" customHeight="1" s="149">
      <c r="A46" s="185" t="inlineStr">
        <is>
          <t>Anatomy</t>
        </is>
      </c>
      <c r="B46" s="185" t="inlineStr">
        <is>
          <t>FINAL</t>
        </is>
      </c>
      <c r="C46" s="264" t="inlineStr">
        <is>
          <t>Final exam prep - screen recording 12 Aug 2025, 01:43</t>
        </is>
      </c>
      <c r="D46" s="186" t="inlineStr">
        <is>
          <t>Not named</t>
        </is>
      </c>
      <c r="E46" s="185" t="inlineStr">
        <is>
          <t>Video</t>
        </is>
      </c>
      <c r="F46" s="265">
        <f>HYPERLINK("https://drive.google.com/file/d/111O_aKSsWxthGegu4uVMyUPomLdaIPhe/view","▶  Watch")</f>
        <v/>
      </c>
      <c r="G46" s="264" t="n"/>
    </row>
    <row r="47" ht="15.75" customHeight="1" s="149">
      <c r="A47" s="188" t="inlineStr">
        <is>
          <t>Anatomy</t>
        </is>
      </c>
      <c r="B47" s="188" t="inlineStr">
        <is>
          <t>FINAL</t>
        </is>
      </c>
      <c r="C47" s="266" t="inlineStr">
        <is>
          <t>Final exam prep - screen recording 12 Aug 2025, 02:12</t>
        </is>
      </c>
      <c r="D47" s="189" t="inlineStr">
        <is>
          <t>Not named</t>
        </is>
      </c>
      <c r="E47" s="188" t="inlineStr">
        <is>
          <t>Video</t>
        </is>
      </c>
      <c r="F47" s="267">
        <f>HYPERLINK("https://drive.google.com/file/d/1GBJR87x3CJbRZ0Vq-nRL4uNZKGR9nDrC/view","▶  Watch")</f>
        <v/>
      </c>
      <c r="G47" s="266" t="n"/>
    </row>
    <row r="48" ht="15.75" customHeight="1" s="149">
      <c r="A48" s="185" t="inlineStr">
        <is>
          <t>Anatomy</t>
        </is>
      </c>
      <c r="B48" s="185" t="inlineStr">
        <is>
          <t>FINAL</t>
        </is>
      </c>
      <c r="C48" s="264" t="inlineStr">
        <is>
          <t>Final exam prep - screen recording 12 Aug 2025, 22:59</t>
        </is>
      </c>
      <c r="D48" s="186" t="inlineStr">
        <is>
          <t>Not named</t>
        </is>
      </c>
      <c r="E48" s="185" t="inlineStr">
        <is>
          <t>Video</t>
        </is>
      </c>
      <c r="F48" s="265">
        <f>HYPERLINK("https://drive.google.com/file/d/12h8EGohla0Dq81dCk26DPpHsOx40V9VL/view","▶  Watch")</f>
        <v/>
      </c>
      <c r="G48" s="264" t="n"/>
    </row>
    <row r="49" ht="15.75" customHeight="1" s="149">
      <c r="A49" s="188" t="inlineStr">
        <is>
          <t>Physiology</t>
        </is>
      </c>
      <c r="B49" s="188" t="inlineStr">
        <is>
          <t>Module 10</t>
        </is>
      </c>
      <c r="C49" s="266" t="inlineStr">
        <is>
          <t>Exam Review Lecture</t>
        </is>
      </c>
      <c r="D49" s="189" t="inlineStr">
        <is>
          <t>Not named</t>
        </is>
      </c>
      <c r="E49" s="188" t="inlineStr">
        <is>
          <t>Video</t>
        </is>
      </c>
      <c r="F49" s="267">
        <f>HYPERLINK("https://drive.google.com/file/d/1UGUpXHp40ongHJunXoRhTQ0kTlTLA7Pq/view","▶  Watch")</f>
        <v/>
      </c>
      <c r="G49" s="266" t="inlineStr">
        <is>
          <t>Week 10</t>
        </is>
      </c>
    </row>
    <row r="50" ht="15.75" customHeight="1" s="149">
      <c r="A50" s="185" t="inlineStr">
        <is>
          <t>Physiology</t>
        </is>
      </c>
      <c r="B50" s="185" t="inlineStr">
        <is>
          <t>FINAL</t>
        </is>
      </c>
      <c r="C50" s="264" t="inlineStr">
        <is>
          <t>Final Exam Prep Lecture</t>
        </is>
      </c>
      <c r="D50" s="186" t="inlineStr">
        <is>
          <t>Not named</t>
        </is>
      </c>
      <c r="E50" s="185" t="inlineStr">
        <is>
          <t>Video</t>
        </is>
      </c>
      <c r="F50" s="265">
        <f>HYPERLINK("https://drive.google.com/file/d/1lWnTg0uyOq290vEkP28MvkqvJ97y5f9W/view","▶  Watch")</f>
        <v/>
      </c>
      <c r="G50" s="264" t="n"/>
    </row>
    <row r="51" ht="15.75" customHeight="1" s="149">
      <c r="A51" s="188" t="inlineStr">
        <is>
          <t>Physiology</t>
        </is>
      </c>
      <c r="B51" s="188" t="inlineStr">
        <is>
          <t>FINAL</t>
        </is>
      </c>
      <c r="C51" s="266" t="inlineStr">
        <is>
          <t>Final exam prep - screen recording 6 Aug 2025, 02:52</t>
        </is>
      </c>
      <c r="D51" s="189" t="inlineStr">
        <is>
          <t>Not named</t>
        </is>
      </c>
      <c r="E51" s="188" t="inlineStr">
        <is>
          <t>Video</t>
        </is>
      </c>
      <c r="F51" s="267">
        <f>HYPERLINK("https://drive.google.com/file/d/1z3f-a4JvsYQKFoXXjrlKhVoYD6fI2na-/view","▶  Watch")</f>
        <v/>
      </c>
      <c r="G51" s="266" t="n"/>
    </row>
    <row r="52" ht="15.75" customHeight="1" s="149">
      <c r="A52" s="185" t="inlineStr">
        <is>
          <t>Physiology</t>
        </is>
      </c>
      <c r="B52" s="185" t="inlineStr">
        <is>
          <t>FINAL</t>
        </is>
      </c>
      <c r="C52" s="264" t="inlineStr">
        <is>
          <t>Final exam prep - screen recording 6 Aug 2025, 03:31</t>
        </is>
      </c>
      <c r="D52" s="186" t="inlineStr">
        <is>
          <t>Not named</t>
        </is>
      </c>
      <c r="E52" s="185" t="inlineStr">
        <is>
          <t>Video</t>
        </is>
      </c>
      <c r="F52" s="265">
        <f>HYPERLINK("https://drive.google.com/file/d/1TL8au62OwpCJB8QvoJQPTAP3DPr2rQ9B/view","▶  Watch")</f>
        <v/>
      </c>
      <c r="G52" s="264" t="n"/>
    </row>
    <row r="53" ht="15.75" customHeight="1" s="149">
      <c r="A53" s="188" t="inlineStr">
        <is>
          <t>MAT 300</t>
        </is>
      </c>
      <c r="B53" s="188" t="inlineStr">
        <is>
          <t>Exam 1</t>
        </is>
      </c>
      <c r="C53" s="266" t="inlineStr">
        <is>
          <t>Week 7 Exam 1 Review Session</t>
        </is>
      </c>
      <c r="D53" s="189" t="inlineStr">
        <is>
          <t>Not named</t>
        </is>
      </c>
      <c r="E53" s="188" t="inlineStr">
        <is>
          <t>Video</t>
        </is>
      </c>
      <c r="F53" s="267">
        <f>HYPERLINK("https://drive.google.com/file/d/1xmpcMMEuUqaxs3rJIQPhScpMpaK6kQEZ/view","▶  Watch")</f>
        <v/>
      </c>
      <c r="G53" s="266" t="n"/>
    </row>
    <row r="54" ht="15.75" customHeight="1" s="149">
      <c r="A54" s="185" t="inlineStr">
        <is>
          <t>MAT 300</t>
        </is>
      </c>
      <c r="B54" s="185" t="inlineStr">
        <is>
          <t>FINAL</t>
        </is>
      </c>
      <c r="C54" s="264" t="inlineStr">
        <is>
          <t>Week 13 Live Session - Overview of Final Exam and Study Prep</t>
        </is>
      </c>
      <c r="D54" s="186" t="inlineStr">
        <is>
          <t>Not named</t>
        </is>
      </c>
      <c r="E54" s="185" t="inlineStr">
        <is>
          <t>Video</t>
        </is>
      </c>
      <c r="F54" s="265">
        <f>HYPERLINK("https://drive.google.com/file/d/1_R3mEoaWiDwBkg9wO_y2pz1VLP9YQkt0/view","▶  Watch")</f>
        <v/>
      </c>
      <c r="G54" s="264" t="n"/>
    </row>
    <row r="55" ht="15.75" customHeight="1" s="149">
      <c r="A55" s="188" t="inlineStr">
        <is>
          <t>MAT 300</t>
        </is>
      </c>
      <c r="B55" s="188" t="inlineStr">
        <is>
          <t>FINAL</t>
        </is>
      </c>
      <c r="C55" s="266" t="inlineStr">
        <is>
          <t>Final Exam Review Session</t>
        </is>
      </c>
      <c r="D55" s="189" t="inlineStr">
        <is>
          <t>Not named</t>
        </is>
      </c>
      <c r="E55" s="188" t="inlineStr">
        <is>
          <t>Video</t>
        </is>
      </c>
      <c r="F55" s="267">
        <f>HYPERLINK("https://drive.google.com/file/d/15iJt8VD1yRH6a94TFhQsv4XpNmoFCD-6/view","▶  Watch")</f>
        <v/>
      </c>
      <c r="G55" s="266" t="n"/>
    </row>
    <row r="56" ht="15.75" customHeight="1" s="149">
      <c r="A56" s="186" t="n"/>
      <c r="B56" s="186" t="n"/>
      <c r="C56" s="186" t="n"/>
      <c r="D56" s="186" t="n"/>
      <c r="E56" s="186" t="n"/>
      <c r="F56" s="186" t="n"/>
      <c r="G56" s="186" t="n"/>
    </row>
    <row r="57" ht="15.75" customHeight="1" s="149">
      <c r="A57" s="189" t="n"/>
      <c r="B57" s="189" t="n"/>
      <c r="C57" s="189" t="n"/>
      <c r="D57" s="189" t="n"/>
      <c r="E57" s="189" t="n"/>
      <c r="F57" s="189" t="n"/>
      <c r="G57" s="189" t="n"/>
    </row>
    <row r="58" ht="15.75" customHeight="1" s="149">
      <c r="A58" s="186" t="n"/>
      <c r="B58" s="186" t="n"/>
      <c r="C58" s="186" t="n"/>
      <c r="D58" s="186" t="n"/>
      <c r="E58" s="186" t="n"/>
      <c r="F58" s="186" t="n"/>
      <c r="G58" s="186" t="n"/>
    </row>
    <row r="59" ht="15.75" customHeight="1" s="149">
      <c r="A59" s="193" t="n"/>
      <c r="B59" s="193" t="n"/>
      <c r="C59" s="193" t="n"/>
      <c r="D59" s="193" t="n"/>
      <c r="E59" s="193" t="n"/>
      <c r="F59" s="193" t="n"/>
      <c r="G59" s="193" t="n"/>
    </row>
    <row r="60" ht="15.75" customHeight="1" s="149">
      <c r="A60" s="192" t="n"/>
      <c r="B60" s="192" t="n"/>
      <c r="C60" s="192" t="n"/>
      <c r="D60" s="192" t="n"/>
      <c r="E60" s="192" t="n"/>
      <c r="F60" s="192" t="n"/>
      <c r="G60" s="192" t="n"/>
    </row>
    <row r="61" ht="15.75" customHeight="1" s="149">
      <c r="A61" s="193" t="n"/>
      <c r="B61" s="193" t="n"/>
      <c r="C61" s="193" t="n"/>
      <c r="D61" s="193" t="n"/>
      <c r="E61" s="193" t="n"/>
      <c r="F61" s="193" t="n"/>
      <c r="G61" s="193" t="n"/>
    </row>
    <row r="62" ht="15.75" customHeight="1" s="149">
      <c r="A62" s="192" t="n"/>
      <c r="B62" s="192" t="n"/>
      <c r="C62" s="192" t="n"/>
      <c r="D62" s="192" t="n"/>
      <c r="E62" s="192" t="n"/>
      <c r="F62" s="192" t="n"/>
      <c r="G62" s="192" t="n"/>
    </row>
    <row r="63" ht="15.75" customHeight="1" s="149">
      <c r="A63" s="193" t="n"/>
      <c r="B63" s="193" t="n"/>
      <c r="C63" s="193" t="n"/>
      <c r="D63" s="193" t="n"/>
      <c r="E63" s="193" t="n"/>
      <c r="F63" s="193" t="n"/>
      <c r="G63" s="193" t="n"/>
    </row>
    <row r="64" ht="15.75" customHeight="1" s="149">
      <c r="A64" s="192" t="n"/>
      <c r="B64" s="192" t="n"/>
      <c r="C64" s="192" t="n"/>
      <c r="D64" s="192" t="n"/>
      <c r="E64" s="192" t="n"/>
      <c r="F64" s="192" t="n"/>
      <c r="G64" s="192" t="n"/>
    </row>
    <row r="65" ht="15.75" customHeight="1" s="149">
      <c r="A65" s="193" t="n"/>
      <c r="B65" s="193" t="n"/>
      <c r="C65" s="193" t="n"/>
      <c r="D65" s="193" t="n"/>
      <c r="E65" s="193" t="n"/>
      <c r="F65" s="193" t="n"/>
      <c r="G65" s="193" t="n"/>
    </row>
    <row r="66" ht="15.75" customHeight="1" s="149">
      <c r="A66" s="192" t="n"/>
      <c r="B66" s="192" t="n"/>
      <c r="C66" s="192" t="n"/>
      <c r="D66" s="192" t="n"/>
      <c r="E66" s="192" t="n"/>
      <c r="F66" s="192" t="n"/>
      <c r="G66" s="192" t="n"/>
    </row>
    <row r="67" ht="15.75" customHeight="1" s="149">
      <c r="A67" s="193" t="n"/>
      <c r="B67" s="193" t="n"/>
      <c r="C67" s="193" t="n"/>
      <c r="D67" s="193" t="n"/>
      <c r="E67" s="193" t="n"/>
      <c r="F67" s="193" t="n"/>
      <c r="G67" s="193" t="n"/>
    </row>
    <row r="68" ht="15.75" customHeight="1" s="149">
      <c r="A68" s="192" t="n"/>
      <c r="B68" s="192" t="n"/>
      <c r="C68" s="192" t="n"/>
      <c r="D68" s="192" t="n"/>
      <c r="E68" s="192" t="n"/>
      <c r="F68" s="192" t="n"/>
      <c r="G68" s="192" t="n"/>
    </row>
    <row r="69" ht="15.75" customHeight="1" s="149">
      <c r="A69" s="193" t="n"/>
      <c r="B69" s="193" t="n"/>
      <c r="C69" s="193" t="n"/>
      <c r="D69" s="193" t="n"/>
      <c r="E69" s="193" t="n"/>
      <c r="F69" s="193" t="n"/>
      <c r="G69" s="193" t="n"/>
    </row>
    <row r="70" ht="15.75" customHeight="1" s="149">
      <c r="A70" s="192" t="n"/>
      <c r="B70" s="192" t="n"/>
      <c r="C70" s="192" t="n"/>
      <c r="D70" s="192" t="n"/>
      <c r="E70" s="192" t="n"/>
      <c r="F70" s="192" t="n"/>
      <c r="G70" s="192" t="n"/>
    </row>
    <row r="71" ht="15.75" customHeight="1" s="149">
      <c r="A71" s="5" t="n"/>
      <c r="B71" s="5" t="n"/>
      <c r="C71" s="5" t="n"/>
      <c r="D71" s="5" t="n"/>
      <c r="E71" s="5" t="n"/>
      <c r="F71" s="5" t="n"/>
      <c r="G71" s="5" t="n"/>
    </row>
    <row r="72" ht="15.75" customHeight="1" s="149">
      <c r="A72" s="5" t="n"/>
      <c r="B72" s="5" t="n"/>
      <c r="C72" s="5" t="n"/>
      <c r="D72" s="5" t="n"/>
      <c r="E72" s="5" t="n"/>
      <c r="F72" s="5" t="n"/>
      <c r="G72" s="5" t="n"/>
    </row>
    <row r="73" ht="15.75" customHeight="1" s="149">
      <c r="A73" s="5" t="n"/>
      <c r="B73" s="5" t="n"/>
      <c r="C73" s="5" t="n"/>
      <c r="D73" s="5" t="n"/>
      <c r="E73" s="5" t="n"/>
      <c r="F73" s="5" t="n"/>
      <c r="G73" s="5" t="n"/>
    </row>
    <row r="74" ht="15.75" customHeight="1" s="149">
      <c r="A74" s="5" t="n"/>
      <c r="B74" s="5" t="n"/>
      <c r="C74" s="5" t="n"/>
      <c r="D74" s="5" t="n"/>
      <c r="E74" s="5" t="n"/>
      <c r="F74" s="5" t="n"/>
      <c r="G74" s="5" t="n"/>
    </row>
    <row r="75" ht="15.75" customHeight="1" s="149">
      <c r="A75" s="5" t="n"/>
      <c r="B75" s="5" t="n"/>
      <c r="C75" s="5" t="n"/>
      <c r="D75" s="5" t="n"/>
      <c r="E75" s="5" t="n"/>
      <c r="F75" s="5" t="n"/>
      <c r="G75" s="5" t="n"/>
    </row>
    <row r="76" ht="15.75" customHeight="1" s="149">
      <c r="A76" s="5" t="n"/>
      <c r="B76" s="5" t="n"/>
      <c r="C76" s="5" t="n"/>
      <c r="D76" s="5" t="n"/>
      <c r="E76" s="5" t="n"/>
      <c r="F76" s="5" t="n"/>
      <c r="G76" s="5" t="n"/>
    </row>
    <row r="77" ht="15.75" customHeight="1" s="149">
      <c r="A77" s="5" t="n"/>
      <c r="B77" s="5" t="n"/>
      <c r="C77" s="5" t="n"/>
      <c r="D77" s="5" t="n"/>
      <c r="E77" s="5" t="n"/>
      <c r="F77" s="5" t="n"/>
      <c r="G77" s="5" t="n"/>
    </row>
    <row r="78" ht="15.75" customHeight="1" s="149">
      <c r="A78" s="5" t="n"/>
      <c r="B78" s="5" t="n"/>
      <c r="C78" s="5" t="n"/>
      <c r="D78" s="5" t="n"/>
      <c r="E78" s="5" t="n"/>
      <c r="F78" s="5" t="n"/>
      <c r="G78" s="5" t="n"/>
    </row>
    <row r="79" ht="15.75" customHeight="1" s="149">
      <c r="A79" s="5" t="n"/>
      <c r="B79" s="5" t="n"/>
      <c r="C79" s="5" t="n"/>
      <c r="D79" s="5" t="n"/>
      <c r="E79" s="5" t="n"/>
      <c r="F79" s="5" t="n"/>
      <c r="G79" s="5" t="n"/>
    </row>
    <row r="80" ht="15.75" customHeight="1" s="149">
      <c r="A80" s="5" t="n"/>
      <c r="B80" s="5" t="n"/>
      <c r="C80" s="5" t="n"/>
      <c r="D80" s="5" t="n"/>
      <c r="E80" s="5" t="n"/>
      <c r="F80" s="5" t="n"/>
      <c r="G80" s="5" t="n"/>
    </row>
    <row r="81" ht="15.75" customHeight="1" s="149">
      <c r="A81" s="5" t="n"/>
      <c r="B81" s="5" t="n"/>
      <c r="C81" s="5" t="n"/>
      <c r="D81" s="5" t="n"/>
      <c r="E81" s="5" t="n"/>
      <c r="F81" s="5" t="n"/>
      <c r="G81" s="5" t="n"/>
    </row>
    <row r="82" ht="15.75" customHeight="1" s="149">
      <c r="A82" s="5" t="n"/>
      <c r="B82" s="5" t="n"/>
      <c r="C82" s="5" t="n"/>
      <c r="D82" s="5" t="n"/>
      <c r="E82" s="5" t="n"/>
      <c r="F82" s="5" t="n"/>
      <c r="G82" s="5" t="n"/>
    </row>
    <row r="83" ht="15.75" customHeight="1" s="149">
      <c r="A83" s="5" t="n"/>
      <c r="B83" s="5" t="n"/>
      <c r="C83" s="5" t="n"/>
      <c r="D83" s="5" t="n"/>
      <c r="E83" s="5" t="n"/>
      <c r="F83" s="5" t="n"/>
      <c r="G83" s="5" t="n"/>
    </row>
    <row r="84" ht="15.75" customHeight="1" s="149">
      <c r="A84" s="5" t="n"/>
      <c r="B84" s="5" t="n"/>
      <c r="C84" s="5" t="n"/>
      <c r="D84" s="5" t="n"/>
      <c r="E84" s="5" t="n"/>
      <c r="F84" s="5" t="n"/>
      <c r="G84" s="5" t="n"/>
    </row>
    <row r="85" ht="15.75" customHeight="1" s="149">
      <c r="A85" s="5" t="n"/>
      <c r="B85" s="5" t="n"/>
      <c r="C85" s="5" t="n"/>
      <c r="D85" s="5" t="n"/>
      <c r="E85" s="5" t="n"/>
      <c r="F85" s="5" t="n"/>
      <c r="G85" s="5" t="n"/>
    </row>
    <row r="86" ht="15.75" customHeight="1" s="149">
      <c r="A86" s="5" t="n"/>
      <c r="B86" s="5" t="n"/>
      <c r="C86" s="5" t="n"/>
      <c r="D86" s="5" t="n"/>
      <c r="E86" s="5" t="n"/>
      <c r="F86" s="5" t="n"/>
      <c r="G86" s="5" t="n"/>
    </row>
    <row r="87" ht="15.75" customHeight="1" s="149">
      <c r="A87" s="5" t="n"/>
      <c r="B87" s="5" t="n"/>
      <c r="C87" s="5" t="n"/>
      <c r="D87" s="5" t="n"/>
      <c r="E87" s="5" t="n"/>
      <c r="F87" s="5" t="n"/>
      <c r="G87" s="5" t="n"/>
    </row>
    <row r="88" ht="15.75" customHeight="1" s="149">
      <c r="A88" s="5" t="n"/>
      <c r="B88" s="5" t="n"/>
      <c r="C88" s="5" t="n"/>
      <c r="D88" s="5" t="n"/>
      <c r="E88" s="5" t="n"/>
      <c r="F88" s="5" t="n"/>
      <c r="G88" s="5" t="n"/>
    </row>
    <row r="89" ht="15.75" customHeight="1" s="149">
      <c r="A89" s="5" t="n"/>
      <c r="B89" s="5" t="n"/>
      <c r="C89" s="5" t="n"/>
      <c r="D89" s="5" t="n"/>
      <c r="E89" s="5" t="n"/>
      <c r="F89" s="5" t="n"/>
      <c r="G89" s="5" t="n"/>
    </row>
    <row r="90" ht="15.75" customHeight="1" s="149">
      <c r="A90" s="5" t="n"/>
      <c r="B90" s="5" t="n"/>
      <c r="C90" s="5" t="n"/>
      <c r="D90" s="5" t="n"/>
      <c r="E90" s="5" t="n"/>
      <c r="F90" s="5" t="n"/>
      <c r="G90" s="5" t="n"/>
    </row>
    <row r="91" ht="15.75" customHeight="1" s="149">
      <c r="A91" s="5" t="n"/>
      <c r="B91" s="5" t="n"/>
      <c r="C91" s="5" t="n"/>
      <c r="D91" s="5" t="n"/>
      <c r="E91" s="5" t="n"/>
      <c r="F91" s="5" t="n"/>
      <c r="G91" s="5" t="n"/>
    </row>
    <row r="92" ht="15.75" customHeight="1" s="149">
      <c r="A92" s="5" t="n"/>
      <c r="B92" s="5" t="n"/>
      <c r="C92" s="5" t="n"/>
      <c r="D92" s="5" t="n"/>
      <c r="E92" s="5" t="n"/>
      <c r="F92" s="5" t="n"/>
      <c r="G92" s="5" t="n"/>
    </row>
    <row r="93" ht="15.75" customHeight="1" s="149">
      <c r="A93" s="5" t="n"/>
      <c r="B93" s="5" t="n"/>
      <c r="C93" s="5" t="n"/>
      <c r="D93" s="5" t="n"/>
      <c r="E93" s="5" t="n"/>
      <c r="F93" s="5" t="n"/>
      <c r="G93" s="5" t="n"/>
    </row>
    <row r="94" ht="15.75" customHeight="1" s="149">
      <c r="A94" s="5" t="n"/>
      <c r="B94" s="5" t="n"/>
      <c r="C94" s="5" t="n"/>
      <c r="D94" s="5" t="n"/>
      <c r="E94" s="5" t="n"/>
      <c r="F94" s="5" t="n"/>
      <c r="G94" s="5" t="n"/>
    </row>
    <row r="95" ht="15.75" customHeight="1" s="149">
      <c r="A95" s="5" t="n"/>
      <c r="B95" s="5" t="n"/>
      <c r="C95" s="5" t="n"/>
      <c r="D95" s="5" t="n"/>
      <c r="E95" s="5" t="n"/>
      <c r="F95" s="5" t="n"/>
      <c r="G95" s="5" t="n"/>
    </row>
    <row r="96" ht="15.75" customHeight="1" s="149">
      <c r="A96" s="5" t="n"/>
      <c r="B96" s="5" t="n"/>
      <c r="C96" s="5" t="n"/>
      <c r="D96" s="5" t="n"/>
      <c r="E96" s="5" t="n"/>
      <c r="F96" s="5" t="n"/>
      <c r="G96" s="5" t="n"/>
    </row>
    <row r="97" ht="15.75" customHeight="1" s="149">
      <c r="A97" s="5" t="n"/>
      <c r="B97" s="5" t="n"/>
      <c r="C97" s="5" t="n"/>
      <c r="D97" s="5" t="n"/>
      <c r="E97" s="5" t="n"/>
      <c r="F97" s="5" t="n"/>
      <c r="G97" s="5" t="n"/>
    </row>
    <row r="98" ht="15.75" customHeight="1" s="149">
      <c r="A98" s="5" t="n"/>
      <c r="B98" s="5" t="n"/>
      <c r="C98" s="5" t="n"/>
      <c r="D98" s="5" t="n"/>
      <c r="E98" s="5" t="n"/>
      <c r="F98" s="5" t="n"/>
      <c r="G98" s="5" t="n"/>
    </row>
    <row r="99" ht="15.75" customHeight="1" s="149">
      <c r="A99" s="5" t="n"/>
      <c r="B99" s="5" t="n"/>
      <c r="C99" s="5" t="n"/>
      <c r="D99" s="5" t="n"/>
      <c r="E99" s="5" t="n"/>
      <c r="F99" s="5" t="n"/>
      <c r="G99" s="5" t="n"/>
    </row>
    <row r="100" ht="15.75" customHeight="1" s="149">
      <c r="A100" s="5" t="n"/>
      <c r="B100" s="5" t="n"/>
      <c r="C100" s="5" t="n"/>
      <c r="D100" s="5" t="n"/>
      <c r="E100" s="5" t="n"/>
      <c r="F100" s="5" t="n"/>
      <c r="G100" s="5" t="n"/>
    </row>
    <row r="101" ht="15.75" customHeight="1" s="149">
      <c r="A101" s="5" t="n"/>
      <c r="B101" s="5" t="n"/>
      <c r="C101" s="5" t="n"/>
      <c r="D101" s="5" t="n"/>
      <c r="E101" s="5" t="n"/>
      <c r="F101" s="5" t="n"/>
      <c r="G101" s="5" t="n"/>
    </row>
    <row r="102" ht="15.75" customHeight="1" s="149">
      <c r="A102" s="5" t="n"/>
      <c r="B102" s="5" t="n"/>
      <c r="C102" s="5" t="n"/>
      <c r="D102" s="5" t="n"/>
      <c r="E102" s="5" t="n"/>
      <c r="F102" s="5" t="n"/>
      <c r="G102" s="5" t="n"/>
    </row>
    <row r="103" ht="15.75" customHeight="1" s="149">
      <c r="A103" s="5" t="n"/>
      <c r="B103" s="5" t="n"/>
      <c r="C103" s="5" t="n"/>
      <c r="D103" s="5" t="n"/>
      <c r="E103" s="5" t="n"/>
      <c r="F103" s="5" t="n"/>
      <c r="G103" s="5" t="n"/>
    </row>
    <row r="104" ht="15.75" customHeight="1" s="149">
      <c r="A104" s="5" t="n"/>
      <c r="B104" s="5" t="n"/>
      <c r="C104" s="5" t="n"/>
      <c r="D104" s="5" t="n"/>
      <c r="E104" s="5" t="n"/>
      <c r="F104" s="5" t="n"/>
      <c r="G104" s="5" t="n"/>
    </row>
    <row r="105" ht="15.75" customHeight="1" s="149">
      <c r="A105" s="5" t="n"/>
      <c r="B105" s="5" t="n"/>
      <c r="C105" s="5" t="n"/>
      <c r="D105" s="5" t="n"/>
      <c r="E105" s="5" t="n"/>
      <c r="F105" s="5" t="n"/>
      <c r="G105" s="5" t="n"/>
    </row>
    <row r="106" ht="15.75" customHeight="1" s="149">
      <c r="A106" s="5" t="n"/>
      <c r="B106" s="5" t="n"/>
      <c r="C106" s="5" t="n"/>
      <c r="D106" s="5" t="n"/>
      <c r="E106" s="5" t="n"/>
      <c r="F106" s="5" t="n"/>
      <c r="G106" s="5" t="n"/>
    </row>
    <row r="107" ht="15.75" customHeight="1" s="149">
      <c r="A107" s="5" t="n"/>
      <c r="B107" s="5" t="n"/>
      <c r="C107" s="5" t="n"/>
      <c r="D107" s="5" t="n"/>
      <c r="E107" s="5" t="n"/>
      <c r="F107" s="5" t="n"/>
      <c r="G107" s="5" t="n"/>
    </row>
    <row r="108" ht="15.75" customHeight="1" s="149">
      <c r="A108" s="5" t="n"/>
      <c r="B108" s="5" t="n"/>
      <c r="C108" s="5" t="n"/>
      <c r="D108" s="5" t="n"/>
      <c r="E108" s="5" t="n"/>
      <c r="F108" s="5" t="n"/>
      <c r="G108" s="5" t="n"/>
    </row>
    <row r="109" ht="15.75" customHeight="1" s="149">
      <c r="A109" s="5" t="n"/>
      <c r="B109" s="5" t="n"/>
      <c r="C109" s="5" t="n"/>
      <c r="D109" s="5" t="n"/>
      <c r="E109" s="5" t="n"/>
      <c r="F109" s="5" t="n"/>
      <c r="G109" s="5" t="n"/>
    </row>
    <row r="110" ht="15.75" customHeight="1" s="149">
      <c r="A110" s="5" t="n"/>
      <c r="B110" s="5" t="n"/>
      <c r="C110" s="5" t="n"/>
      <c r="D110" s="5" t="n"/>
      <c r="E110" s="5" t="n"/>
      <c r="F110" s="5" t="n"/>
      <c r="G110" s="5" t="n"/>
    </row>
    <row r="111" ht="15.75" customHeight="1" s="149">
      <c r="A111" s="5" t="n"/>
      <c r="B111" s="5" t="n"/>
      <c r="C111" s="5" t="n"/>
      <c r="D111" s="5" t="n"/>
      <c r="E111" s="5" t="n"/>
      <c r="F111" s="5" t="n"/>
      <c r="G111" s="5" t="n"/>
    </row>
    <row r="112" ht="15.75" customHeight="1" s="149">
      <c r="A112" s="5" t="n"/>
      <c r="B112" s="5" t="n"/>
      <c r="C112" s="5" t="n"/>
      <c r="D112" s="5" t="n"/>
      <c r="E112" s="5" t="n"/>
      <c r="F112" s="5" t="n"/>
      <c r="G112" s="5" t="n"/>
    </row>
    <row r="113" ht="15.75" customHeight="1" s="149">
      <c r="A113" s="5" t="n"/>
      <c r="B113" s="5" t="n"/>
      <c r="C113" s="5" t="n"/>
      <c r="D113" s="5" t="n"/>
      <c r="E113" s="5" t="n"/>
      <c r="F113" s="5" t="n"/>
      <c r="G113" s="5" t="n"/>
    </row>
    <row r="114" ht="15.75" customHeight="1" s="149">
      <c r="A114" s="5" t="n"/>
      <c r="B114" s="5" t="n"/>
      <c r="C114" s="5" t="n"/>
      <c r="D114" s="5" t="n"/>
      <c r="E114" s="5" t="n"/>
      <c r="F114" s="5" t="n"/>
      <c r="G114" s="5" t="n"/>
    </row>
    <row r="115" ht="15.75" customHeight="1" s="149">
      <c r="A115" s="5" t="n"/>
      <c r="B115" s="5" t="n"/>
      <c r="C115" s="5" t="n"/>
      <c r="D115" s="5" t="n"/>
      <c r="E115" s="5" t="n"/>
      <c r="F115" s="5" t="n"/>
      <c r="G115" s="5" t="n"/>
    </row>
    <row r="116" ht="15.75" customHeight="1" s="149">
      <c r="A116" s="5" t="n"/>
      <c r="B116" s="5" t="n"/>
      <c r="C116" s="5" t="n"/>
      <c r="D116" s="5" t="n"/>
      <c r="E116" s="5" t="n"/>
      <c r="F116" s="5" t="n"/>
      <c r="G116" s="5" t="n"/>
    </row>
    <row r="117" ht="15.75" customHeight="1" s="149">
      <c r="A117" s="5" t="n"/>
      <c r="B117" s="5" t="n"/>
      <c r="C117" s="5" t="n"/>
      <c r="D117" s="5" t="n"/>
      <c r="E117" s="5" t="n"/>
      <c r="F117" s="5" t="n"/>
      <c r="G117" s="5" t="n"/>
    </row>
    <row r="118" ht="15.75" customHeight="1" s="149">
      <c r="A118" s="5" t="n"/>
      <c r="B118" s="5" t="n"/>
      <c r="C118" s="5" t="n"/>
      <c r="D118" s="5" t="n"/>
      <c r="E118" s="5" t="n"/>
      <c r="F118" s="5" t="n"/>
      <c r="G118" s="5" t="n"/>
    </row>
    <row r="119" ht="15.75" customHeight="1" s="149">
      <c r="A119" s="5" t="n"/>
      <c r="B119" s="5" t="n"/>
      <c r="C119" s="5" t="n"/>
      <c r="D119" s="5" t="n"/>
      <c r="E119" s="5" t="n"/>
      <c r="F119" s="5" t="n"/>
      <c r="G119" s="5" t="n"/>
    </row>
    <row r="120" ht="15.75" customHeight="1" s="149">
      <c r="A120" s="5" t="n"/>
      <c r="B120" s="5" t="n"/>
      <c r="C120" s="5" t="n"/>
      <c r="D120" s="5" t="n"/>
      <c r="E120" s="5" t="n"/>
      <c r="F120" s="5" t="n"/>
      <c r="G120" s="5" t="n"/>
    </row>
    <row r="121" ht="15.75" customHeight="1" s="149">
      <c r="A121" s="5" t="n"/>
      <c r="B121" s="5" t="n"/>
      <c r="C121" s="5" t="n"/>
      <c r="D121" s="5" t="n"/>
      <c r="E121" s="5" t="n"/>
      <c r="F121" s="5" t="n"/>
      <c r="G121" s="5" t="n"/>
    </row>
    <row r="122" ht="15.75" customHeight="1" s="149">
      <c r="A122" s="5" t="n"/>
      <c r="B122" s="5" t="n"/>
      <c r="C122" s="5" t="n"/>
      <c r="D122" s="5" t="n"/>
      <c r="E122" s="5" t="n"/>
      <c r="F122" s="5" t="n"/>
      <c r="G122" s="5" t="n"/>
    </row>
    <row r="123" ht="15.75" customHeight="1" s="149">
      <c r="A123" s="5" t="n"/>
      <c r="B123" s="5" t="n"/>
      <c r="C123" s="5" t="n"/>
      <c r="D123" s="5" t="n"/>
      <c r="E123" s="5" t="n"/>
      <c r="F123" s="5" t="n"/>
      <c r="G123" s="5" t="n"/>
    </row>
    <row r="124" ht="15.75" customHeight="1" s="149">
      <c r="A124" s="5" t="n"/>
      <c r="B124" s="5" t="n"/>
      <c r="C124" s="5" t="n"/>
      <c r="D124" s="5" t="n"/>
      <c r="E124" s="5" t="n"/>
      <c r="F124" s="5" t="n"/>
      <c r="G124" s="5" t="n"/>
    </row>
    <row r="125" ht="15.75" customHeight="1" s="149">
      <c r="A125" s="5" t="n"/>
      <c r="B125" s="5" t="n"/>
      <c r="C125" s="5" t="n"/>
      <c r="D125" s="5" t="n"/>
      <c r="E125" s="5" t="n"/>
      <c r="F125" s="5" t="n"/>
      <c r="G125" s="5" t="n"/>
    </row>
    <row r="126" ht="15.75" customHeight="1" s="149">
      <c r="A126" s="5" t="n"/>
      <c r="B126" s="5" t="n"/>
      <c r="C126" s="5" t="n"/>
      <c r="D126" s="5" t="n"/>
      <c r="E126" s="5" t="n"/>
      <c r="F126" s="5" t="n"/>
      <c r="G126" s="5" t="n"/>
    </row>
    <row r="127" ht="15.75" customHeight="1" s="149">
      <c r="A127" s="5" t="n"/>
      <c r="B127" s="5" t="n"/>
      <c r="C127" s="5" t="n"/>
      <c r="D127" s="5" t="n"/>
      <c r="E127" s="5" t="n"/>
      <c r="F127" s="5" t="n"/>
      <c r="G127" s="5" t="n"/>
    </row>
    <row r="128" ht="15.75" customHeight="1" s="149">
      <c r="A128" s="5" t="n"/>
      <c r="B128" s="5" t="n"/>
      <c r="C128" s="5" t="n"/>
      <c r="D128" s="5" t="n"/>
      <c r="E128" s="5" t="n"/>
      <c r="F128" s="5" t="n"/>
      <c r="G128" s="5" t="n"/>
    </row>
    <row r="129" ht="15.75" customHeight="1" s="149">
      <c r="A129" s="5" t="n"/>
      <c r="B129" s="5" t="n"/>
      <c r="C129" s="5" t="n"/>
      <c r="D129" s="5" t="n"/>
      <c r="E129" s="5" t="n"/>
      <c r="F129" s="5" t="n"/>
      <c r="G129" s="5" t="n"/>
    </row>
    <row r="130" ht="15.75" customHeight="1" s="149">
      <c r="A130" s="5" t="n"/>
      <c r="B130" s="5" t="n"/>
      <c r="C130" s="5" t="n"/>
      <c r="D130" s="5" t="n"/>
      <c r="E130" s="5" t="n"/>
      <c r="F130" s="5" t="n"/>
      <c r="G130" s="5" t="n"/>
    </row>
    <row r="131" ht="15.75" customHeight="1" s="149">
      <c r="A131" s="5" t="n"/>
      <c r="B131" s="5" t="n"/>
      <c r="C131" s="5" t="n"/>
      <c r="D131" s="5" t="n"/>
      <c r="E131" s="5" t="n"/>
      <c r="F131" s="5" t="n"/>
      <c r="G131" s="5" t="n"/>
    </row>
    <row r="132" ht="15.75" customHeight="1" s="149">
      <c r="A132" s="5" t="n"/>
      <c r="B132" s="5" t="n"/>
      <c r="C132" s="5" t="n"/>
      <c r="D132" s="5" t="n"/>
      <c r="E132" s="5" t="n"/>
      <c r="F132" s="5" t="n"/>
      <c r="G132" s="5" t="n"/>
    </row>
    <row r="133" ht="15.75" customHeight="1" s="149">
      <c r="A133" s="5" t="n"/>
      <c r="B133" s="5" t="n"/>
      <c r="C133" s="5" t="n"/>
      <c r="D133" s="5" t="n"/>
      <c r="E133" s="5" t="n"/>
      <c r="F133" s="5" t="n"/>
      <c r="G133" s="5" t="n"/>
    </row>
    <row r="134" ht="15.75" customHeight="1" s="149">
      <c r="A134" s="5" t="n"/>
      <c r="B134" s="5" t="n"/>
      <c r="C134" s="5" t="n"/>
      <c r="D134" s="5" t="n"/>
      <c r="E134" s="5" t="n"/>
      <c r="F134" s="5" t="n"/>
      <c r="G134" s="5" t="n"/>
    </row>
    <row r="135" ht="15.75" customHeight="1" s="149">
      <c r="A135" s="5" t="n"/>
      <c r="B135" s="5" t="n"/>
      <c r="C135" s="5" t="n"/>
      <c r="D135" s="5" t="n"/>
      <c r="E135" s="5" t="n"/>
      <c r="F135" s="5" t="n"/>
      <c r="G135" s="5" t="n"/>
    </row>
    <row r="136" ht="15.75" customHeight="1" s="149">
      <c r="A136" s="5" t="n"/>
      <c r="B136" s="5" t="n"/>
      <c r="C136" s="5" t="n"/>
      <c r="D136" s="5" t="n"/>
      <c r="E136" s="5" t="n"/>
      <c r="F136" s="5" t="n"/>
      <c r="G136" s="5" t="n"/>
    </row>
    <row r="137" ht="15.75" customHeight="1" s="149">
      <c r="A137" s="5" t="n"/>
      <c r="B137" s="5" t="n"/>
      <c r="C137" s="5" t="n"/>
      <c r="D137" s="5" t="n"/>
      <c r="E137" s="5" t="n"/>
      <c r="F137" s="5" t="n"/>
      <c r="G137" s="5" t="n"/>
    </row>
    <row r="138" ht="15.75" customHeight="1" s="149">
      <c r="A138" s="5" t="n"/>
      <c r="B138" s="5" t="n"/>
      <c r="C138" s="5" t="n"/>
      <c r="D138" s="5" t="n"/>
      <c r="E138" s="5" t="n"/>
      <c r="F138" s="5" t="n"/>
      <c r="G138" s="5" t="n"/>
    </row>
    <row r="139" ht="15.75" customHeight="1" s="149">
      <c r="A139" s="5" t="n"/>
      <c r="B139" s="5" t="n"/>
      <c r="C139" s="5" t="n"/>
      <c r="D139" s="5" t="n"/>
      <c r="E139" s="5" t="n"/>
      <c r="F139" s="5" t="n"/>
      <c r="G139" s="5" t="n"/>
    </row>
    <row r="140" ht="15.75" customHeight="1" s="149">
      <c r="A140" s="5" t="n"/>
      <c r="B140" s="5" t="n"/>
      <c r="C140" s="5" t="n"/>
      <c r="D140" s="5" t="n"/>
      <c r="E140" s="5" t="n"/>
      <c r="F140" s="5" t="n"/>
      <c r="G140" s="5" t="n"/>
    </row>
    <row r="141" ht="15.75" customHeight="1" s="149">
      <c r="A141" s="5" t="n"/>
      <c r="B141" s="5" t="n"/>
      <c r="C141" s="5" t="n"/>
      <c r="D141" s="5" t="n"/>
      <c r="E141" s="5" t="n"/>
      <c r="F141" s="5" t="n"/>
      <c r="G141" s="5" t="n"/>
    </row>
    <row r="142" ht="15.75" customHeight="1" s="149">
      <c r="A142" s="5" t="n"/>
      <c r="B142" s="5" t="n"/>
      <c r="C142" s="5" t="n"/>
      <c r="D142" s="5" t="n"/>
      <c r="E142" s="5" t="n"/>
      <c r="F142" s="5" t="n"/>
      <c r="G142" s="5" t="n"/>
    </row>
    <row r="143" ht="15.75" customHeight="1" s="149">
      <c r="A143" s="5" t="n"/>
      <c r="B143" s="5" t="n"/>
      <c r="C143" s="5" t="n"/>
      <c r="D143" s="5" t="n"/>
      <c r="E143" s="5" t="n"/>
      <c r="F143" s="5" t="n"/>
      <c r="G143" s="5" t="n"/>
    </row>
    <row r="144" ht="15.75" customHeight="1" s="149">
      <c r="A144" s="5" t="n"/>
      <c r="B144" s="5" t="n"/>
      <c r="C144" s="5" t="n"/>
      <c r="D144" s="5" t="n"/>
      <c r="E144" s="5" t="n"/>
      <c r="F144" s="5" t="n"/>
      <c r="G144" s="5" t="n"/>
    </row>
    <row r="145" ht="15.75" customHeight="1" s="149">
      <c r="A145" s="5" t="n"/>
      <c r="B145" s="5" t="n"/>
      <c r="C145" s="5" t="n"/>
      <c r="D145" s="5" t="n"/>
      <c r="E145" s="5" t="n"/>
      <c r="F145" s="5" t="n"/>
      <c r="G145" s="5" t="n"/>
    </row>
    <row r="146" ht="15.75" customHeight="1" s="149">
      <c r="A146" s="5" t="n"/>
      <c r="B146" s="5" t="n"/>
      <c r="C146" s="5" t="n"/>
      <c r="D146" s="5" t="n"/>
      <c r="E146" s="5" t="n"/>
      <c r="F146" s="5" t="n"/>
      <c r="G146" s="5" t="n"/>
    </row>
    <row r="147" ht="15.75" customHeight="1" s="149">
      <c r="A147" s="5" t="n"/>
      <c r="B147" s="5" t="n"/>
      <c r="C147" s="5" t="n"/>
      <c r="D147" s="5" t="n"/>
      <c r="E147" s="5" t="n"/>
      <c r="F147" s="5" t="n"/>
      <c r="G147" s="5" t="n"/>
    </row>
    <row r="148" ht="15.75" customHeight="1" s="149">
      <c r="A148" s="5" t="n"/>
      <c r="B148" s="5" t="n"/>
      <c r="C148" s="5" t="n"/>
      <c r="D148" s="5" t="n"/>
      <c r="E148" s="5" t="n"/>
      <c r="F148" s="5" t="n"/>
      <c r="G148" s="5" t="n"/>
    </row>
    <row r="149" ht="15.75" customHeight="1" s="149">
      <c r="A149" s="5" t="n"/>
      <c r="B149" s="5" t="n"/>
      <c r="C149" s="5" t="n"/>
      <c r="D149" s="5" t="n"/>
      <c r="E149" s="5" t="n"/>
      <c r="F149" s="5" t="n"/>
      <c r="G149" s="5" t="n"/>
    </row>
    <row r="150" ht="15.75" customHeight="1" s="149">
      <c r="A150" s="5" t="n"/>
      <c r="B150" s="5" t="n"/>
      <c r="C150" s="5" t="n"/>
      <c r="D150" s="5" t="n"/>
      <c r="E150" s="5" t="n"/>
      <c r="F150" s="5" t="n"/>
      <c r="G150" s="5" t="n"/>
    </row>
    <row r="151" ht="15.75" customHeight="1" s="149">
      <c r="A151" s="5" t="n"/>
      <c r="B151" s="5" t="n"/>
      <c r="C151" s="5" t="n"/>
      <c r="D151" s="5" t="n"/>
      <c r="E151" s="5" t="n"/>
      <c r="F151" s="5" t="n"/>
      <c r="G151" s="5" t="n"/>
    </row>
    <row r="152" ht="15.75" customHeight="1" s="149">
      <c r="A152" s="5" t="n"/>
      <c r="B152" s="5" t="n"/>
      <c r="C152" s="5" t="n"/>
      <c r="D152" s="5" t="n"/>
      <c r="E152" s="5" t="n"/>
      <c r="F152" s="5" t="n"/>
      <c r="G152" s="5" t="n"/>
    </row>
    <row r="153" ht="15.75" customHeight="1" s="149">
      <c r="A153" s="5" t="n"/>
      <c r="B153" s="5" t="n"/>
      <c r="C153" s="5" t="n"/>
      <c r="D153" s="5" t="n"/>
      <c r="E153" s="5" t="n"/>
      <c r="F153" s="5" t="n"/>
      <c r="G153" s="5" t="n"/>
    </row>
    <row r="154" ht="15.75" customHeight="1" s="149">
      <c r="A154" s="5" t="n"/>
      <c r="B154" s="5" t="n"/>
      <c r="C154" s="5" t="n"/>
      <c r="D154" s="5" t="n"/>
      <c r="E154" s="5" t="n"/>
      <c r="F154" s="5" t="n"/>
      <c r="G154" s="5" t="n"/>
    </row>
    <row r="155" ht="15.75" customHeight="1" s="149">
      <c r="A155" s="5" t="n"/>
      <c r="B155" s="5" t="n"/>
      <c r="C155" s="5" t="n"/>
      <c r="D155" s="5" t="n"/>
      <c r="E155" s="5" t="n"/>
      <c r="F155" s="5" t="n"/>
      <c r="G155" s="5" t="n"/>
    </row>
    <row r="156" ht="15.75" customHeight="1" s="149">
      <c r="A156" s="5" t="n"/>
      <c r="B156" s="5" t="n"/>
      <c r="C156" s="5" t="n"/>
      <c r="D156" s="5" t="n"/>
      <c r="E156" s="5" t="n"/>
      <c r="F156" s="5" t="n"/>
      <c r="G156" s="5" t="n"/>
    </row>
    <row r="157" ht="15.75" customHeight="1" s="149">
      <c r="A157" s="5" t="n"/>
      <c r="B157" s="5" t="n"/>
      <c r="C157" s="5" t="n"/>
      <c r="D157" s="5" t="n"/>
      <c r="E157" s="5" t="n"/>
      <c r="F157" s="5" t="n"/>
      <c r="G157" s="5" t="n"/>
    </row>
    <row r="158" ht="15.75" customHeight="1" s="149">
      <c r="A158" s="5" t="n"/>
      <c r="B158" s="5" t="n"/>
      <c r="C158" s="5" t="n"/>
      <c r="D158" s="5" t="n"/>
      <c r="E158" s="5" t="n"/>
      <c r="F158" s="5" t="n"/>
      <c r="G158" s="5" t="n"/>
    </row>
    <row r="159" ht="15.75" customHeight="1" s="149">
      <c r="A159" s="5" t="n"/>
      <c r="B159" s="5" t="n"/>
      <c r="C159" s="5" t="n"/>
      <c r="D159" s="5" t="n"/>
      <c r="E159" s="5" t="n"/>
      <c r="F159" s="5" t="n"/>
      <c r="G159" s="5" t="n"/>
    </row>
    <row r="160" ht="15.75" customHeight="1" s="149">
      <c r="A160" s="5" t="n"/>
      <c r="B160" s="5" t="n"/>
      <c r="C160" s="5" t="n"/>
      <c r="D160" s="5" t="n"/>
      <c r="E160" s="5" t="n"/>
      <c r="F160" s="5" t="n"/>
      <c r="G160" s="5" t="n"/>
    </row>
    <row r="161" ht="15.75" customHeight="1" s="149">
      <c r="A161" s="5" t="n"/>
      <c r="B161" s="5" t="n"/>
      <c r="C161" s="5" t="n"/>
      <c r="D161" s="5" t="n"/>
      <c r="E161" s="5" t="n"/>
      <c r="F161" s="5" t="n"/>
      <c r="G161" s="5" t="n"/>
    </row>
    <row r="162" ht="15.75" customHeight="1" s="149">
      <c r="A162" s="5" t="n"/>
      <c r="B162" s="5" t="n"/>
      <c r="C162" s="5" t="n"/>
      <c r="D162" s="5" t="n"/>
      <c r="E162" s="5" t="n"/>
      <c r="F162" s="5" t="n"/>
      <c r="G162" s="5" t="n"/>
    </row>
    <row r="163" ht="15.75" customHeight="1" s="149">
      <c r="A163" s="5" t="n"/>
      <c r="B163" s="5" t="n"/>
      <c r="C163" s="5" t="n"/>
      <c r="D163" s="5" t="n"/>
      <c r="E163" s="5" t="n"/>
      <c r="F163" s="5" t="n"/>
      <c r="G163" s="5" t="n"/>
    </row>
    <row r="164" ht="15.75" customHeight="1" s="149">
      <c r="A164" s="5" t="n"/>
      <c r="B164" s="5" t="n"/>
      <c r="C164" s="5" t="n"/>
      <c r="D164" s="5" t="n"/>
      <c r="E164" s="5" t="n"/>
      <c r="F164" s="5" t="n"/>
      <c r="G164" s="5" t="n"/>
    </row>
    <row r="165" ht="15.75" customHeight="1" s="149">
      <c r="A165" s="5" t="n"/>
      <c r="B165" s="5" t="n"/>
      <c r="C165" s="5" t="n"/>
      <c r="D165" s="5" t="n"/>
      <c r="E165" s="5" t="n"/>
      <c r="F165" s="5" t="n"/>
      <c r="G165" s="5" t="n"/>
    </row>
    <row r="166" ht="15.75" customHeight="1" s="149">
      <c r="A166" s="5" t="n"/>
      <c r="B166" s="5" t="n"/>
      <c r="C166" s="5" t="n"/>
      <c r="D166" s="5" t="n"/>
      <c r="E166" s="5" t="n"/>
      <c r="F166" s="5" t="n"/>
      <c r="G166" s="5" t="n"/>
    </row>
    <row r="167" ht="15.75" customHeight="1" s="149">
      <c r="A167" s="5" t="n"/>
      <c r="B167" s="5" t="n"/>
      <c r="C167" s="5" t="n"/>
      <c r="D167" s="5" t="n"/>
      <c r="E167" s="5" t="n"/>
      <c r="F167" s="5" t="n"/>
      <c r="G167" s="5" t="n"/>
    </row>
    <row r="168" ht="15.75" customHeight="1" s="149">
      <c r="A168" s="5" t="n"/>
      <c r="B168" s="5" t="n"/>
      <c r="C168" s="5" t="n"/>
      <c r="D168" s="5" t="n"/>
      <c r="E168" s="5" t="n"/>
      <c r="F168" s="5" t="n"/>
      <c r="G168" s="5" t="n"/>
    </row>
    <row r="169" ht="15.75" customHeight="1" s="149">
      <c r="A169" s="5" t="n"/>
      <c r="B169" s="5" t="n"/>
      <c r="C169" s="5" t="n"/>
      <c r="D169" s="5" t="n"/>
      <c r="E169" s="5" t="n"/>
      <c r="F169" s="5" t="n"/>
      <c r="G169" s="5" t="n"/>
    </row>
    <row r="170" ht="15.75" customHeight="1" s="149">
      <c r="A170" s="5" t="n"/>
      <c r="B170" s="5" t="n"/>
      <c r="C170" s="5" t="n"/>
      <c r="D170" s="5" t="n"/>
      <c r="E170" s="5" t="n"/>
      <c r="F170" s="5" t="n"/>
      <c r="G170" s="5" t="n"/>
    </row>
    <row r="171" ht="15.75" customHeight="1" s="149">
      <c r="A171" s="5" t="n"/>
      <c r="B171" s="5" t="n"/>
      <c r="C171" s="5" t="n"/>
      <c r="D171" s="5" t="n"/>
      <c r="E171" s="5" t="n"/>
      <c r="F171" s="5" t="n"/>
      <c r="G171" s="5" t="n"/>
    </row>
    <row r="172" ht="15.75" customHeight="1" s="149">
      <c r="A172" s="5" t="n"/>
      <c r="B172" s="5" t="n"/>
      <c r="C172" s="5" t="n"/>
      <c r="D172" s="5" t="n"/>
      <c r="E172" s="5" t="n"/>
      <c r="F172" s="5" t="n"/>
      <c r="G172" s="5" t="n"/>
    </row>
    <row r="173" ht="15.75" customHeight="1" s="149">
      <c r="A173" s="5" t="n"/>
      <c r="B173" s="5" t="n"/>
      <c r="C173" s="5" t="n"/>
      <c r="D173" s="5" t="n"/>
      <c r="E173" s="5" t="n"/>
      <c r="F173" s="5" t="n"/>
      <c r="G173" s="5" t="n"/>
    </row>
    <row r="174" ht="15.75" customHeight="1" s="149">
      <c r="A174" s="5" t="n"/>
      <c r="B174" s="5" t="n"/>
      <c r="C174" s="5" t="n"/>
      <c r="D174" s="5" t="n"/>
      <c r="E174" s="5" t="n"/>
      <c r="F174" s="5" t="n"/>
      <c r="G174" s="5" t="n"/>
    </row>
    <row r="175" ht="15.75" customHeight="1" s="149">
      <c r="A175" s="5" t="n"/>
      <c r="B175" s="5" t="n"/>
      <c r="C175" s="5" t="n"/>
      <c r="D175" s="5" t="n"/>
      <c r="E175" s="5" t="n"/>
      <c r="F175" s="5" t="n"/>
      <c r="G175" s="5" t="n"/>
    </row>
    <row r="176" ht="15.75" customHeight="1" s="149">
      <c r="A176" s="5" t="n"/>
      <c r="B176" s="5" t="n"/>
      <c r="C176" s="5" t="n"/>
      <c r="D176" s="5" t="n"/>
      <c r="E176" s="5" t="n"/>
      <c r="F176" s="5" t="n"/>
      <c r="G176" s="5" t="n"/>
    </row>
    <row r="177" ht="15.75" customHeight="1" s="149">
      <c r="A177" s="5" t="n"/>
      <c r="B177" s="5" t="n"/>
      <c r="C177" s="5" t="n"/>
      <c r="D177" s="5" t="n"/>
      <c r="E177" s="5" t="n"/>
      <c r="F177" s="5" t="n"/>
      <c r="G177" s="5" t="n"/>
    </row>
    <row r="178" ht="15.75" customHeight="1" s="149">
      <c r="A178" s="5" t="n"/>
      <c r="B178" s="5" t="n"/>
      <c r="C178" s="5" t="n"/>
      <c r="D178" s="5" t="n"/>
      <c r="E178" s="5" t="n"/>
      <c r="F178" s="5" t="n"/>
      <c r="G178" s="5" t="n"/>
    </row>
    <row r="179" ht="15.75" customHeight="1" s="149">
      <c r="A179" s="5" t="n"/>
      <c r="B179" s="5" t="n"/>
      <c r="C179" s="5" t="n"/>
      <c r="D179" s="5" t="n"/>
      <c r="E179" s="5" t="n"/>
      <c r="F179" s="5" t="n"/>
      <c r="G179" s="5" t="n"/>
    </row>
    <row r="180" ht="15.75" customHeight="1" s="149">
      <c r="A180" s="5" t="n"/>
      <c r="B180" s="5" t="n"/>
      <c r="C180" s="5" t="n"/>
      <c r="D180" s="5" t="n"/>
      <c r="E180" s="5" t="n"/>
      <c r="F180" s="5" t="n"/>
      <c r="G180" s="5" t="n"/>
    </row>
    <row r="181" ht="15.75" customHeight="1" s="149">
      <c r="A181" s="5" t="n"/>
      <c r="B181" s="5" t="n"/>
      <c r="C181" s="5" t="n"/>
      <c r="D181" s="5" t="n"/>
      <c r="E181" s="5" t="n"/>
      <c r="F181" s="5" t="n"/>
      <c r="G181" s="5" t="n"/>
    </row>
    <row r="182" ht="15.75" customHeight="1" s="149">
      <c r="A182" s="5" t="n"/>
      <c r="B182" s="5" t="n"/>
      <c r="C182" s="5" t="n"/>
      <c r="D182" s="5" t="n"/>
      <c r="E182" s="5" t="n"/>
      <c r="F182" s="5" t="n"/>
      <c r="G182" s="5" t="n"/>
    </row>
    <row r="183" ht="15.75" customHeight="1" s="149">
      <c r="A183" s="5" t="n"/>
      <c r="B183" s="5" t="n"/>
      <c r="C183" s="5" t="n"/>
      <c r="D183" s="5" t="n"/>
      <c r="E183" s="5" t="n"/>
      <c r="F183" s="5" t="n"/>
      <c r="G183" s="5" t="n"/>
    </row>
    <row r="184" ht="15.75" customHeight="1" s="149">
      <c r="A184" s="5" t="n"/>
      <c r="B184" s="5" t="n"/>
      <c r="C184" s="5" t="n"/>
      <c r="D184" s="5" t="n"/>
      <c r="E184" s="5" t="n"/>
      <c r="F184" s="5" t="n"/>
      <c r="G184" s="5" t="n"/>
    </row>
    <row r="185" ht="15.75" customHeight="1" s="149">
      <c r="A185" s="5" t="n"/>
      <c r="B185" s="5" t="n"/>
      <c r="C185" s="5" t="n"/>
      <c r="D185" s="5" t="n"/>
      <c r="E185" s="5" t="n"/>
      <c r="F185" s="5" t="n"/>
      <c r="G185" s="5" t="n"/>
    </row>
    <row r="186" ht="15.75" customHeight="1" s="149">
      <c r="A186" s="5" t="n"/>
      <c r="B186" s="5" t="n"/>
      <c r="C186" s="5" t="n"/>
      <c r="D186" s="5" t="n"/>
      <c r="E186" s="5" t="n"/>
      <c r="F186" s="5" t="n"/>
      <c r="G186" s="5" t="n"/>
    </row>
    <row r="187" ht="15.75" customHeight="1" s="149">
      <c r="A187" s="5" t="n"/>
      <c r="B187" s="5" t="n"/>
      <c r="C187" s="5" t="n"/>
      <c r="D187" s="5" t="n"/>
      <c r="E187" s="5" t="n"/>
      <c r="F187" s="5" t="n"/>
      <c r="G187" s="5" t="n"/>
    </row>
    <row r="188" ht="15.75" customHeight="1" s="149">
      <c r="A188" s="5" t="n"/>
      <c r="B188" s="5" t="n"/>
      <c r="C188" s="5" t="n"/>
      <c r="D188" s="5" t="n"/>
      <c r="E188" s="5" t="n"/>
      <c r="F188" s="5" t="n"/>
      <c r="G188" s="5" t="n"/>
    </row>
    <row r="189" ht="15.75" customHeight="1" s="149">
      <c r="A189" s="5" t="n"/>
      <c r="B189" s="5" t="n"/>
      <c r="C189" s="5" t="n"/>
      <c r="D189" s="5" t="n"/>
      <c r="E189" s="5" t="n"/>
      <c r="F189" s="5" t="n"/>
      <c r="G189" s="5" t="n"/>
    </row>
    <row r="190" ht="15.75" customHeight="1" s="149">
      <c r="A190" s="5" t="n"/>
      <c r="B190" s="5" t="n"/>
      <c r="C190" s="5" t="n"/>
      <c r="D190" s="5" t="n"/>
      <c r="E190" s="5" t="n"/>
      <c r="F190" s="5" t="n"/>
      <c r="G190" s="5" t="n"/>
    </row>
    <row r="191" ht="15.75" customHeight="1" s="149">
      <c r="A191" s="5" t="n"/>
      <c r="B191" s="5" t="n"/>
      <c r="C191" s="5" t="n"/>
      <c r="D191" s="5" t="n"/>
      <c r="E191" s="5" t="n"/>
      <c r="F191" s="5" t="n"/>
      <c r="G191" s="5" t="n"/>
    </row>
    <row r="192" ht="15.75" customHeight="1" s="149">
      <c r="A192" s="5" t="n"/>
      <c r="B192" s="5" t="n"/>
      <c r="C192" s="5" t="n"/>
      <c r="D192" s="5" t="n"/>
      <c r="E192" s="5" t="n"/>
      <c r="F192" s="5" t="n"/>
      <c r="G192" s="5" t="n"/>
    </row>
    <row r="193" ht="15.75" customHeight="1" s="149">
      <c r="A193" s="5" t="n"/>
      <c r="B193" s="5" t="n"/>
      <c r="C193" s="5" t="n"/>
      <c r="D193" s="5" t="n"/>
      <c r="E193" s="5" t="n"/>
      <c r="F193" s="5" t="n"/>
      <c r="G193" s="5" t="n"/>
    </row>
    <row r="194" ht="15.75" customHeight="1" s="149">
      <c r="A194" s="5" t="n"/>
      <c r="B194" s="5" t="n"/>
      <c r="C194" s="5" t="n"/>
      <c r="D194" s="5" t="n"/>
      <c r="E194" s="5" t="n"/>
      <c r="F194" s="5" t="n"/>
      <c r="G194" s="5" t="n"/>
    </row>
    <row r="195" ht="15.75" customHeight="1" s="149">
      <c r="A195" s="5" t="n"/>
      <c r="B195" s="5" t="n"/>
      <c r="C195" s="5" t="n"/>
      <c r="D195" s="5" t="n"/>
      <c r="E195" s="5" t="n"/>
      <c r="F195" s="5" t="n"/>
      <c r="G195" s="5" t="n"/>
    </row>
    <row r="196" ht="15.75" customHeight="1" s="149">
      <c r="A196" s="5" t="n"/>
      <c r="B196" s="5" t="n"/>
      <c r="C196" s="5" t="n"/>
      <c r="D196" s="5" t="n"/>
      <c r="E196" s="5" t="n"/>
      <c r="F196" s="5" t="n"/>
      <c r="G196" s="5" t="n"/>
    </row>
    <row r="197" ht="15.75" customHeight="1" s="149">
      <c r="A197" s="5" t="n"/>
      <c r="B197" s="5" t="n"/>
      <c r="C197" s="5" t="n"/>
      <c r="D197" s="5" t="n"/>
      <c r="E197" s="5" t="n"/>
      <c r="F197" s="5" t="n"/>
      <c r="G197" s="5" t="n"/>
    </row>
    <row r="198" ht="15.75" customHeight="1" s="149">
      <c r="A198" s="5" t="n"/>
      <c r="B198" s="5" t="n"/>
      <c r="C198" s="5" t="n"/>
      <c r="D198" s="5" t="n"/>
      <c r="E198" s="5" t="n"/>
      <c r="F198" s="5" t="n"/>
      <c r="G198" s="5" t="n"/>
    </row>
    <row r="199" ht="15.75" customHeight="1" s="149">
      <c r="A199" s="5" t="n"/>
      <c r="B199" s="5" t="n"/>
      <c r="C199" s="5" t="n"/>
      <c r="D199" s="5" t="n"/>
      <c r="E199" s="5" t="n"/>
      <c r="F199" s="5" t="n"/>
      <c r="G199" s="5" t="n"/>
    </row>
    <row r="200" ht="15.75" customHeight="1" s="149">
      <c r="A200" s="5" t="n"/>
      <c r="B200" s="5" t="n"/>
      <c r="C200" s="5" t="n"/>
      <c r="D200" s="5" t="n"/>
      <c r="E200" s="5" t="n"/>
      <c r="F200" s="5" t="n"/>
      <c r="G200" s="5" t="n"/>
    </row>
    <row r="201" ht="15.75" customHeight="1" s="149">
      <c r="A201" s="5" t="n"/>
      <c r="B201" s="5" t="n"/>
      <c r="C201" s="5" t="n"/>
      <c r="D201" s="5" t="n"/>
      <c r="E201" s="5" t="n"/>
      <c r="F201" s="5" t="n"/>
      <c r="G201" s="5" t="n"/>
    </row>
    <row r="202" ht="15.75" customHeight="1" s="149">
      <c r="A202" s="5" t="n"/>
      <c r="B202" s="5" t="n"/>
      <c r="C202" s="5" t="n"/>
      <c r="D202" s="5" t="n"/>
      <c r="E202" s="5" t="n"/>
      <c r="F202" s="5" t="n"/>
      <c r="G202" s="5" t="n"/>
    </row>
    <row r="203" ht="15.75" customHeight="1" s="149">
      <c r="A203" s="5" t="n"/>
      <c r="B203" s="5" t="n"/>
      <c r="C203" s="5" t="n"/>
      <c r="D203" s="5" t="n"/>
      <c r="E203" s="5" t="n"/>
      <c r="F203" s="5" t="n"/>
      <c r="G203" s="5" t="n"/>
    </row>
    <row r="204" ht="15.75" customHeight="1" s="149">
      <c r="A204" s="5" t="n"/>
      <c r="B204" s="5" t="n"/>
      <c r="C204" s="5" t="n"/>
      <c r="D204" s="5" t="n"/>
      <c r="E204" s="5" t="n"/>
      <c r="F204" s="5" t="n"/>
      <c r="G204" s="5" t="n"/>
    </row>
    <row r="205" ht="15.75" customHeight="1" s="149">
      <c r="A205" s="5" t="n"/>
      <c r="B205" s="5" t="n"/>
      <c r="C205" s="5" t="n"/>
      <c r="D205" s="5" t="n"/>
      <c r="E205" s="5" t="n"/>
      <c r="F205" s="5" t="n"/>
      <c r="G205" s="5" t="n"/>
    </row>
    <row r="206" ht="15.75" customHeight="1" s="149">
      <c r="A206" s="5" t="n"/>
      <c r="B206" s="5" t="n"/>
      <c r="C206" s="5" t="n"/>
      <c r="D206" s="5" t="n"/>
      <c r="E206" s="5" t="n"/>
      <c r="F206" s="5" t="n"/>
      <c r="G206" s="5" t="n"/>
    </row>
    <row r="207" ht="15.75" customHeight="1" s="149">
      <c r="A207" s="5" t="n"/>
      <c r="B207" s="5" t="n"/>
      <c r="C207" s="5" t="n"/>
      <c r="D207" s="5" t="n"/>
      <c r="E207" s="5" t="n"/>
      <c r="F207" s="5" t="n"/>
      <c r="G207" s="5" t="n"/>
    </row>
    <row r="208" ht="15.75" customHeight="1" s="149">
      <c r="A208" s="5" t="n"/>
      <c r="B208" s="5" t="n"/>
      <c r="C208" s="5" t="n"/>
      <c r="D208" s="5" t="n"/>
      <c r="E208" s="5" t="n"/>
      <c r="F208" s="5" t="n"/>
      <c r="G208" s="5" t="n"/>
    </row>
    <row r="209" ht="15.75" customHeight="1" s="149">
      <c r="A209" s="5" t="n"/>
      <c r="B209" s="5" t="n"/>
      <c r="C209" s="5" t="n"/>
      <c r="D209" s="5" t="n"/>
      <c r="E209" s="5" t="n"/>
      <c r="F209" s="5" t="n"/>
      <c r="G209" s="5" t="n"/>
    </row>
    <row r="210" ht="15.75" customHeight="1" s="149">
      <c r="A210" s="5" t="n"/>
      <c r="B210" s="5" t="n"/>
      <c r="C210" s="5" t="n"/>
      <c r="D210" s="5" t="n"/>
      <c r="E210" s="5" t="n"/>
      <c r="F210" s="5" t="n"/>
      <c r="G210" s="5" t="n"/>
    </row>
    <row r="211" ht="15.75" customHeight="1" s="149">
      <c r="A211" s="5" t="n"/>
      <c r="B211" s="5" t="n"/>
      <c r="C211" s="5" t="n"/>
      <c r="D211" s="5" t="n"/>
      <c r="E211" s="5" t="n"/>
      <c r="F211" s="5" t="n"/>
      <c r="G211" s="5" t="n"/>
    </row>
    <row r="212" ht="15.75" customHeight="1" s="149">
      <c r="A212" s="5" t="n"/>
      <c r="B212" s="5" t="n"/>
      <c r="C212" s="5" t="n"/>
      <c r="D212" s="5" t="n"/>
      <c r="E212" s="5" t="n"/>
      <c r="F212" s="5" t="n"/>
      <c r="G212" s="5" t="n"/>
    </row>
    <row r="213" ht="15.75" customHeight="1" s="149">
      <c r="A213" s="5" t="n"/>
      <c r="B213" s="5" t="n"/>
      <c r="C213" s="5" t="n"/>
      <c r="D213" s="5" t="n"/>
      <c r="E213" s="5" t="n"/>
      <c r="F213" s="5" t="n"/>
      <c r="G213" s="5" t="n"/>
    </row>
    <row r="214" ht="15.75" customHeight="1" s="149">
      <c r="A214" s="5" t="n"/>
      <c r="B214" s="5" t="n"/>
      <c r="C214" s="5" t="n"/>
      <c r="D214" s="5" t="n"/>
      <c r="E214" s="5" t="n"/>
      <c r="F214" s="5" t="n"/>
      <c r="G214" s="5" t="n"/>
    </row>
    <row r="215" ht="15.75" customHeight="1" s="149">
      <c r="A215" s="5" t="n"/>
      <c r="B215" s="5" t="n"/>
      <c r="C215" s="5" t="n"/>
      <c r="D215" s="5" t="n"/>
      <c r="E215" s="5" t="n"/>
      <c r="F215" s="5" t="n"/>
      <c r="G215" s="5" t="n"/>
    </row>
    <row r="216" ht="15.75" customHeight="1" s="149">
      <c r="A216" s="5" t="n"/>
      <c r="B216" s="5" t="n"/>
      <c r="C216" s="5" t="n"/>
      <c r="D216" s="5" t="n"/>
      <c r="E216" s="5" t="n"/>
      <c r="F216" s="5" t="n"/>
      <c r="G216" s="5" t="n"/>
    </row>
    <row r="217" ht="15.75" customHeight="1" s="149">
      <c r="A217" s="5" t="n"/>
      <c r="B217" s="5" t="n"/>
      <c r="C217" s="5" t="n"/>
      <c r="D217" s="5" t="n"/>
      <c r="E217" s="5" t="n"/>
      <c r="F217" s="5" t="n"/>
      <c r="G217" s="5" t="n"/>
    </row>
    <row r="218" ht="15.75" customHeight="1" s="149">
      <c r="A218" s="5" t="n"/>
      <c r="B218" s="5" t="n"/>
      <c r="C218" s="5" t="n"/>
      <c r="D218" s="5" t="n"/>
      <c r="E218" s="5" t="n"/>
      <c r="F218" s="5" t="n"/>
      <c r="G218" s="5" t="n"/>
    </row>
    <row r="219" ht="15.75" customHeight="1" s="149">
      <c r="A219" s="5" t="n"/>
      <c r="B219" s="5" t="n"/>
      <c r="C219" s="5" t="n"/>
      <c r="D219" s="5" t="n"/>
      <c r="E219" s="5" t="n"/>
      <c r="F219" s="5" t="n"/>
      <c r="G219" s="5" t="n"/>
    </row>
    <row r="220" ht="15.75" customHeight="1" s="149">
      <c r="A220" s="5" t="n"/>
      <c r="B220" s="5" t="n"/>
      <c r="C220" s="5" t="n"/>
      <c r="D220" s="5" t="n"/>
      <c r="E220" s="5" t="n"/>
      <c r="F220" s="5" t="n"/>
      <c r="G220" s="5" t="n"/>
    </row>
    <row r="221" ht="15.75" customHeight="1" s="149">
      <c r="A221" s="5" t="n"/>
      <c r="B221" s="5" t="n"/>
      <c r="C221" s="5" t="n"/>
      <c r="D221" s="5" t="n"/>
      <c r="E221" s="5" t="n"/>
      <c r="F221" s="5" t="n"/>
      <c r="G221" s="5" t="n"/>
    </row>
    <row r="222" ht="15.75" customHeight="1" s="149">
      <c r="A222" s="5" t="n"/>
      <c r="B222" s="5" t="n"/>
      <c r="C222" s="5" t="n"/>
      <c r="D222" s="5" t="n"/>
      <c r="E222" s="5" t="n"/>
      <c r="F222" s="5" t="n"/>
      <c r="G222" s="5" t="n"/>
    </row>
    <row r="223" ht="15.75" customHeight="1" s="149">
      <c r="A223" s="5" t="n"/>
      <c r="B223" s="5" t="n"/>
      <c r="C223" s="5" t="n"/>
      <c r="D223" s="5" t="n"/>
      <c r="E223" s="5" t="n"/>
      <c r="F223" s="5" t="n"/>
      <c r="G223" s="5" t="n"/>
    </row>
    <row r="224" ht="15.75" customHeight="1" s="149">
      <c r="A224" s="5" t="n"/>
      <c r="B224" s="5" t="n"/>
      <c r="C224" s="5" t="n"/>
      <c r="D224" s="5" t="n"/>
      <c r="E224" s="5" t="n"/>
      <c r="F224" s="5" t="n"/>
      <c r="G224" s="5" t="n"/>
    </row>
    <row r="225" ht="15.75" customHeight="1" s="149">
      <c r="A225" s="5" t="n"/>
      <c r="B225" s="5" t="n"/>
      <c r="C225" s="5" t="n"/>
      <c r="D225" s="5" t="n"/>
      <c r="E225" s="5" t="n"/>
      <c r="F225" s="5" t="n"/>
      <c r="G225" s="5" t="n"/>
    </row>
    <row r="226" ht="15.75" customHeight="1" s="149">
      <c r="A226" s="5" t="n"/>
      <c r="B226" s="5" t="n"/>
      <c r="C226" s="5" t="n"/>
      <c r="D226" s="5" t="n"/>
      <c r="E226" s="5" t="n"/>
      <c r="F226" s="5" t="n"/>
      <c r="G226" s="5" t="n"/>
    </row>
    <row r="227" ht="15.75" customHeight="1" s="149">
      <c r="A227" s="5" t="n"/>
      <c r="B227" s="5" t="n"/>
      <c r="C227" s="5" t="n"/>
      <c r="D227" s="5" t="n"/>
      <c r="E227" s="5" t="n"/>
      <c r="F227" s="5" t="n"/>
      <c r="G227" s="5" t="n"/>
    </row>
    <row r="228" ht="15.75" customHeight="1" s="149">
      <c r="A228" s="5" t="n"/>
      <c r="B228" s="5" t="n"/>
      <c r="C228" s="5" t="n"/>
      <c r="D228" s="5" t="n"/>
      <c r="E228" s="5" t="n"/>
      <c r="F228" s="5" t="n"/>
      <c r="G228" s="5" t="n"/>
    </row>
    <row r="229" ht="15.75" customHeight="1" s="149">
      <c r="A229" s="5" t="n"/>
      <c r="B229" s="5" t="n"/>
      <c r="C229" s="5" t="n"/>
      <c r="D229" s="5" t="n"/>
      <c r="E229" s="5" t="n"/>
      <c r="F229" s="5" t="n"/>
      <c r="G229" s="5" t="n"/>
    </row>
    <row r="230" ht="15.75" customHeight="1" s="149">
      <c r="A230" s="5" t="n"/>
      <c r="B230" s="5" t="n"/>
      <c r="C230" s="5" t="n"/>
      <c r="D230" s="5" t="n"/>
      <c r="E230" s="5" t="n"/>
      <c r="F230" s="5" t="n"/>
      <c r="G230" s="5" t="n"/>
    </row>
    <row r="231" ht="15.75" customHeight="1" s="149">
      <c r="A231" s="5" t="n"/>
      <c r="B231" s="5" t="n"/>
      <c r="C231" s="5" t="n"/>
      <c r="D231" s="5" t="n"/>
      <c r="E231" s="5" t="n"/>
      <c r="F231" s="5" t="n"/>
      <c r="G231" s="5" t="n"/>
    </row>
    <row r="232" ht="15.75" customHeight="1" s="149">
      <c r="A232" s="5" t="n"/>
      <c r="B232" s="5" t="n"/>
      <c r="C232" s="5" t="n"/>
      <c r="D232" s="5" t="n"/>
      <c r="E232" s="5" t="n"/>
      <c r="F232" s="5" t="n"/>
      <c r="G232" s="5" t="n"/>
    </row>
    <row r="233" ht="15.75" customHeight="1" s="149">
      <c r="A233" s="5" t="n"/>
      <c r="B233" s="5" t="n"/>
      <c r="C233" s="5" t="n"/>
      <c r="D233" s="5" t="n"/>
      <c r="E233" s="5" t="n"/>
      <c r="F233" s="5" t="n"/>
      <c r="G233" s="5" t="n"/>
    </row>
    <row r="234" ht="15.75" customHeight="1" s="149">
      <c r="A234" s="5" t="n"/>
      <c r="B234" s="5" t="n"/>
      <c r="C234" s="5" t="n"/>
      <c r="D234" s="5" t="n"/>
      <c r="E234" s="5" t="n"/>
      <c r="F234" s="5" t="n"/>
      <c r="G234" s="5" t="n"/>
    </row>
    <row r="235" ht="15.75" customHeight="1" s="149">
      <c r="A235" s="5" t="n"/>
      <c r="B235" s="5" t="n"/>
      <c r="C235" s="5" t="n"/>
      <c r="D235" s="5" t="n"/>
      <c r="E235" s="5" t="n"/>
      <c r="F235" s="5" t="n"/>
      <c r="G235" s="5" t="n"/>
    </row>
    <row r="236" ht="15.75" customHeight="1" s="149">
      <c r="A236" s="5" t="n"/>
      <c r="B236" s="5" t="n"/>
      <c r="C236" s="5" t="n"/>
      <c r="D236" s="5" t="n"/>
      <c r="E236" s="5" t="n"/>
      <c r="F236" s="5" t="n"/>
      <c r="G236" s="5" t="n"/>
    </row>
    <row r="237" ht="15.75" customHeight="1" s="149">
      <c r="A237" s="5" t="n"/>
      <c r="B237" s="5" t="n"/>
      <c r="C237" s="5" t="n"/>
      <c r="D237" s="5" t="n"/>
      <c r="E237" s="5" t="n"/>
      <c r="F237" s="5" t="n"/>
      <c r="G237" s="5" t="n"/>
    </row>
    <row r="238" ht="15.75" customHeight="1" s="149">
      <c r="A238" s="5" t="n"/>
      <c r="B238" s="5" t="n"/>
      <c r="C238" s="5" t="n"/>
      <c r="D238" s="5" t="n"/>
      <c r="E238" s="5" t="n"/>
      <c r="F238" s="5" t="n"/>
      <c r="G238" s="5" t="n"/>
    </row>
    <row r="239" ht="15.75" customHeight="1" s="149">
      <c r="A239" s="5" t="n"/>
      <c r="B239" s="5" t="n"/>
      <c r="C239" s="5" t="n"/>
      <c r="D239" s="5" t="n"/>
      <c r="E239" s="5" t="n"/>
      <c r="F239" s="5" t="n"/>
      <c r="G239" s="5" t="n"/>
    </row>
    <row r="240" ht="15.75" customHeight="1" s="149">
      <c r="A240" s="5" t="n"/>
      <c r="B240" s="5" t="n"/>
      <c r="C240" s="5" t="n"/>
      <c r="D240" s="5" t="n"/>
      <c r="E240" s="5" t="n"/>
      <c r="F240" s="5" t="n"/>
      <c r="G240" s="5" t="n"/>
    </row>
    <row r="241" ht="15.75" customHeight="1" s="149">
      <c r="A241" s="5" t="n"/>
      <c r="B241" s="5" t="n"/>
      <c r="C241" s="5" t="n"/>
      <c r="D241" s="5" t="n"/>
      <c r="E241" s="5" t="n"/>
      <c r="F241" s="5" t="n"/>
      <c r="G241" s="5" t="n"/>
    </row>
    <row r="242" ht="15.75" customHeight="1" s="149">
      <c r="A242" s="5" t="n"/>
      <c r="B242" s="5" t="n"/>
      <c r="C242" s="5" t="n"/>
      <c r="D242" s="5" t="n"/>
      <c r="E242" s="5" t="n"/>
      <c r="F242" s="5" t="n"/>
      <c r="G242" s="5" t="n"/>
    </row>
    <row r="243" ht="15.75" customHeight="1" s="149">
      <c r="A243" s="5" t="n"/>
      <c r="B243" s="5" t="n"/>
      <c r="C243" s="5" t="n"/>
      <c r="D243" s="5" t="n"/>
      <c r="E243" s="5" t="n"/>
      <c r="F243" s="5" t="n"/>
      <c r="G243" s="5" t="n"/>
    </row>
    <row r="244" ht="15.75" customHeight="1" s="149">
      <c r="A244" s="5" t="n"/>
      <c r="B244" s="5" t="n"/>
      <c r="C244" s="5" t="n"/>
      <c r="D244" s="5" t="n"/>
      <c r="E244" s="5" t="n"/>
      <c r="F244" s="5" t="n"/>
      <c r="G244" s="5" t="n"/>
    </row>
    <row r="245" ht="15.75" customHeight="1" s="149">
      <c r="A245" s="5" t="n"/>
      <c r="B245" s="5" t="n"/>
      <c r="C245" s="5" t="n"/>
      <c r="D245" s="5" t="n"/>
      <c r="E245" s="5" t="n"/>
      <c r="F245" s="5" t="n"/>
      <c r="G245" s="5" t="n"/>
    </row>
    <row r="246" ht="15.75" customHeight="1" s="149">
      <c r="A246" s="5" t="n"/>
      <c r="B246" s="5" t="n"/>
      <c r="C246" s="5" t="n"/>
      <c r="D246" s="5" t="n"/>
      <c r="E246" s="5" t="n"/>
      <c r="F246" s="5" t="n"/>
      <c r="G246" s="5" t="n"/>
    </row>
    <row r="247" ht="15.75" customHeight="1" s="149">
      <c r="A247" s="5" t="n"/>
      <c r="B247" s="5" t="n"/>
      <c r="C247" s="5" t="n"/>
      <c r="D247" s="5" t="n"/>
      <c r="E247" s="5" t="n"/>
      <c r="F247" s="5" t="n"/>
      <c r="G247" s="5" t="n"/>
    </row>
    <row r="248" ht="15.75" customHeight="1" s="149">
      <c r="A248" s="5" t="n"/>
      <c r="B248" s="5" t="n"/>
      <c r="C248" s="5" t="n"/>
      <c r="D248" s="5" t="n"/>
      <c r="E248" s="5" t="n"/>
      <c r="F248" s="5" t="n"/>
      <c r="G248" s="5" t="n"/>
    </row>
    <row r="249" ht="15.75" customHeight="1" s="149">
      <c r="A249" s="5" t="n"/>
      <c r="B249" s="5" t="n"/>
      <c r="C249" s="5" t="n"/>
      <c r="D249" s="5" t="n"/>
      <c r="E249" s="5" t="n"/>
      <c r="F249" s="5" t="n"/>
      <c r="G249" s="5" t="n"/>
    </row>
    <row r="250" ht="15.75" customHeight="1" s="149">
      <c r="A250" s="5" t="n"/>
      <c r="B250" s="5" t="n"/>
      <c r="C250" s="5" t="n"/>
      <c r="D250" s="5" t="n"/>
      <c r="E250" s="5" t="n"/>
      <c r="F250" s="5" t="n"/>
      <c r="G250" s="5" t="n"/>
    </row>
    <row r="251" ht="15.75" customHeight="1" s="149">
      <c r="A251" s="5" t="n"/>
      <c r="B251" s="5" t="n"/>
      <c r="C251" s="5" t="n"/>
      <c r="D251" s="5" t="n"/>
      <c r="E251" s="5" t="n"/>
      <c r="F251" s="5" t="n"/>
      <c r="G251" s="5" t="n"/>
    </row>
    <row r="252" ht="15.75" customHeight="1" s="149">
      <c r="A252" s="5" t="n"/>
      <c r="B252" s="5" t="n"/>
      <c r="C252" s="5" t="n"/>
      <c r="D252" s="5" t="n"/>
      <c r="E252" s="5" t="n"/>
      <c r="F252" s="5" t="n"/>
      <c r="G252" s="5" t="n"/>
    </row>
    <row r="253" ht="15.75" customHeight="1" s="149">
      <c r="A253" s="5" t="n"/>
      <c r="B253" s="5" t="n"/>
      <c r="C253" s="5" t="n"/>
      <c r="D253" s="5" t="n"/>
      <c r="E253" s="5" t="n"/>
      <c r="F253" s="5" t="n"/>
      <c r="G253" s="5" t="n"/>
    </row>
    <row r="254" ht="15.75" customHeight="1" s="149">
      <c r="A254" s="5" t="n"/>
      <c r="B254" s="5" t="n"/>
      <c r="C254" s="5" t="n"/>
      <c r="D254" s="5" t="n"/>
      <c r="E254" s="5" t="n"/>
      <c r="F254" s="5" t="n"/>
      <c r="G254" s="5" t="n"/>
    </row>
    <row r="255" ht="15.75" customHeight="1" s="149">
      <c r="A255" s="5" t="n"/>
      <c r="B255" s="5" t="n"/>
      <c r="C255" s="5" t="n"/>
      <c r="D255" s="5" t="n"/>
      <c r="E255" s="5" t="n"/>
      <c r="F255" s="5" t="n"/>
      <c r="G255" s="5" t="n"/>
    </row>
    <row r="256" ht="15.75" customHeight="1" s="149"/>
    <row r="257" ht="15.75" customHeight="1" s="149"/>
    <row r="258" ht="15.75" customHeight="1" s="149"/>
    <row r="259" ht="15.75" customHeight="1" s="149"/>
    <row r="260" ht="15.75" customHeight="1" s="149"/>
    <row r="261" ht="15.75" customHeight="1" s="149"/>
    <row r="262" ht="15.75" customHeight="1" s="149"/>
    <row r="263" ht="15.75" customHeight="1" s="149"/>
    <row r="264" ht="15.75" customHeight="1" s="149"/>
    <row r="265" ht="15.75" customHeight="1" s="149"/>
    <row r="266" ht="15.75" customHeight="1" s="149"/>
    <row r="267" ht="15.75" customHeight="1" s="149"/>
    <row r="268" ht="15.75" customHeight="1" s="149"/>
    <row r="269" ht="15.75" customHeight="1" s="149"/>
    <row r="270" ht="15.75" customHeight="1" s="149"/>
    <row r="271" ht="15.75" customHeight="1" s="149"/>
    <row r="272" ht="15.75" customHeight="1" s="149"/>
    <row r="273" ht="15.75" customHeight="1" s="149"/>
    <row r="274" ht="15.75" customHeight="1" s="149"/>
    <row r="275" ht="15.75" customHeight="1" s="149"/>
    <row r="276" ht="15.75" customHeight="1" s="149"/>
    <row r="277" ht="15.75" customHeight="1" s="149"/>
    <row r="278" ht="15.75" customHeight="1" s="149"/>
    <row r="279" ht="15.75" customHeight="1" s="149"/>
    <row r="280" ht="15.75" customHeight="1" s="149"/>
    <row r="281" ht="15.75" customHeight="1" s="149"/>
    <row r="282" ht="15.75" customHeight="1" s="149"/>
    <row r="283" ht="15.75" customHeight="1" s="149"/>
    <row r="284" ht="15.75" customHeight="1" s="149"/>
    <row r="285" ht="15.75" customHeight="1" s="149"/>
    <row r="286" ht="15.75" customHeight="1" s="149"/>
    <row r="287" ht="15.75" customHeight="1" s="149"/>
    <row r="288" ht="15.75" customHeight="1" s="149"/>
    <row r="289" ht="15.75" customHeight="1" s="149"/>
    <row r="290" ht="15.75" customHeight="1" s="149"/>
    <row r="291" ht="15.75" customHeight="1" s="149"/>
    <row r="292" ht="15.75" customHeight="1" s="149"/>
    <row r="293" ht="15.75" customHeight="1" s="149"/>
    <row r="294" ht="15.75" customHeight="1" s="149"/>
    <row r="295" ht="15.75" customHeight="1" s="149"/>
    <row r="296" ht="15.75" customHeight="1" s="149"/>
    <row r="297" ht="15.75" customHeight="1" s="149"/>
    <row r="298" ht="15.75" customHeight="1" s="149"/>
    <row r="299" ht="15.75" customHeight="1" s="149"/>
    <row r="300" ht="15.75" customHeight="1" s="149"/>
    <row r="301" ht="15.75" customHeight="1" s="149"/>
    <row r="302" ht="15.75" customHeight="1" s="149"/>
    <row r="303" ht="15.75" customHeight="1" s="149"/>
    <row r="304" ht="15.75" customHeight="1" s="149"/>
    <row r="305" ht="15.75" customHeight="1" s="149"/>
    <row r="306" ht="15.75" customHeight="1" s="149"/>
    <row r="307" ht="15.75" customHeight="1" s="149"/>
    <row r="308" ht="15.75" customHeight="1" s="149"/>
    <row r="309" ht="15.75" customHeight="1" s="149"/>
    <row r="310" ht="15.75" customHeight="1" s="149"/>
    <row r="311" ht="15.75" customHeight="1" s="149"/>
    <row r="312" ht="15.75" customHeight="1" s="149"/>
    <row r="313" ht="15.75" customHeight="1" s="149"/>
    <row r="314" ht="15.75" customHeight="1" s="149"/>
    <row r="315" ht="15.75" customHeight="1" s="149"/>
    <row r="316" ht="15.75" customHeight="1" s="149"/>
    <row r="317" ht="15.75" customHeight="1" s="149"/>
    <row r="318" ht="15.75" customHeight="1" s="149"/>
    <row r="319" ht="15.75" customHeight="1" s="149"/>
    <row r="320" ht="15.75" customHeight="1" s="149"/>
    <row r="321" ht="15.75" customHeight="1" s="149"/>
    <row r="322" ht="15.75" customHeight="1" s="149"/>
    <row r="323" ht="15.75" customHeight="1" s="149"/>
    <row r="324" ht="15.75" customHeight="1" s="149"/>
    <row r="325" ht="15.75" customHeight="1" s="149"/>
    <row r="326" ht="15.75" customHeight="1" s="149"/>
    <row r="327" ht="15.75" customHeight="1" s="149"/>
    <row r="328" ht="15.75" customHeight="1" s="149"/>
    <row r="329" ht="15.75" customHeight="1" s="149"/>
    <row r="330" ht="15.75" customHeight="1" s="149"/>
    <row r="331" ht="15.75" customHeight="1" s="149"/>
    <row r="332" ht="15.75" customHeight="1" s="149"/>
    <row r="333" ht="15.75" customHeight="1" s="149"/>
    <row r="334" ht="15.75" customHeight="1" s="149"/>
    <row r="335" ht="15.75" customHeight="1" s="149"/>
    <row r="336" ht="15.75" customHeight="1" s="149"/>
    <row r="337" ht="15.75" customHeight="1" s="149"/>
    <row r="338" ht="15.75" customHeight="1" s="149"/>
    <row r="339" ht="15.75" customHeight="1" s="149"/>
    <row r="340" ht="15.75" customHeight="1" s="149"/>
    <row r="341" ht="15.75" customHeight="1" s="149"/>
    <row r="342" ht="15.75" customHeight="1" s="149"/>
    <row r="343" ht="15.75" customHeight="1" s="149"/>
    <row r="344" ht="15.75" customHeight="1" s="149"/>
    <row r="345" ht="15.75" customHeight="1" s="149"/>
    <row r="346" ht="15.75" customHeight="1" s="149"/>
    <row r="347" ht="15.75" customHeight="1" s="149"/>
    <row r="348" ht="15.75" customHeight="1" s="149"/>
    <row r="349" ht="15.75" customHeight="1" s="149"/>
    <row r="350" ht="15.75" customHeight="1" s="149"/>
    <row r="351" ht="15.75" customHeight="1" s="149"/>
    <row r="352" ht="15.75" customHeight="1" s="149"/>
    <row r="353" ht="15.75" customHeight="1" s="149"/>
    <row r="354" ht="15.75" customHeight="1" s="149"/>
    <row r="355" ht="15.75" customHeight="1" s="149"/>
    <row r="356" ht="15.75" customHeight="1" s="149"/>
    <row r="357" ht="15.75" customHeight="1" s="149"/>
    <row r="358" ht="15.75" customHeight="1" s="149"/>
    <row r="359" ht="15.75" customHeight="1" s="149"/>
    <row r="360" ht="15.75" customHeight="1" s="149"/>
    <row r="361" ht="15.75" customHeight="1" s="149"/>
    <row r="362" ht="15.75" customHeight="1" s="149"/>
    <row r="363" ht="15.75" customHeight="1" s="149"/>
    <row r="364" ht="15.75" customHeight="1" s="149"/>
    <row r="365" ht="15.75" customHeight="1" s="149"/>
    <row r="366" ht="15.75" customHeight="1" s="149"/>
    <row r="367" ht="15.75" customHeight="1" s="149"/>
    <row r="368" ht="15.75" customHeight="1" s="149"/>
    <row r="369" ht="15.75" customHeight="1" s="149"/>
    <row r="370" ht="15.75" customHeight="1" s="149"/>
    <row r="371" ht="15.75" customHeight="1" s="149"/>
    <row r="372" ht="15.75" customHeight="1" s="149"/>
    <row r="373" ht="15.75" customHeight="1" s="149"/>
    <row r="374" ht="15.75" customHeight="1" s="149"/>
    <row r="375" ht="15.75" customHeight="1" s="149"/>
    <row r="376" ht="15.75" customHeight="1" s="149"/>
    <row r="377" ht="15.75" customHeight="1" s="149"/>
    <row r="378" ht="15.75" customHeight="1" s="149"/>
    <row r="379" ht="15.75" customHeight="1" s="149"/>
    <row r="380" ht="15.75" customHeight="1" s="149"/>
    <row r="381" ht="15.75" customHeight="1" s="149"/>
    <row r="382" ht="15.75" customHeight="1" s="149"/>
    <row r="383" ht="15.75" customHeight="1" s="149"/>
    <row r="384" ht="15.75" customHeight="1" s="149"/>
    <row r="385" ht="15.75" customHeight="1" s="149"/>
    <row r="386" ht="15.75" customHeight="1" s="149"/>
    <row r="387" ht="15.75" customHeight="1" s="149"/>
    <row r="388" ht="15.75" customHeight="1" s="149"/>
    <row r="389" ht="15.75" customHeight="1" s="149"/>
    <row r="390" ht="15.75" customHeight="1" s="149"/>
    <row r="391" ht="15.75" customHeight="1" s="149"/>
    <row r="392" ht="15.75" customHeight="1" s="149"/>
    <row r="393" ht="15.75" customHeight="1" s="149"/>
    <row r="394" ht="15.75" customHeight="1" s="149"/>
    <row r="395" ht="15.75" customHeight="1" s="149"/>
    <row r="396" ht="15.75" customHeight="1" s="149"/>
    <row r="397" ht="15.75" customHeight="1" s="149"/>
    <row r="398" ht="15.75" customHeight="1" s="149"/>
    <row r="399" ht="15.75" customHeight="1" s="149"/>
    <row r="400" ht="15.75" customHeight="1" s="149"/>
    <row r="401" ht="15.75" customHeight="1" s="149"/>
    <row r="402" ht="15.75" customHeight="1" s="149"/>
    <row r="403" ht="15.75" customHeight="1" s="149"/>
    <row r="404" ht="15.75" customHeight="1" s="149"/>
    <row r="405" ht="15.75" customHeight="1" s="149"/>
    <row r="406" ht="15.75" customHeight="1" s="149"/>
    <row r="407" ht="15.75" customHeight="1" s="149"/>
    <row r="408" ht="15.75" customHeight="1" s="149"/>
    <row r="409" ht="15.75" customHeight="1" s="149"/>
    <row r="410" ht="15.75" customHeight="1" s="149"/>
    <row r="411" ht="15.75" customHeight="1" s="149"/>
    <row r="412" ht="15.75" customHeight="1" s="149"/>
    <row r="413" ht="15.75" customHeight="1" s="149"/>
    <row r="414" ht="15.75" customHeight="1" s="149"/>
    <row r="415" ht="15.75" customHeight="1" s="149"/>
    <row r="416" ht="15.75" customHeight="1" s="149"/>
    <row r="417" ht="15.75" customHeight="1" s="149"/>
    <row r="418" ht="15.75" customHeight="1" s="149"/>
    <row r="419" ht="15.75" customHeight="1" s="149"/>
    <row r="420" ht="15.75" customHeight="1" s="149"/>
    <row r="421" ht="15.75" customHeight="1" s="149"/>
    <row r="422" ht="15.75" customHeight="1" s="149"/>
    <row r="423" ht="15.75" customHeight="1" s="149"/>
    <row r="424" ht="15.75" customHeight="1" s="149"/>
    <row r="425" ht="15.75" customHeight="1" s="149"/>
    <row r="426" ht="15.75" customHeight="1" s="149"/>
    <row r="427" ht="15.75" customHeight="1" s="149"/>
    <row r="428" ht="15.75" customHeight="1" s="149"/>
    <row r="429" ht="15.75" customHeight="1" s="149"/>
    <row r="430" ht="15.75" customHeight="1" s="149"/>
    <row r="431" ht="15.75" customHeight="1" s="149"/>
    <row r="432" ht="15.75" customHeight="1" s="149"/>
    <row r="433" ht="15.75" customHeight="1" s="149"/>
    <row r="434" ht="15.75" customHeight="1" s="149"/>
    <row r="435" ht="15.75" customHeight="1" s="149"/>
    <row r="436" ht="15.75" customHeight="1" s="149"/>
    <row r="437" ht="15.75" customHeight="1" s="149"/>
    <row r="438" ht="15.75" customHeight="1" s="149"/>
    <row r="439" ht="15.75" customHeight="1" s="149"/>
    <row r="440" ht="15.75" customHeight="1" s="149"/>
    <row r="441" ht="15.75" customHeight="1" s="149"/>
    <row r="442" ht="15.75" customHeight="1" s="149"/>
    <row r="443" ht="15.75" customHeight="1" s="149"/>
    <row r="444" ht="15.75" customHeight="1" s="149"/>
    <row r="445" ht="15.75" customHeight="1" s="149"/>
    <row r="446" ht="15.75" customHeight="1" s="149"/>
    <row r="447" ht="15.75" customHeight="1" s="149"/>
    <row r="448" ht="15.75" customHeight="1" s="149"/>
    <row r="449" ht="15.75" customHeight="1" s="149"/>
    <row r="450" ht="15.75" customHeight="1" s="149"/>
    <row r="451" ht="15.75" customHeight="1" s="149"/>
    <row r="452" ht="15.75" customHeight="1" s="149"/>
    <row r="453" ht="15.75" customHeight="1" s="149"/>
    <row r="454" ht="15.75" customHeight="1" s="149"/>
    <row r="455" ht="15.75" customHeight="1" s="149"/>
    <row r="456" ht="15.75" customHeight="1" s="149"/>
    <row r="457" ht="15.75" customHeight="1" s="149"/>
    <row r="458" ht="15.75" customHeight="1" s="149"/>
    <row r="459" ht="15.75" customHeight="1" s="149"/>
    <row r="460" ht="15.75" customHeight="1" s="149"/>
    <row r="461" ht="15.75" customHeight="1" s="149"/>
    <row r="462" ht="15.75" customHeight="1" s="149"/>
    <row r="463" ht="15.75" customHeight="1" s="149"/>
    <row r="464" ht="15.75" customHeight="1" s="149"/>
    <row r="465" ht="15.75" customHeight="1" s="149"/>
    <row r="466" ht="15.75" customHeight="1" s="149"/>
    <row r="467" ht="15.75" customHeight="1" s="149"/>
    <row r="468" ht="15.75" customHeight="1" s="149"/>
    <row r="469" ht="15.75" customHeight="1" s="149"/>
    <row r="470" ht="15.75" customHeight="1" s="149"/>
    <row r="471" ht="15.75" customHeight="1" s="149"/>
    <row r="472" ht="15.75" customHeight="1" s="149"/>
    <row r="473" ht="15.75" customHeight="1" s="149"/>
    <row r="474" ht="15.75" customHeight="1" s="149"/>
    <row r="475" ht="15.75" customHeight="1" s="149"/>
    <row r="476" ht="15.75" customHeight="1" s="149"/>
    <row r="477" ht="15.75" customHeight="1" s="149"/>
    <row r="478" ht="15.75" customHeight="1" s="149"/>
    <row r="479" ht="15.75" customHeight="1" s="149"/>
    <row r="480" ht="15.75" customHeight="1" s="149"/>
    <row r="481" ht="15.75" customHeight="1" s="149"/>
    <row r="482" ht="15.75" customHeight="1" s="149"/>
    <row r="483" ht="15.75" customHeight="1" s="149"/>
    <row r="484" ht="15.75" customHeight="1" s="149"/>
    <row r="485" ht="15.75" customHeight="1" s="149"/>
    <row r="486" ht="15.75" customHeight="1" s="149"/>
    <row r="487" ht="15.75" customHeight="1" s="149"/>
    <row r="488" ht="15.75" customHeight="1" s="149"/>
    <row r="489" ht="15.75" customHeight="1" s="149"/>
    <row r="490" ht="15.75" customHeight="1" s="149"/>
    <row r="491" ht="15.75" customHeight="1" s="149"/>
    <row r="492" ht="15.75" customHeight="1" s="149"/>
    <row r="493" ht="15.75" customHeight="1" s="149"/>
    <row r="494" ht="15.75" customHeight="1" s="149"/>
    <row r="495" ht="15.75" customHeight="1" s="149"/>
    <row r="496" ht="15.75" customHeight="1" s="149"/>
    <row r="497" ht="15.75" customHeight="1" s="149"/>
    <row r="498" ht="15.75" customHeight="1" s="149"/>
    <row r="499" ht="15.75" customHeight="1" s="149"/>
    <row r="500" ht="15.75" customHeight="1" s="149"/>
    <row r="501" ht="15.75" customHeight="1" s="149"/>
    <row r="502" ht="15.75" customHeight="1" s="149"/>
    <row r="503" ht="15.75" customHeight="1" s="149"/>
    <row r="504" ht="15.75" customHeight="1" s="149"/>
    <row r="505" ht="15.75" customHeight="1" s="149"/>
    <row r="506" ht="15.75" customHeight="1" s="149"/>
    <row r="507" ht="15.75" customHeight="1" s="149"/>
    <row r="508" ht="15.75" customHeight="1" s="149"/>
    <row r="509" ht="15.75" customHeight="1" s="149"/>
    <row r="510" ht="15.75" customHeight="1" s="149"/>
    <row r="511" ht="15.75" customHeight="1" s="149"/>
    <row r="512" ht="15.75" customHeight="1" s="149"/>
    <row r="513" ht="15.75" customHeight="1" s="149"/>
    <row r="514" ht="15.75" customHeight="1" s="149"/>
    <row r="515" ht="15.75" customHeight="1" s="149"/>
    <row r="516" ht="15.75" customHeight="1" s="149"/>
    <row r="517" ht="15.75" customHeight="1" s="149"/>
    <row r="518" ht="15.75" customHeight="1" s="149"/>
    <row r="519" ht="15.75" customHeight="1" s="149"/>
    <row r="520" ht="15.75" customHeight="1" s="149"/>
    <row r="521" ht="15.75" customHeight="1" s="149"/>
    <row r="522" ht="15.75" customHeight="1" s="149"/>
    <row r="523" ht="15.75" customHeight="1" s="149"/>
    <row r="524" ht="15.75" customHeight="1" s="149"/>
    <row r="525" ht="15.75" customHeight="1" s="149"/>
    <row r="526" ht="15.75" customHeight="1" s="149"/>
    <row r="527" ht="15.75" customHeight="1" s="149"/>
    <row r="528" ht="15.75" customHeight="1" s="149"/>
    <row r="529" ht="15.75" customHeight="1" s="149"/>
    <row r="530" ht="15.75" customHeight="1" s="149"/>
    <row r="531" ht="15.75" customHeight="1" s="149"/>
    <row r="532" ht="15.75" customHeight="1" s="149"/>
    <row r="533" ht="15.75" customHeight="1" s="149"/>
    <row r="534" ht="15.75" customHeight="1" s="149"/>
    <row r="535" ht="15.75" customHeight="1" s="149"/>
    <row r="536" ht="15.75" customHeight="1" s="149"/>
    <row r="537" ht="15.75" customHeight="1" s="149"/>
    <row r="538" ht="15.75" customHeight="1" s="149"/>
    <row r="539" ht="15.75" customHeight="1" s="149"/>
    <row r="540" ht="15.75" customHeight="1" s="149"/>
    <row r="541" ht="15.75" customHeight="1" s="149"/>
    <row r="542" ht="15.75" customHeight="1" s="149"/>
    <row r="543" ht="15.75" customHeight="1" s="149"/>
    <row r="544" ht="15.75" customHeight="1" s="149"/>
    <row r="545" ht="15.75" customHeight="1" s="149"/>
    <row r="546" ht="15.75" customHeight="1" s="149"/>
    <row r="547" ht="15.75" customHeight="1" s="149"/>
    <row r="548" ht="15.75" customHeight="1" s="149"/>
    <row r="549" ht="15.75" customHeight="1" s="149"/>
    <row r="550" ht="15.75" customHeight="1" s="149"/>
    <row r="551" ht="15.75" customHeight="1" s="149"/>
    <row r="552" ht="15.75" customHeight="1" s="149"/>
    <row r="553" ht="15.75" customHeight="1" s="149"/>
    <row r="554" ht="15.75" customHeight="1" s="149"/>
    <row r="555" ht="15.75" customHeight="1" s="149"/>
    <row r="556" ht="15.75" customHeight="1" s="149"/>
    <row r="557" ht="15.75" customHeight="1" s="149"/>
    <row r="558" ht="15.75" customHeight="1" s="149"/>
    <row r="559" ht="15.75" customHeight="1" s="149"/>
    <row r="560" ht="15.75" customHeight="1" s="149"/>
    <row r="561" ht="15.75" customHeight="1" s="149"/>
    <row r="562" ht="15.75" customHeight="1" s="149"/>
    <row r="563" ht="15.75" customHeight="1" s="149"/>
    <row r="564" ht="15.75" customHeight="1" s="149"/>
    <row r="565" ht="15.75" customHeight="1" s="149"/>
    <row r="566" ht="15.75" customHeight="1" s="149"/>
    <row r="567" ht="15.75" customHeight="1" s="149"/>
    <row r="568" ht="15.75" customHeight="1" s="149"/>
    <row r="569" ht="15.75" customHeight="1" s="149"/>
    <row r="570" ht="15.75" customHeight="1" s="149"/>
    <row r="571" ht="15.75" customHeight="1" s="149"/>
    <row r="572" ht="15.75" customHeight="1" s="149"/>
    <row r="573" ht="15.75" customHeight="1" s="149"/>
    <row r="574" ht="15.75" customHeight="1" s="149"/>
    <row r="575" ht="15.75" customHeight="1" s="149"/>
    <row r="576" ht="15.75" customHeight="1" s="149"/>
    <row r="577" ht="15.75" customHeight="1" s="149"/>
    <row r="578" ht="15.75" customHeight="1" s="149"/>
    <row r="579" ht="15.75" customHeight="1" s="149"/>
    <row r="580" ht="15.75" customHeight="1" s="149"/>
    <row r="581" ht="15.75" customHeight="1" s="149"/>
    <row r="582" ht="15.75" customHeight="1" s="149"/>
    <row r="583" ht="15.75" customHeight="1" s="149"/>
    <row r="584" ht="15.75" customHeight="1" s="149"/>
    <row r="585" ht="15.75" customHeight="1" s="149"/>
    <row r="586" ht="15.75" customHeight="1" s="149"/>
    <row r="587" ht="15.75" customHeight="1" s="149"/>
    <row r="588" ht="15.75" customHeight="1" s="149"/>
    <row r="589" ht="15.75" customHeight="1" s="149"/>
    <row r="590" ht="15.75" customHeight="1" s="149"/>
    <row r="591" ht="15.75" customHeight="1" s="149"/>
    <row r="592" ht="15.75" customHeight="1" s="149"/>
    <row r="593" ht="15.75" customHeight="1" s="149"/>
    <row r="594" ht="15.75" customHeight="1" s="149"/>
    <row r="595" ht="15.75" customHeight="1" s="149"/>
    <row r="596" ht="15.75" customHeight="1" s="149"/>
    <row r="597" ht="15.75" customHeight="1" s="149"/>
    <row r="598" ht="15.75" customHeight="1" s="149"/>
    <row r="599" ht="15.75" customHeight="1" s="149"/>
    <row r="600" ht="15.75" customHeight="1" s="149"/>
    <row r="601" ht="15.75" customHeight="1" s="149"/>
    <row r="602" ht="15.75" customHeight="1" s="149"/>
    <row r="603" ht="15.75" customHeight="1" s="149"/>
    <row r="604" ht="15.75" customHeight="1" s="149"/>
    <row r="605" ht="15.75" customHeight="1" s="149"/>
    <row r="606" ht="15.75" customHeight="1" s="149"/>
    <row r="607" ht="15.75" customHeight="1" s="149"/>
    <row r="608" ht="15.75" customHeight="1" s="149"/>
    <row r="609" ht="15.75" customHeight="1" s="149"/>
    <row r="610" ht="15.75" customHeight="1" s="149"/>
    <row r="611" ht="15.75" customHeight="1" s="149"/>
    <row r="612" ht="15.75" customHeight="1" s="149"/>
    <row r="613" ht="15.75" customHeight="1" s="149"/>
    <row r="614" ht="15.75" customHeight="1" s="149"/>
    <row r="615" ht="15.75" customHeight="1" s="149"/>
    <row r="616" ht="15.75" customHeight="1" s="149"/>
    <row r="617" ht="15.75" customHeight="1" s="149"/>
    <row r="618" ht="15.75" customHeight="1" s="149"/>
    <row r="619" ht="15.75" customHeight="1" s="149"/>
    <row r="620" ht="15.75" customHeight="1" s="149"/>
    <row r="621" ht="15.75" customHeight="1" s="149"/>
    <row r="622" ht="15.75" customHeight="1" s="149"/>
    <row r="623" ht="15.75" customHeight="1" s="149"/>
    <row r="624" ht="15.75" customHeight="1" s="149"/>
    <row r="625" ht="15.75" customHeight="1" s="149"/>
    <row r="626" ht="15.75" customHeight="1" s="149"/>
    <row r="627" ht="15.75" customHeight="1" s="149"/>
    <row r="628" ht="15.75" customHeight="1" s="149"/>
    <row r="629" ht="15.75" customHeight="1" s="149"/>
    <row r="630" ht="15.75" customHeight="1" s="149"/>
    <row r="631" ht="15.75" customHeight="1" s="149"/>
    <row r="632" ht="15.75" customHeight="1" s="149"/>
    <row r="633" ht="15.75" customHeight="1" s="149"/>
    <row r="634" ht="15.75" customHeight="1" s="149"/>
    <row r="635" ht="15.75" customHeight="1" s="149"/>
    <row r="636" ht="15.75" customHeight="1" s="149"/>
    <row r="637" ht="15.75" customHeight="1" s="149"/>
    <row r="638" ht="15.75" customHeight="1" s="149"/>
    <row r="639" ht="15.75" customHeight="1" s="149"/>
    <row r="640" ht="15.75" customHeight="1" s="149"/>
    <row r="641" ht="15.75" customHeight="1" s="149"/>
    <row r="642" ht="15.75" customHeight="1" s="149"/>
    <row r="643" ht="15.75" customHeight="1" s="149"/>
    <row r="644" ht="15.75" customHeight="1" s="149"/>
    <row r="645" ht="15.75" customHeight="1" s="149"/>
    <row r="646" ht="15.75" customHeight="1" s="149"/>
    <row r="647" ht="15.75" customHeight="1" s="149"/>
    <row r="648" ht="15.75" customHeight="1" s="149"/>
    <row r="649" ht="15.75" customHeight="1" s="149"/>
    <row r="650" ht="15.75" customHeight="1" s="149"/>
    <row r="651" ht="15.75" customHeight="1" s="149"/>
    <row r="652" ht="15.75" customHeight="1" s="149"/>
    <row r="653" ht="15.75" customHeight="1" s="149"/>
    <row r="654" ht="15.75" customHeight="1" s="149"/>
    <row r="655" ht="15.75" customHeight="1" s="149"/>
    <row r="656" ht="15.75" customHeight="1" s="149"/>
    <row r="657" ht="15.75" customHeight="1" s="149"/>
    <row r="658" ht="15.75" customHeight="1" s="149"/>
    <row r="659" ht="15.75" customHeight="1" s="149"/>
    <row r="660" ht="15.75" customHeight="1" s="149"/>
    <row r="661" ht="15.75" customHeight="1" s="149"/>
    <row r="662" ht="15.75" customHeight="1" s="149"/>
    <row r="663" ht="15.75" customHeight="1" s="149"/>
    <row r="664" ht="15.75" customHeight="1" s="149"/>
    <row r="665" ht="15.75" customHeight="1" s="149"/>
    <row r="666" ht="15.75" customHeight="1" s="149"/>
    <row r="667" ht="15.75" customHeight="1" s="149"/>
    <row r="668" ht="15.75" customHeight="1" s="149"/>
    <row r="669" ht="15.75" customHeight="1" s="149"/>
    <row r="670" ht="15.75" customHeight="1" s="149"/>
    <row r="671" ht="15.75" customHeight="1" s="149"/>
    <row r="672" ht="15.75" customHeight="1" s="149"/>
    <row r="673" ht="15.75" customHeight="1" s="149"/>
    <row r="674" ht="15.75" customHeight="1" s="149"/>
    <row r="675" ht="15.75" customHeight="1" s="149"/>
    <row r="676" ht="15.75" customHeight="1" s="149"/>
    <row r="677" ht="15.75" customHeight="1" s="149"/>
    <row r="678" ht="15.75" customHeight="1" s="149"/>
    <row r="679" ht="15.75" customHeight="1" s="149"/>
    <row r="680" ht="15.75" customHeight="1" s="149"/>
    <row r="681" ht="15.75" customHeight="1" s="149"/>
    <row r="682" ht="15.75" customHeight="1" s="149"/>
    <row r="683" ht="15.75" customHeight="1" s="149"/>
    <row r="684" ht="15.75" customHeight="1" s="149"/>
    <row r="685" ht="15.75" customHeight="1" s="149"/>
    <row r="686" ht="15.75" customHeight="1" s="149"/>
    <row r="687" ht="15.75" customHeight="1" s="149"/>
    <row r="688" ht="15.75" customHeight="1" s="149"/>
    <row r="689" ht="15.75" customHeight="1" s="149"/>
    <row r="690" ht="15.75" customHeight="1" s="149"/>
    <row r="691" ht="15.75" customHeight="1" s="149"/>
    <row r="692" ht="15.75" customHeight="1" s="149"/>
    <row r="693" ht="15.75" customHeight="1" s="149"/>
    <row r="694" ht="15.75" customHeight="1" s="149"/>
    <row r="695" ht="15.75" customHeight="1" s="149"/>
    <row r="696" ht="15.75" customHeight="1" s="149"/>
    <row r="697" ht="15.75" customHeight="1" s="149"/>
    <row r="698" ht="15.75" customHeight="1" s="149"/>
    <row r="699" ht="15.75" customHeight="1" s="149"/>
    <row r="700" ht="15.75" customHeight="1" s="149"/>
    <row r="701" ht="15.75" customHeight="1" s="149"/>
    <row r="702" ht="15.75" customHeight="1" s="149"/>
    <row r="703" ht="15.75" customHeight="1" s="149"/>
    <row r="704" ht="15.75" customHeight="1" s="149"/>
    <row r="705" ht="15.75" customHeight="1" s="149"/>
    <row r="706" ht="15.75" customHeight="1" s="149"/>
    <row r="707" ht="15.75" customHeight="1" s="149"/>
    <row r="708" ht="15.75" customHeight="1" s="149"/>
    <row r="709" ht="15.75" customHeight="1" s="149"/>
    <row r="710" ht="15.75" customHeight="1" s="149"/>
    <row r="711" ht="15.75" customHeight="1" s="149"/>
    <row r="712" ht="15.75" customHeight="1" s="149"/>
    <row r="713" ht="15.75" customHeight="1" s="149"/>
    <row r="714" ht="15.75" customHeight="1" s="149"/>
    <row r="715" ht="15.75" customHeight="1" s="149"/>
    <row r="716" ht="15.75" customHeight="1" s="149"/>
    <row r="717" ht="15.75" customHeight="1" s="149"/>
    <row r="718" ht="15.75" customHeight="1" s="149"/>
    <row r="719" ht="15.75" customHeight="1" s="149"/>
    <row r="720" ht="15.75" customHeight="1" s="149"/>
    <row r="721" ht="15.75" customHeight="1" s="149"/>
    <row r="722" ht="15.75" customHeight="1" s="149"/>
    <row r="723" ht="15.75" customHeight="1" s="149"/>
    <row r="724" ht="15.75" customHeight="1" s="149"/>
    <row r="725" ht="15.75" customHeight="1" s="149"/>
    <row r="726" ht="15.75" customHeight="1" s="149"/>
    <row r="727" ht="15.75" customHeight="1" s="149"/>
    <row r="728" ht="15.75" customHeight="1" s="149"/>
    <row r="729" ht="15.75" customHeight="1" s="149"/>
    <row r="730" ht="15.75" customHeight="1" s="149"/>
    <row r="731" ht="15.75" customHeight="1" s="149"/>
    <row r="732" ht="15.75" customHeight="1" s="149"/>
    <row r="733" ht="15.75" customHeight="1" s="149"/>
    <row r="734" ht="15.75" customHeight="1" s="149"/>
    <row r="735" ht="15.75" customHeight="1" s="149"/>
    <row r="736" ht="15.75" customHeight="1" s="149"/>
    <row r="737" ht="15.75" customHeight="1" s="149"/>
    <row r="738" ht="15.75" customHeight="1" s="149"/>
    <row r="739" ht="15.75" customHeight="1" s="149"/>
    <row r="740" ht="15.75" customHeight="1" s="149"/>
    <row r="741" ht="15.75" customHeight="1" s="149"/>
    <row r="742" ht="15.75" customHeight="1" s="149"/>
    <row r="743" ht="15.75" customHeight="1" s="149"/>
    <row r="744" ht="15.75" customHeight="1" s="149"/>
    <row r="745" ht="15.75" customHeight="1" s="149"/>
    <row r="746" ht="15.75" customHeight="1" s="149"/>
    <row r="747" ht="15.75" customHeight="1" s="149"/>
    <row r="748" ht="15.75" customHeight="1" s="149"/>
    <row r="749" ht="15.75" customHeight="1" s="149"/>
    <row r="750" ht="15.75" customHeight="1" s="149"/>
    <row r="751" ht="15.75" customHeight="1" s="149"/>
    <row r="752" ht="15.75" customHeight="1" s="149"/>
    <row r="753" ht="15.75" customHeight="1" s="149"/>
    <row r="754" ht="15.75" customHeight="1" s="149"/>
    <row r="755" ht="15.75" customHeight="1" s="149"/>
    <row r="756" ht="15.75" customHeight="1" s="149"/>
    <row r="757" ht="15.75" customHeight="1" s="149"/>
    <row r="758" ht="15.75" customHeight="1" s="149"/>
    <row r="759" ht="15.75" customHeight="1" s="149"/>
    <row r="760" ht="15.75" customHeight="1" s="149"/>
    <row r="761" ht="15.75" customHeight="1" s="149"/>
    <row r="762" ht="15.75" customHeight="1" s="149"/>
    <row r="763" ht="15.75" customHeight="1" s="149"/>
    <row r="764" ht="15.75" customHeight="1" s="149"/>
    <row r="765" ht="15.75" customHeight="1" s="149"/>
    <row r="766" ht="15.75" customHeight="1" s="149"/>
    <row r="767" ht="15.75" customHeight="1" s="149"/>
    <row r="768" ht="15.75" customHeight="1" s="149"/>
    <row r="769" ht="15.75" customHeight="1" s="149"/>
    <row r="770" ht="15.75" customHeight="1" s="149"/>
    <row r="771" ht="15.75" customHeight="1" s="149"/>
    <row r="772" ht="15.75" customHeight="1" s="149"/>
    <row r="773" ht="15.75" customHeight="1" s="149"/>
    <row r="774" ht="15.75" customHeight="1" s="149"/>
    <row r="775" ht="15.75" customHeight="1" s="149"/>
    <row r="776" ht="15.75" customHeight="1" s="149"/>
    <row r="777" ht="15.75" customHeight="1" s="149"/>
    <row r="778" ht="15.75" customHeight="1" s="149"/>
    <row r="779" ht="15.75" customHeight="1" s="149"/>
    <row r="780" ht="15.75" customHeight="1" s="149"/>
    <row r="781" ht="15.75" customHeight="1" s="149"/>
    <row r="782" ht="15.75" customHeight="1" s="149"/>
    <row r="783" ht="15.75" customHeight="1" s="149"/>
    <row r="784" ht="15.75" customHeight="1" s="149"/>
    <row r="785" ht="15.75" customHeight="1" s="149"/>
    <row r="786" ht="15.75" customHeight="1" s="149"/>
    <row r="787" ht="15.75" customHeight="1" s="149"/>
    <row r="788" ht="15.75" customHeight="1" s="149"/>
    <row r="789" ht="15.75" customHeight="1" s="149"/>
    <row r="790" ht="15.75" customHeight="1" s="149"/>
    <row r="791" ht="15.75" customHeight="1" s="149"/>
    <row r="792" ht="15.75" customHeight="1" s="149"/>
    <row r="793" ht="15.75" customHeight="1" s="149"/>
    <row r="794" ht="15.75" customHeight="1" s="149"/>
    <row r="795" ht="15.75" customHeight="1" s="149"/>
    <row r="796" ht="15.75" customHeight="1" s="149"/>
    <row r="797" ht="15.75" customHeight="1" s="149"/>
    <row r="798" ht="15.75" customHeight="1" s="149"/>
    <row r="799" ht="15.75" customHeight="1" s="149"/>
    <row r="800" ht="15.75" customHeight="1" s="149"/>
    <row r="801" ht="15.75" customHeight="1" s="149"/>
    <row r="802" ht="15.75" customHeight="1" s="149"/>
    <row r="803" ht="15.75" customHeight="1" s="149"/>
    <row r="804" ht="15.75" customHeight="1" s="149"/>
    <row r="805" ht="15.75" customHeight="1" s="149"/>
    <row r="806" ht="15.75" customHeight="1" s="149"/>
    <row r="807" ht="15.75" customHeight="1" s="149"/>
    <row r="808" ht="15.75" customHeight="1" s="149"/>
    <row r="809" ht="15.75" customHeight="1" s="149"/>
    <row r="810" ht="15.75" customHeight="1" s="149"/>
    <row r="811" ht="15.75" customHeight="1" s="149"/>
    <row r="812" ht="15.75" customHeight="1" s="149"/>
    <row r="813" ht="15.75" customHeight="1" s="149"/>
    <row r="814" ht="15.75" customHeight="1" s="149"/>
    <row r="815" ht="15.75" customHeight="1" s="149"/>
    <row r="816" ht="15.75" customHeight="1" s="149"/>
    <row r="817" ht="15.75" customHeight="1" s="149"/>
    <row r="818" ht="15.75" customHeight="1" s="149"/>
    <row r="819" ht="15.75" customHeight="1" s="149"/>
    <row r="820" ht="15.75" customHeight="1" s="149"/>
    <row r="821" ht="15.75" customHeight="1" s="149"/>
    <row r="822" ht="15.75" customHeight="1" s="149"/>
    <row r="823" ht="15.75" customHeight="1" s="149"/>
    <row r="824" ht="15.75" customHeight="1" s="149"/>
    <row r="825" ht="15.75" customHeight="1" s="149"/>
    <row r="826" ht="15.75" customHeight="1" s="149"/>
    <row r="827" ht="15.75" customHeight="1" s="149"/>
    <row r="828" ht="15.75" customHeight="1" s="149"/>
    <row r="829" ht="15.75" customHeight="1" s="149"/>
    <row r="830" ht="15.75" customHeight="1" s="149"/>
    <row r="831" ht="15.75" customHeight="1" s="149"/>
    <row r="832" ht="15.75" customHeight="1" s="149"/>
    <row r="833" ht="15.75" customHeight="1" s="149"/>
    <row r="834" ht="15.75" customHeight="1" s="149"/>
    <row r="835" ht="15.75" customHeight="1" s="149"/>
    <row r="836" ht="15.75" customHeight="1" s="149"/>
    <row r="837" ht="15.75" customHeight="1" s="149"/>
    <row r="838" ht="15.75" customHeight="1" s="149"/>
    <row r="839" ht="15.75" customHeight="1" s="149"/>
    <row r="840" ht="15.75" customHeight="1" s="149"/>
    <row r="841" ht="15.75" customHeight="1" s="149"/>
    <row r="842" ht="15.75" customHeight="1" s="149"/>
    <row r="843" ht="15.75" customHeight="1" s="149"/>
    <row r="844" ht="15.75" customHeight="1" s="149"/>
    <row r="845" ht="15.75" customHeight="1" s="149"/>
    <row r="846" ht="15.75" customHeight="1" s="149"/>
    <row r="847" ht="15.75" customHeight="1" s="149"/>
    <row r="848" ht="15.75" customHeight="1" s="149"/>
    <row r="849" ht="15.75" customHeight="1" s="149"/>
    <row r="850" ht="15.75" customHeight="1" s="149"/>
    <row r="851" ht="15.75" customHeight="1" s="149"/>
    <row r="852" ht="15.75" customHeight="1" s="149"/>
    <row r="853" ht="15.75" customHeight="1" s="149"/>
    <row r="854" ht="15.75" customHeight="1" s="149"/>
    <row r="855" ht="15.75" customHeight="1" s="149"/>
    <row r="856" ht="15.75" customHeight="1" s="149"/>
    <row r="857" ht="15.75" customHeight="1" s="149"/>
    <row r="858" ht="15.75" customHeight="1" s="149"/>
    <row r="859" ht="15.75" customHeight="1" s="149"/>
    <row r="860" ht="15.75" customHeight="1" s="149"/>
    <row r="861" ht="15.75" customHeight="1" s="149"/>
    <row r="862" ht="15.75" customHeight="1" s="149"/>
    <row r="863" ht="15.75" customHeight="1" s="149"/>
    <row r="864" ht="15.75" customHeight="1" s="149"/>
    <row r="865" ht="15.75" customHeight="1" s="149"/>
    <row r="866" ht="15.75" customHeight="1" s="149"/>
    <row r="867" ht="15.75" customHeight="1" s="149"/>
    <row r="868" ht="15.75" customHeight="1" s="149"/>
    <row r="869" ht="15.75" customHeight="1" s="149"/>
    <row r="870" ht="15.75" customHeight="1" s="149"/>
    <row r="871" ht="15.75" customHeight="1" s="149"/>
    <row r="872" ht="15.75" customHeight="1" s="149"/>
    <row r="873" ht="15.75" customHeight="1" s="149"/>
    <row r="874" ht="15.75" customHeight="1" s="149"/>
    <row r="875" ht="15.75" customHeight="1" s="149"/>
    <row r="876" ht="15.75" customHeight="1" s="149"/>
    <row r="877" ht="15.75" customHeight="1" s="149"/>
    <row r="878" ht="15.75" customHeight="1" s="149"/>
    <row r="879" ht="15.75" customHeight="1" s="149"/>
    <row r="880" ht="15.75" customHeight="1" s="149"/>
    <row r="881" ht="15.75" customHeight="1" s="149"/>
    <row r="882" ht="15.75" customHeight="1" s="149"/>
    <row r="883" ht="15.75" customHeight="1" s="149"/>
    <row r="884" ht="15.75" customHeight="1" s="149"/>
    <row r="885" ht="15.75" customHeight="1" s="149"/>
    <row r="886" ht="15.75" customHeight="1" s="149"/>
    <row r="887" ht="15.75" customHeight="1" s="149"/>
    <row r="888" ht="15.75" customHeight="1" s="149"/>
    <row r="889" ht="15.75" customHeight="1" s="149"/>
    <row r="890" ht="15.75" customHeight="1" s="149"/>
    <row r="891" ht="15.75" customHeight="1" s="149"/>
    <row r="892" ht="15.75" customHeight="1" s="149"/>
    <row r="893" ht="15.75" customHeight="1" s="149"/>
    <row r="894" ht="15.75" customHeight="1" s="149"/>
    <row r="895" ht="15.75" customHeight="1" s="149"/>
    <row r="896" ht="15.75" customHeight="1" s="149"/>
    <row r="897" ht="15.75" customHeight="1" s="149"/>
    <row r="898" ht="15.75" customHeight="1" s="149"/>
    <row r="899" ht="15.75" customHeight="1" s="149"/>
    <row r="900" ht="15.75" customHeight="1" s="149"/>
    <row r="901" ht="15.75" customHeight="1" s="149"/>
    <row r="902" ht="15.75" customHeight="1" s="149"/>
    <row r="903" ht="15.75" customHeight="1" s="149"/>
    <row r="904" ht="15.75" customHeight="1" s="149"/>
    <row r="905" ht="15.75" customHeight="1" s="149"/>
    <row r="906" ht="15.75" customHeight="1" s="149"/>
    <row r="907" ht="15.75" customHeight="1" s="149"/>
    <row r="908" ht="15.75" customHeight="1" s="149"/>
    <row r="909" ht="15.75" customHeight="1" s="149"/>
    <row r="910" ht="15.75" customHeight="1" s="149"/>
    <row r="911" ht="15.75" customHeight="1" s="149"/>
    <row r="912" ht="15.75" customHeight="1" s="149"/>
    <row r="913" ht="15.75" customHeight="1" s="149"/>
    <row r="914" ht="15.75" customHeight="1" s="149"/>
    <row r="915" ht="15.75" customHeight="1" s="149"/>
    <row r="916" ht="15.75" customHeight="1" s="149"/>
    <row r="917" ht="15.75" customHeight="1" s="149"/>
    <row r="918" ht="15.75" customHeight="1" s="149"/>
    <row r="919" ht="15.75" customHeight="1" s="149"/>
    <row r="920" ht="15.75" customHeight="1" s="149"/>
    <row r="921" ht="15.75" customHeight="1" s="149"/>
    <row r="922" ht="15.75" customHeight="1" s="149"/>
    <row r="923" ht="15.75" customHeight="1" s="149"/>
    <row r="924" ht="15.75" customHeight="1" s="149"/>
    <row r="925" ht="15.75" customHeight="1" s="149"/>
    <row r="926" ht="15.75" customHeight="1" s="149"/>
    <row r="927" ht="15.75" customHeight="1" s="149"/>
    <row r="928" ht="15.75" customHeight="1" s="149"/>
    <row r="929" ht="15.75" customHeight="1" s="149"/>
    <row r="930" ht="15.75" customHeight="1" s="149"/>
    <row r="931" ht="15.75" customHeight="1" s="149"/>
    <row r="932" ht="15.75" customHeight="1" s="149"/>
    <row r="933" ht="15.75" customHeight="1" s="149"/>
    <row r="934" ht="15.75" customHeight="1" s="149"/>
    <row r="935" ht="15.75" customHeight="1" s="149"/>
    <row r="936" ht="15.75" customHeight="1" s="149"/>
    <row r="937" ht="15.75" customHeight="1" s="149"/>
    <row r="938" ht="15.75" customHeight="1" s="149"/>
    <row r="939" ht="15.75" customHeight="1" s="149"/>
    <row r="940" ht="15.75" customHeight="1" s="149"/>
    <row r="941" ht="15.75" customHeight="1" s="149"/>
    <row r="942" ht="15.75" customHeight="1" s="149"/>
    <row r="943" ht="15.75" customHeight="1" s="149"/>
    <row r="944" ht="15.75" customHeight="1" s="149"/>
    <row r="945" ht="15.75" customHeight="1" s="149"/>
    <row r="946" ht="15.75" customHeight="1" s="149"/>
    <row r="947" ht="15.75" customHeight="1" s="149"/>
    <row r="948" ht="15.75" customHeight="1" s="149"/>
    <row r="949" ht="15.75" customHeight="1" s="149"/>
    <row r="950" ht="15.75" customHeight="1" s="149"/>
    <row r="951" ht="15.75" customHeight="1" s="149"/>
    <row r="952" ht="15.75" customHeight="1" s="149"/>
    <row r="953" ht="15.75" customHeight="1" s="149"/>
    <row r="954" ht="15.75" customHeight="1" s="149"/>
    <row r="955" ht="15.75" customHeight="1" s="149"/>
    <row r="956" ht="15.75" customHeight="1" s="149"/>
    <row r="957" ht="15.75" customHeight="1" s="149"/>
    <row r="958" ht="15.75" customHeight="1" s="149"/>
    <row r="959" ht="15.75" customHeight="1" s="149"/>
    <row r="960" ht="15.75" customHeight="1" s="149"/>
    <row r="961" ht="15.75" customHeight="1" s="149"/>
    <row r="962" ht="15.75" customHeight="1" s="149"/>
    <row r="963" ht="15.75" customHeight="1" s="149"/>
    <row r="964" ht="15.75" customHeight="1" s="149"/>
    <row r="965" ht="15.75" customHeight="1" s="149"/>
    <row r="966" ht="15.75" customHeight="1" s="149"/>
    <row r="967" ht="15.75" customHeight="1" s="149"/>
    <row r="968" ht="15.75" customHeight="1" s="149"/>
    <row r="969" ht="15.75" customHeight="1" s="149"/>
    <row r="970" ht="15.75" customHeight="1" s="149"/>
    <row r="971" ht="15.75" customHeight="1" s="149"/>
    <row r="972" ht="15.75" customHeight="1" s="149"/>
    <row r="973" ht="15.75" customHeight="1" s="149"/>
    <row r="974" ht="15.75" customHeight="1" s="149"/>
    <row r="975" ht="15.75" customHeight="1" s="149"/>
    <row r="976" ht="15.75" customHeight="1" s="149"/>
    <row r="977" ht="15.75" customHeight="1" s="149"/>
    <row r="978" ht="15.75" customHeight="1" s="149"/>
    <row r="979" ht="15.75" customHeight="1" s="149"/>
    <row r="980" ht="15.75" customHeight="1" s="149"/>
    <row r="981" ht="15.75" customHeight="1" s="149"/>
    <row r="982" ht="15.75" customHeight="1" s="149"/>
    <row r="983" ht="15.75" customHeight="1" s="149"/>
    <row r="984" ht="15.75" customHeight="1" s="149"/>
    <row r="985" ht="15.75" customHeight="1" s="149"/>
    <row r="986" ht="15.75" customHeight="1" s="149"/>
    <row r="987" ht="15.75" customHeight="1" s="149"/>
    <row r="988" ht="15.75" customHeight="1" s="149"/>
    <row r="989" ht="15.75" customHeight="1" s="149"/>
    <row r="990" ht="15.75" customHeight="1" s="149"/>
    <row r="991" ht="15.75" customHeight="1" s="149"/>
    <row r="992" ht="15.75" customHeight="1" s="149"/>
    <row r="993" ht="15.75" customHeight="1" s="149"/>
    <row r="994" ht="15.75" customHeight="1" s="149"/>
    <row r="995" ht="15.75" customHeight="1" s="149"/>
    <row r="996" ht="15.75" customHeight="1" s="149"/>
    <row r="997" ht="15.75" customHeight="1" s="149"/>
    <row r="998" ht="15.75" customHeight="1" s="149"/>
    <row r="999" ht="15.75" customHeight="1" s="149"/>
    <row r="1000" ht="15.75" customHeight="1" s="149"/>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2026-10-15T07:21:23Z</dcterms:created>
  <dcterms:modified xmlns:dcterms="http://purl.org/dc/terms/" xmlns:xsi="http://www.w3.org/2001/XMLSchema-instance" xsi:type="dcterms:W3CDTF">2026-10-15T07:21:53Z</dcterms:modified>
</cp:coreProperties>
</file>