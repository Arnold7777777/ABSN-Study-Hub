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color theme="1"/>
      <sz val="11"/>
    </font>
    <font>
      <name val="Arial"/>
      <color rgb="FF1155CC"/>
      <sz val="11"/>
      <u val="single"/>
    </font>
    <font>
      <name val="Arial"/>
      <b val="1"/>
      <color rgb="FFFFFFFF"/>
      <sz val="11"/>
      <u val="single"/>
    </font>
    <font>
      <name val="Arial"/>
      <b val="1"/>
      <color rgb="FFFFFFFF"/>
      <sz val="11"/>
      <u val="single"/>
    </font>
    <font>
      <name val="Arial"/>
      <b val="1"/>
      <color rgb="FFFFFFFF"/>
      <sz val="14"/>
      <u val="single"/>
    </font>
    <font>
      <name val="Arial"/>
      <i val="1"/>
      <color rgb="FF333333"/>
      <sz val="11"/>
    </font>
    <font>
      <name val="Arial"/>
      <b val="1"/>
      <color rgb="FFFFFFFF"/>
      <sz val="12"/>
      <u val="single"/>
    </font>
    <font>
      <name val="Arial"/>
      <color rgb="FF1155CC"/>
      <sz val="11"/>
      <u val="single"/>
    </font>
    <font>
      <name val="Arial"/>
      <b val="1"/>
      <color rgb="FFFFFFFF"/>
      <sz val="11"/>
    </font>
    <font>
      <name val="Arial"/>
      <color rgb="FFFFFFFF"/>
      <sz val="11"/>
    </font>
    <font>
      <name val="Arial"/>
      <color theme="0"/>
      <sz val="11"/>
    </font>
    <font>
      <name val="Arial"/>
      <b val="1"/>
      <color rgb="FFFFFFFF"/>
      <sz val="11"/>
      <u val="single"/>
    </font>
    <font>
      <name val="Arial"/>
      <b val="1"/>
      <color theme="0"/>
      <sz val="11"/>
      <u val="single"/>
    </font>
    <font>
      <name val="Arial"/>
      <b val="1"/>
      <color rgb="FFFFFFFF"/>
      <sz val="14"/>
      <u val="single"/>
    </font>
    <font>
      <name val="Arial"/>
      <b val="1"/>
      <color rgb="FFFFFFFF"/>
      <sz val="11"/>
      <u val="single"/>
    </font>
    <font>
      <name val="Arial"/>
      <b val="1"/>
      <color theme="0"/>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0B1B36"/>
        <bgColor rgb="FF0B1B36"/>
      </patternFill>
    </fill>
    <fill>
      <patternFill patternType="solid">
        <fgColor rgb="FF111111"/>
        <bgColor rgb="FF111111"/>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EDEDED"/>
        <bgColor rgb="FFEDEDED"/>
      </patternFill>
    </fill>
    <fill>
      <patternFill patternType="solid">
        <fgColor rgb="FF8A6D1F"/>
        <bgColor rgb="FF8A6D1F"/>
      </patternFill>
    </fill>
    <fill>
      <patternFill patternType="solid">
        <fgColor rgb="FF24406B"/>
        <bgColor rgb="FF24406B"/>
      </patternFill>
    </fill>
    <fill>
      <patternFill patternType="solid">
        <fgColor rgb="FF7D6320"/>
        <bgColor rgb="FF7D6320"/>
      </patternFill>
    </fill>
    <fill>
      <patternFill patternType="solid">
        <fgColor rgb="FF1B3057"/>
        <bgColor rgb="FF1B3057"/>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0F2647"/>
        <bgColor rgb="FF0F2647"/>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1" fillId="2"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6" borderId="3" applyAlignment="1" pivotButton="0" quotePrefix="0" xfId="0">
      <alignment horizontal="center" vertical="center"/>
    </xf>
    <xf numFmtId="0" fontId="12" fillId="8" borderId="4"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6" borderId="4" applyAlignment="1" pivotButton="0" quotePrefix="0" xfId="0">
      <alignment horizontal="center" vertical="center"/>
    </xf>
    <xf numFmtId="0" fontId="16" fillId="0" borderId="0" pivotButton="0" quotePrefix="0" xfId="0"/>
    <xf numFmtId="0" fontId="17" fillId="9" borderId="5" applyAlignment="1" pivotButton="0" quotePrefix="0" xfId="0">
      <alignment horizontal="center" vertical="center"/>
    </xf>
    <xf numFmtId="0" fontId="18" fillId="10" borderId="0" applyAlignment="1" pivotButton="0" quotePrefix="0" xfId="0">
      <alignment horizontal="center" vertical="center"/>
    </xf>
    <xf numFmtId="0" fontId="19" fillId="11" borderId="5" applyAlignment="1" pivotButton="0" quotePrefix="0" xfId="0">
      <alignment horizontal="center" vertical="center"/>
    </xf>
    <xf numFmtId="0" fontId="20" fillId="3" borderId="0" applyAlignment="1" pivotButton="0" quotePrefix="0" xfId="0">
      <alignment horizontal="left" vertical="center"/>
    </xf>
    <xf numFmtId="0" fontId="21" fillId="0" borderId="6" applyAlignment="1" pivotButton="0" quotePrefix="0" xfId="0">
      <alignment vertical="center" wrapText="1"/>
    </xf>
    <xf numFmtId="0" fontId="22" fillId="11" borderId="0" applyAlignment="1" pivotButton="0" quotePrefix="0" xfId="0">
      <alignment horizontal="left" vertical="center"/>
    </xf>
    <xf numFmtId="0" fontId="3" fillId="0" borderId="7" pivotButton="0" quotePrefix="0" xfId="0"/>
    <xf numFmtId="0" fontId="16" fillId="11" borderId="0" pivotButton="0" quotePrefix="0" xfId="0"/>
    <xf numFmtId="0" fontId="23" fillId="9" borderId="0" applyAlignment="1" pivotButton="0" quotePrefix="0" xfId="0">
      <alignment horizontal="center" vertical="center"/>
    </xf>
    <xf numFmtId="0" fontId="3" fillId="0" borderId="8" pivotButton="0" quotePrefix="0" xfId="0"/>
    <xf numFmtId="0" fontId="24" fillId="2" borderId="4" applyAlignment="1" pivotButton="0" quotePrefix="0" xfId="0">
      <alignment horizontal="center" vertical="center"/>
    </xf>
    <xf numFmtId="0" fontId="24" fillId="2"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left" vertical="center" wrapText="1"/>
    </xf>
    <xf numFmtId="0" fontId="26" fillId="11" borderId="4" applyAlignment="1" pivotButton="0" quotePrefix="0" xfId="0">
      <alignment horizontal="center" vertical="center"/>
    </xf>
    <xf numFmtId="0" fontId="26" fillId="11" borderId="4" applyAlignment="1" pivotButton="0" quotePrefix="0" xfId="0">
      <alignment horizontal="left" vertical="center"/>
    </xf>
    <xf numFmtId="0" fontId="25" fillId="11" borderId="4" applyAlignment="1" pivotButton="0" quotePrefix="0" xfId="0">
      <alignment horizontal="center" vertical="center"/>
    </xf>
    <xf numFmtId="0" fontId="27" fillId="12" borderId="4" applyAlignment="1" pivotButton="0" quotePrefix="0" xfId="0">
      <alignment horizontal="left" vertical="center"/>
    </xf>
    <xf numFmtId="0" fontId="25" fillId="12" borderId="4" applyAlignment="1" pivotButton="0" quotePrefix="0" xfId="0">
      <alignment vertical="center" wrapText="1"/>
    </xf>
    <xf numFmtId="0" fontId="25" fillId="11" borderId="4" applyAlignment="1" pivotButton="0" quotePrefix="0" xfId="0">
      <alignment horizontal="left" vertical="center"/>
    </xf>
    <xf numFmtId="0" fontId="28" fillId="13" borderId="4" applyAlignment="1" pivotButton="0" quotePrefix="0" xfId="0">
      <alignment horizontal="left" vertical="center"/>
    </xf>
    <xf numFmtId="0" fontId="25" fillId="14" borderId="4" applyAlignment="1" pivotButton="0" quotePrefix="0" xfId="0">
      <alignment horizontal="center" vertical="center"/>
    </xf>
    <xf numFmtId="0" fontId="26" fillId="13" borderId="4" applyAlignment="1" pivotButton="0" quotePrefix="0" xfId="0">
      <alignment horizontal="left" vertical="center"/>
    </xf>
    <xf numFmtId="0" fontId="25" fillId="14" borderId="4" applyAlignment="1" pivotButton="0" quotePrefix="0" xfId="0">
      <alignment horizontal="left" vertical="center"/>
    </xf>
    <xf numFmtId="0" fontId="29" fillId="15" borderId="0" applyAlignment="1" pivotButton="0" quotePrefix="0" xfId="0">
      <alignment horizontal="left" vertical="center"/>
    </xf>
    <xf numFmtId="0" fontId="30" fillId="14" borderId="4" applyAlignment="1" pivotButton="0" quotePrefix="0" xfId="0">
      <alignment horizontal="left" vertical="center"/>
    </xf>
    <xf numFmtId="0" fontId="31" fillId="11" borderId="4" applyAlignment="1" pivotButton="0" quotePrefix="0" xfId="0">
      <alignment horizontal="left" vertical="center"/>
    </xf>
    <xf numFmtId="0" fontId="32" fillId="11" borderId="4" applyAlignment="1" pivotButton="0" quotePrefix="0" xfId="0">
      <alignment horizontal="left" vertical="center"/>
    </xf>
    <xf numFmtId="0" fontId="25" fillId="14" borderId="4" applyAlignment="1" pivotButton="0" quotePrefix="0" xfId="0">
      <alignment vertical="center" wrapText="1"/>
    </xf>
    <xf numFmtId="0" fontId="33" fillId="16" borderId="0" applyAlignment="1" pivotButton="0" quotePrefix="0" xfId="0">
      <alignment horizontal="left" vertical="center"/>
    </xf>
    <xf numFmtId="0" fontId="25" fillId="13" borderId="4" applyAlignment="1" pivotButton="0" quotePrefix="0" xfId="0">
      <alignment horizontal="center" vertical="center"/>
    </xf>
    <xf numFmtId="0" fontId="16" fillId="16" borderId="0" pivotButton="0" quotePrefix="0" xfId="0"/>
    <xf numFmtId="0" fontId="25" fillId="13" borderId="4" applyAlignment="1" pivotButton="0" quotePrefix="0" xfId="0">
      <alignment horizontal="left" vertical="center"/>
    </xf>
    <xf numFmtId="0" fontId="25" fillId="14" borderId="4" applyAlignment="1" pivotButton="0" quotePrefix="0" xfId="0">
      <alignment horizontal="left" vertical="center" wrapText="1"/>
    </xf>
    <xf numFmtId="0" fontId="34" fillId="13" borderId="4" applyAlignment="1" pivotButton="0" quotePrefix="0" xfId="0">
      <alignment horizontal="left" vertical="center"/>
    </xf>
    <xf numFmtId="0" fontId="24" fillId="11" borderId="4" applyAlignment="1" pivotButton="0" quotePrefix="0" xfId="0">
      <alignment horizontal="left" vertical="center"/>
    </xf>
    <xf numFmtId="0" fontId="25" fillId="17" borderId="4" applyAlignment="1" pivotButton="0" quotePrefix="0" xfId="0">
      <alignment horizontal="center" vertical="center"/>
    </xf>
    <xf numFmtId="0" fontId="25" fillId="17" borderId="4" applyAlignment="1" pivotButton="0" quotePrefix="0" xfId="0">
      <alignment horizontal="left" vertical="center"/>
    </xf>
    <xf numFmtId="0" fontId="35" fillId="18" borderId="0" applyAlignment="1" pivotButton="0" quotePrefix="0" xfId="0">
      <alignment horizontal="left" vertical="center"/>
    </xf>
    <xf numFmtId="0" fontId="36" fillId="19" borderId="0" applyAlignment="1" pivotButton="0" quotePrefix="0" xfId="0">
      <alignment horizontal="left" vertical="center"/>
    </xf>
    <xf numFmtId="0" fontId="16" fillId="19" borderId="0" pivotButton="0" quotePrefix="0" xfId="0"/>
    <xf numFmtId="0" fontId="24" fillId="13" borderId="4" applyAlignment="1" pivotButton="0" quotePrefix="0" xfId="0">
      <alignment horizontal="left" vertical="center"/>
    </xf>
    <xf numFmtId="0" fontId="25" fillId="20" borderId="4" applyAlignment="1" pivotButton="0" quotePrefix="0" xfId="0">
      <alignment horizontal="left" vertical="center"/>
    </xf>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41" fillId="19" borderId="4" applyAlignment="1" pivotButton="0" quotePrefix="0" xfId="0">
      <alignment horizontal="left" vertical="center"/>
    </xf>
    <xf numFmtId="0" fontId="25" fillId="19" borderId="4" applyAlignment="1" pivotButton="0" quotePrefix="0" xfId="0">
      <alignment horizontal="left" vertical="center"/>
    </xf>
    <xf numFmtId="0" fontId="26" fillId="0" borderId="0" pivotButton="0" quotePrefix="0" xfId="0"/>
    <xf numFmtId="0" fontId="42" fillId="11" borderId="0" applyAlignment="1" pivotButton="0" quotePrefix="0" xfId="0">
      <alignment horizontal="center" vertical="center"/>
    </xf>
    <xf numFmtId="0" fontId="24" fillId="3" borderId="4" applyAlignment="1" pivotButton="0" quotePrefix="0" xfId="0">
      <alignment horizontal="center" vertical="center" wrapText="1"/>
    </xf>
    <xf numFmtId="0" fontId="43" fillId="3" borderId="4" applyAlignment="1" pivotButton="0" quotePrefix="0" xfId="0">
      <alignment horizontal="center" vertical="center" wrapText="1"/>
    </xf>
    <xf numFmtId="0" fontId="44" fillId="13" borderId="4" applyAlignment="1" pivotButton="0" quotePrefix="0" xfId="0">
      <alignment horizontal="left" vertical="center"/>
    </xf>
    <xf numFmtId="0" fontId="45" fillId="11" borderId="4" applyAlignment="1" pivotButton="0" quotePrefix="0" xfId="0">
      <alignment horizontal="left" vertical="center"/>
    </xf>
    <xf numFmtId="0" fontId="26" fillId="20" borderId="4" applyAlignment="1" pivotButton="0" quotePrefix="0" xfId="0">
      <alignment horizontal="left" vertical="center"/>
    </xf>
    <xf numFmtId="0" fontId="46" fillId="0" borderId="0" pivotButton="0" quotePrefix="0" xfId="0"/>
    <xf numFmtId="0" fontId="47" fillId="0" borderId="0" pivotButton="0" quotePrefix="0" xfId="0"/>
    <xf numFmtId="0" fontId="1" fillId="15" borderId="1" applyAlignment="1" pivotButton="0" quotePrefix="0" xfId="0">
      <alignment horizontal="left" vertical="center"/>
    </xf>
    <xf numFmtId="0" fontId="24" fillId="15" borderId="4" applyAlignment="1" pivotButton="0" quotePrefix="0" xfId="0">
      <alignment horizontal="center"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48" fillId="16"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6" borderId="4" applyAlignment="1" pivotButton="0" quotePrefix="0" xfId="0">
      <alignment vertical="center" wrapText="1"/>
    </xf>
    <xf numFmtId="0" fontId="50" fillId="16"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1" fillId="18" borderId="1" applyAlignment="1" pivotButton="0" quotePrefix="0" xfId="0">
      <alignment horizontal="left" vertical="center"/>
    </xf>
    <xf numFmtId="0" fontId="52" fillId="9" borderId="5" applyAlignment="1" pivotButton="0" quotePrefix="0" xfId="0">
      <alignment horizontal="center" vertical="center"/>
    </xf>
    <xf numFmtId="0" fontId="53"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55" fillId="24" borderId="0" applyAlignment="1" pivotButton="0" quotePrefix="0" xfId="0">
      <alignment horizontal="center"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56" fillId="0" borderId="0" pivotButton="0" quotePrefix="0" xfId="0"/>
    <xf numFmtId="0" fontId="24" fillId="24" borderId="4" applyAlignment="1" pivotButton="0" quotePrefix="0" xfId="0">
      <alignment horizontal="left" vertical="center"/>
    </xf>
    <xf numFmtId="0" fontId="57" fillId="19" borderId="4" applyAlignment="1" pivotButton="0" quotePrefix="0" xfId="0">
      <alignment horizontal="left" vertical="center"/>
    </xf>
    <xf numFmtId="0" fontId="25" fillId="25" borderId="0" pivotButton="0" quotePrefix="0" xfId="0"/>
    <xf numFmtId="0" fontId="58" fillId="9" borderId="5" applyAlignment="1" pivotButton="0" quotePrefix="0" xfId="0">
      <alignment horizontal="center" vertical="center"/>
    </xf>
    <xf numFmtId="0" fontId="24" fillId="22" borderId="0" applyAlignment="1" pivotButton="0" quotePrefix="0" xfId="0">
      <alignment horizontal="center" vertical="center"/>
    </xf>
    <xf numFmtId="0" fontId="58" fillId="9" borderId="0" applyAlignment="1" pivotButton="0" quotePrefix="0" xfId="0">
      <alignment horizontal="center" vertical="center"/>
    </xf>
    <xf numFmtId="0" fontId="25" fillId="16" borderId="4" applyAlignment="1" pivotButton="0" quotePrefix="0" xfId="0">
      <alignment horizontal="left" vertical="center" wrapText="1"/>
    </xf>
    <xf numFmtId="0" fontId="59" fillId="16"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21"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outlineLevelCol="0"/>
  <cols>
    <col width="26" customWidth="1" style="115" min="1" max="1"/>
    <col width="22" customWidth="1" style="115" min="2" max="5"/>
    <col width="8.710000000000001" customWidth="1" style="115" min="6" max="6"/>
  </cols>
  <sheetData>
    <row r="1">
      <c r="A1" s="2" t="inlineStr">
        <is>
          <t>NUR LECTURE LIBRARY</t>
        </is>
      </c>
      <c r="F1" s="5" t="n"/>
      <c r="G1" s="5" t="n"/>
    </row>
    <row r="2">
      <c r="A2" s="6" t="inlineStr">
        <is>
          <t>Click a class below → then use the sub-tabs at the top of each sheet.</t>
        </is>
      </c>
      <c r="F2" s="5" t="n"/>
      <c r="G2" s="5" t="n"/>
    </row>
    <row r="3">
      <c r="A3" s="8" t="inlineStr">
        <is>
          <t>NUR234</t>
        </is>
      </c>
      <c r="B3" s="11" t="inlineStr">
        <is>
          <t>NUR235</t>
        </is>
      </c>
      <c r="C3" s="13" t="inlineStr">
        <is>
          <t>NUR258</t>
        </is>
      </c>
      <c r="D3" s="14" t="inlineStr">
        <is>
          <t>🏠 START HERE</t>
        </is>
      </c>
      <c r="E3" s="15" t="inlineStr">
        <is>
          <t>📥 Sort me</t>
        </is>
      </c>
      <c r="F3" s="5" t="n"/>
      <c r="G3" s="5" t="n"/>
    </row>
    <row r="4">
      <c r="A4" s="17" t="n"/>
      <c r="B4" s="17" t="n"/>
      <c r="C4" s="17" t="n"/>
      <c r="D4" s="17" t="n"/>
      <c r="E4" s="17" t="n"/>
      <c r="F4" s="5" t="n"/>
      <c r="G4" s="5" t="n"/>
    </row>
    <row r="5">
      <c r="A5" s="21" t="inlineStr">
        <is>
          <t>NUR234</t>
        </is>
      </c>
      <c r="F5" s="5" t="n"/>
      <c r="G5" s="5" t="n"/>
    </row>
    <row r="6">
      <c r="A6" s="23" t="inlineStr">
        <is>
          <t>→  Kaiser</t>
        </is>
      </c>
      <c r="B6" s="25" t="n"/>
      <c r="C6" s="25" t="n"/>
      <c r="D6" s="25" t="n"/>
      <c r="E6" s="25" t="n"/>
      <c r="F6" s="5" t="n"/>
      <c r="G6" s="5" t="n"/>
    </row>
    <row r="7">
      <c r="A7" s="23" t="inlineStr">
        <is>
          <t>→  Buhler</t>
        </is>
      </c>
      <c r="B7" s="25" t="n"/>
      <c r="C7" s="25" t="n"/>
      <c r="D7" s="25" t="n"/>
      <c r="E7" s="25" t="n"/>
      <c r="F7" s="5" t="n"/>
      <c r="G7" s="5" t="n"/>
    </row>
    <row r="8">
      <c r="A8" s="23" t="inlineStr">
        <is>
          <t>→  Glesner</t>
        </is>
      </c>
      <c r="B8" s="25" t="n"/>
      <c r="C8" s="25" t="n"/>
      <c r="D8" s="25" t="n"/>
      <c r="E8" s="25" t="n"/>
      <c r="F8" s="5" t="n"/>
      <c r="G8" s="5" t="n"/>
    </row>
    <row r="9">
      <c r="A9" s="23" t="inlineStr">
        <is>
          <t>→  Exam Reviews</t>
        </is>
      </c>
      <c r="B9" s="25" t="n"/>
      <c r="C9" s="25" t="n"/>
      <c r="D9" s="25" t="n"/>
      <c r="E9" s="25" t="n"/>
      <c r="F9" s="5" t="n"/>
      <c r="G9" s="5" t="n"/>
    </row>
    <row r="10">
      <c r="A10" s="23">
        <f>HYPERLINK('START HERE'!$B$36,"→  Zoom Backup")</f>
        <v/>
      </c>
      <c r="B10" s="25" t="n"/>
      <c r="C10" s="25" t="n"/>
      <c r="D10" s="25" t="n"/>
      <c r="E10" s="25" t="n"/>
      <c r="F10" s="5" t="n"/>
      <c r="G10" s="5" t="n"/>
    </row>
    <row r="11">
      <c r="A11" s="23" t="inlineStr">
        <is>
          <t>→  Review videos</t>
        </is>
      </c>
      <c r="B11" s="25" t="n"/>
      <c r="C11" s="25" t="n"/>
      <c r="D11" s="25" t="n"/>
      <c r="E11" s="25" t="n"/>
      <c r="F11" s="5" t="n"/>
      <c r="G11" s="5" t="n"/>
    </row>
    <row r="12">
      <c r="A12" s="45" t="inlineStr">
        <is>
          <t>NUR235</t>
        </is>
      </c>
      <c r="F12" s="5" t="n"/>
      <c r="G12" s="5" t="n"/>
    </row>
    <row r="13">
      <c r="A13" s="50" t="inlineStr">
        <is>
          <t>→  Fadell</t>
        </is>
      </c>
      <c r="B13" s="52" t="n"/>
      <c r="C13" s="52" t="n"/>
      <c r="D13" s="52" t="n"/>
      <c r="E13" s="52" t="n"/>
      <c r="F13" s="5" t="n"/>
      <c r="G13" s="5" t="n"/>
    </row>
    <row r="14">
      <c r="A14" s="50" t="inlineStr">
        <is>
          <t>→  Fuller</t>
        </is>
      </c>
      <c r="B14" s="52" t="n"/>
      <c r="C14" s="52" t="n"/>
      <c r="D14" s="52" t="n"/>
      <c r="E14" s="52" t="n"/>
      <c r="F14" s="5" t="n"/>
      <c r="G14" s="5" t="n"/>
    </row>
    <row r="15">
      <c r="A15" s="50" t="inlineStr">
        <is>
          <t>→  Exam Reviews</t>
        </is>
      </c>
      <c r="B15" s="52" t="n"/>
      <c r="C15" s="52" t="n"/>
      <c r="D15" s="52" t="n"/>
      <c r="E15" s="52" t="n"/>
      <c r="F15" s="5" t="n"/>
      <c r="G15" s="5" t="n"/>
    </row>
    <row r="16">
      <c r="A16" s="50">
        <f>HYPERLINK('START HERE'!$B$36,"→  Zoom Backup")</f>
        <v/>
      </c>
      <c r="B16" s="52" t="n"/>
      <c r="C16" s="52" t="n"/>
      <c r="D16" s="52" t="n"/>
      <c r="E16" s="52" t="n"/>
      <c r="F16" s="5" t="n"/>
      <c r="G16" s="5" t="n"/>
    </row>
    <row r="17">
      <c r="A17" s="50" t="inlineStr">
        <is>
          <t>→  Review videos</t>
        </is>
      </c>
      <c r="B17" s="52" t="n"/>
      <c r="C17" s="52" t="n"/>
      <c r="D17" s="52" t="n"/>
      <c r="E17" s="52" t="n"/>
      <c r="F17" s="5" t="n"/>
      <c r="G17" s="5" t="n"/>
    </row>
    <row r="18">
      <c r="A18" s="59" t="inlineStr">
        <is>
          <t>NUR258</t>
        </is>
      </c>
      <c r="F18" s="5" t="n"/>
      <c r="G18" s="5" t="n"/>
    </row>
    <row r="19">
      <c r="A19" s="60" t="inlineStr">
        <is>
          <t>→  Halecka</t>
        </is>
      </c>
      <c r="B19" s="61" t="n"/>
      <c r="C19" s="61" t="n"/>
      <c r="D19" s="61" t="n"/>
      <c r="E19" s="61" t="n"/>
      <c r="F19" s="5" t="n"/>
      <c r="G19" s="5" t="n"/>
    </row>
    <row r="20" ht="15.75" customHeight="1" s="115">
      <c r="A20" s="60" t="inlineStr">
        <is>
          <t>→  Wagner</t>
        </is>
      </c>
      <c r="B20" s="61" t="n"/>
      <c r="C20" s="61" t="n"/>
      <c r="D20" s="61" t="n"/>
      <c r="E20" s="61" t="n"/>
      <c r="F20" s="5" t="n"/>
      <c r="G20" s="5" t="n"/>
    </row>
    <row r="21" ht="15.75" customHeight="1" s="115">
      <c r="A21" s="60" t="inlineStr">
        <is>
          <t>→  Simmons</t>
        </is>
      </c>
      <c r="B21" s="61" t="n"/>
      <c r="C21" s="61" t="n"/>
      <c r="D21" s="61" t="n"/>
      <c r="E21" s="61" t="n"/>
      <c r="F21" s="5" t="n"/>
      <c r="G21" s="5" t="n"/>
    </row>
    <row r="22" ht="15.75" customHeight="1" s="115">
      <c r="A22" s="60" t="inlineStr">
        <is>
          <t>→  Exam Reviews</t>
        </is>
      </c>
      <c r="B22" s="61" t="n"/>
      <c r="C22" s="61" t="n"/>
      <c r="D22" s="61" t="n"/>
      <c r="E22" s="61" t="n"/>
      <c r="F22" s="5" t="n"/>
      <c r="G22" s="5" t="n"/>
    </row>
    <row r="23" ht="15.75" customHeight="1" s="115">
      <c r="A23" s="60">
        <f>HYPERLINK('START HERE'!$B$36,"→  Zoom Backup")</f>
        <v/>
      </c>
      <c r="B23" s="61" t="n"/>
      <c r="C23" s="61" t="n"/>
      <c r="D23" s="61" t="n"/>
      <c r="E23" s="61" t="n"/>
      <c r="F23" s="5" t="n"/>
      <c r="G23" s="5" t="n"/>
    </row>
    <row r="24" ht="15.75" customHeight="1" s="115">
      <c r="A24" s="60" t="inlineStr">
        <is>
          <t>→  Review videos</t>
        </is>
      </c>
      <c r="B24" s="61" t="n"/>
      <c r="C24" s="61" t="n"/>
      <c r="D24" s="61" t="n"/>
      <c r="E24" s="61" t="n"/>
      <c r="F24" s="5" t="n"/>
      <c r="G24" s="5" t="n"/>
    </row>
    <row r="25" ht="15.75" customHeight="1" s="115">
      <c r="A25" s="64" t="inlineStr">
        <is>
          <t>HOW TO USE IT</t>
        </is>
      </c>
      <c r="F25" s="5" t="n"/>
      <c r="G25" s="5" t="n"/>
    </row>
    <row r="26" ht="15.75" customHeight="1" s="115">
      <c r="A26" s="65" t="inlineStr">
        <is>
          <t>•  Every recording links straight to the video in your Google Drive - no passwords needed.</t>
        </is>
      </c>
      <c r="F26" s="5" t="n"/>
      <c r="G26" s="5" t="n"/>
    </row>
    <row r="27" ht="15.75" customHeight="1" s="115">
      <c r="A27" s="65" t="inlineStr">
        <is>
          <t>•  Each lecturer has their own sub-tab. The Lecturer column repeats it row by row.</t>
        </is>
      </c>
      <c r="F27" s="5" t="n"/>
      <c r="G27" s="5" t="n"/>
    </row>
    <row r="28" ht="15.75" customHeight="1" s="115">
      <c r="A28" s="65"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5" t="inlineStr">
        <is>
          <t>•  Use the My notes column however you like - mark what you have watched, jot reminders.</t>
        </is>
      </c>
      <c r="F29" s="5" t="n"/>
      <c r="G29" s="5" t="n"/>
    </row>
    <row r="30" ht="15.75" customHeight="1" s="115">
      <c r="A30" s="65" t="inlineStr">
        <is>
          <t>•  Empty dark rows are already set up for the rest of the semester - just type in them.</t>
        </is>
      </c>
      <c r="F30" s="5" t="n"/>
      <c r="G30" s="5" t="n"/>
    </row>
    <row r="31" ht="15.75" customHeight="1" s="115">
      <c r="A31" s="65" t="inlineStr">
        <is>
          <t>•  To add a recording: right-click the cell -&gt; Link -&gt; paste the Drive URL.</t>
        </is>
      </c>
      <c r="F31" s="5" t="n"/>
      <c r="G31" s="5" t="n"/>
    </row>
    <row r="32" ht="15.75" customHeight="1" s="115">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7" t="n"/>
      <c r="F33" s="5" t="n"/>
      <c r="G33" s="5" t="n"/>
    </row>
    <row r="34" ht="15.75" customHeight="1" s="115">
      <c r="A34" s="66"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7" t="n"/>
      <c r="B35" s="17" t="n"/>
      <c r="C35" s="17" t="n"/>
      <c r="D35" s="17" t="n"/>
      <c r="E35" s="17" t="n"/>
      <c r="F35" s="5" t="n"/>
      <c r="G35" s="5" t="n"/>
    </row>
    <row r="36" ht="15.75" customHeight="1" s="115">
      <c r="A36" s="67" t="inlineStr">
        <is>
          <t>Zoom backups link → paste it into B36 and every "Zoom" button works again:</t>
        </is>
      </c>
      <c r="B36" s="68" t="n"/>
      <c r="C36" s="17" t="n"/>
      <c r="D36" s="17" t="n"/>
      <c r="E36" s="17" t="n"/>
      <c r="F36" s="5" t="n"/>
      <c r="G36" s="5" t="n"/>
    </row>
    <row r="37" ht="15.75" customHeight="1" s="115">
      <c r="A37" s="17" t="n"/>
      <c r="B37" s="17" t="n"/>
      <c r="C37" s="17" t="n"/>
      <c r="D37" s="17" t="n"/>
      <c r="E37" s="17" t="n"/>
      <c r="F37" s="5" t="n"/>
      <c r="G37" s="5" t="n"/>
    </row>
    <row r="38" ht="15.75" customHeight="1" s="115">
      <c r="A38" s="17" t="n"/>
      <c r="B38" s="17" t="n"/>
      <c r="C38" s="17" t="n"/>
      <c r="D38" s="17" t="n"/>
      <c r="E38" s="17" t="n"/>
      <c r="F38" s="5" t="n"/>
      <c r="G38" s="5" t="n"/>
    </row>
    <row r="39" ht="15.75" customHeight="1" s="115">
      <c r="A39" s="17" t="n"/>
      <c r="B39" s="17" t="n"/>
      <c r="C39" s="17" t="n"/>
      <c r="D39" s="17" t="n"/>
      <c r="E39" s="17" t="n"/>
      <c r="F39" s="5" t="n"/>
      <c r="G39" s="5" t="n"/>
    </row>
    <row r="40" ht="15.75" customHeight="1" s="115">
      <c r="A40" s="17" t="n"/>
      <c r="B40" s="17" t="n"/>
      <c r="C40" s="17" t="n"/>
      <c r="D40" s="17" t="n"/>
      <c r="E40" s="17" t="n"/>
      <c r="F40" s="5" t="n"/>
      <c r="G40" s="5" t="n"/>
    </row>
    <row r="41" ht="15.75" customHeight="1" s="115">
      <c r="A41" s="17" t="n"/>
      <c r="B41" s="17" t="n"/>
      <c r="C41" s="17" t="n"/>
      <c r="D41" s="17" t="n"/>
      <c r="E41" s="17" t="n"/>
      <c r="F41" s="5" t="n"/>
      <c r="G41" s="5" t="n"/>
    </row>
    <row r="42" ht="15.75" customHeight="1" s="115">
      <c r="A42" s="17" t="n"/>
      <c r="B42" s="17" t="n"/>
      <c r="C42" s="17" t="n"/>
      <c r="D42" s="17" t="n"/>
      <c r="E42" s="17" t="n"/>
      <c r="F42" s="5" t="n"/>
      <c r="G42" s="5" t="n"/>
    </row>
    <row r="43" ht="15.75" customHeight="1" s="115">
      <c r="A43" s="17" t="n"/>
      <c r="B43" s="17" t="n"/>
      <c r="C43" s="17" t="n"/>
      <c r="D43" s="17" t="n"/>
      <c r="E43" s="17"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3" t="inlineStr">
        <is>
          <t>NEW RECORDINGS  ·  sort me</t>
        </is>
      </c>
    </row>
    <row r="2">
      <c r="A2" s="9" t="inlineStr">
        <is>
          <t>NUR234</t>
        </is>
      </c>
      <c r="B2" s="9" t="inlineStr">
        <is>
          <t>NUR235</t>
        </is>
      </c>
      <c r="C2" s="9" t="inlineStr">
        <is>
          <t>NUR258</t>
        </is>
      </c>
      <c r="D2" s="16" t="inlineStr">
        <is>
          <t>🏠 START HERE</t>
        </is>
      </c>
      <c r="E2" s="19" t="inlineStr">
        <is>
          <t>📥 Sort me</t>
        </is>
      </c>
      <c r="F2" s="17" t="n"/>
      <c r="G2" s="17"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n"/>
      <c r="B6" s="30" t="n"/>
      <c r="C6" s="31" t="n"/>
      <c r="D6" s="31" t="n"/>
      <c r="E6" s="32" t="n"/>
      <c r="F6" s="31" t="n"/>
      <c r="G6" s="34" t="n"/>
    </row>
    <row r="7">
      <c r="A7" s="30" t="n"/>
      <c r="B7" s="30" t="n"/>
      <c r="C7" s="31" t="n"/>
      <c r="D7" s="31" t="n"/>
      <c r="E7" s="32" t="n"/>
      <c r="F7" s="31" t="n"/>
      <c r="G7" s="34" t="n"/>
    </row>
    <row r="8">
      <c r="A8" s="30" t="n"/>
      <c r="B8" s="30" t="n"/>
      <c r="C8" s="31" t="n"/>
      <c r="D8" s="31" t="n"/>
      <c r="E8" s="32" t="n"/>
      <c r="F8" s="31" t="n"/>
      <c r="G8" s="34" t="n"/>
    </row>
    <row r="9">
      <c r="A9" s="30" t="n"/>
      <c r="B9" s="30" t="n"/>
      <c r="C9" s="31" t="n"/>
      <c r="D9" s="31" t="n"/>
      <c r="E9" s="38" t="n"/>
      <c r="F9" s="31" t="n"/>
      <c r="G9" s="39" t="n"/>
    </row>
    <row r="10">
      <c r="A10" s="42" t="n"/>
      <c r="B10" s="42" t="n"/>
      <c r="C10" s="44" t="n"/>
      <c r="D10" s="44" t="n"/>
      <c r="E10" s="46" t="n"/>
      <c r="F10" s="44" t="n"/>
      <c r="G10" s="49" t="n"/>
    </row>
    <row r="11">
      <c r="A11" s="30" t="n"/>
      <c r="B11" s="30" t="n"/>
      <c r="C11" s="31" t="n"/>
      <c r="D11" s="31" t="n"/>
      <c r="E11" s="38" t="n"/>
      <c r="F11" s="31" t="n"/>
      <c r="G11" s="34" t="n"/>
    </row>
    <row r="12">
      <c r="A12" s="42" t="n"/>
      <c r="B12" s="42" t="n"/>
      <c r="C12" s="44" t="n"/>
      <c r="D12" s="44" t="n"/>
      <c r="E12" s="46" t="n"/>
      <c r="F12" s="44" t="n"/>
      <c r="G12" s="54" t="n"/>
    </row>
    <row r="13">
      <c r="A13" s="30" t="n"/>
      <c r="B13" s="30" t="n"/>
      <c r="C13" s="31" t="n"/>
      <c r="D13" s="31" t="n"/>
      <c r="E13" s="32" t="n"/>
      <c r="F13" s="31" t="n"/>
      <c r="G13" s="34" t="n"/>
    </row>
    <row r="14">
      <c r="A14" s="57" t="n"/>
      <c r="B14" s="57" t="n"/>
      <c r="C14" s="58" t="n"/>
      <c r="D14" s="58" t="n"/>
      <c r="E14" s="58" t="n"/>
      <c r="F14" s="58" t="n"/>
      <c r="G14" s="58" t="n"/>
    </row>
    <row r="15">
      <c r="A15" s="57" t="n"/>
      <c r="B15" s="57" t="n"/>
      <c r="C15" s="58" t="n"/>
      <c r="D15" s="58" t="n"/>
      <c r="E15" s="58" t="n"/>
      <c r="F15" s="58" t="n"/>
      <c r="G15" s="58" t="n"/>
    </row>
    <row r="16">
      <c r="A16" s="57" t="n"/>
      <c r="B16" s="57" t="n"/>
      <c r="C16" s="58" t="n"/>
      <c r="D16" s="58" t="n"/>
      <c r="E16" s="58" t="n"/>
      <c r="F16" s="58" t="n"/>
      <c r="G16" s="58" t="n"/>
    </row>
    <row r="17">
      <c r="A17" s="57" t="n"/>
      <c r="B17" s="57" t="n"/>
      <c r="C17" s="58" t="n"/>
      <c r="D17" s="58" t="n"/>
      <c r="E17" s="58" t="n"/>
      <c r="F17" s="58" t="n"/>
      <c r="G17" s="58"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Kaiser</t>
        </is>
      </c>
    </row>
    <row r="2">
      <c r="A2" s="7" t="inlineStr">
        <is>
          <t>NUR234</t>
        </is>
      </c>
      <c r="B2" s="10" t="inlineStr">
        <is>
          <t>NUR235</t>
        </is>
      </c>
      <c r="C2" s="10" t="inlineStr">
        <is>
          <t>NUR258</t>
        </is>
      </c>
      <c r="D2" s="12" t="inlineStr">
        <is>
          <t>🏠 START HERE</t>
        </is>
      </c>
      <c r="E2" s="15" t="inlineStr">
        <is>
          <t>📥 Sort me</t>
        </is>
      </c>
      <c r="F2" s="17" t="n"/>
      <c r="G2" s="17" t="n"/>
    </row>
    <row r="3">
      <c r="A3" s="20" t="inlineStr">
        <is>
          <t>Kaiser</t>
        </is>
      </c>
      <c r="B3" s="18"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7" t="inlineStr">
        <is>
          <t>Module 1</t>
        </is>
      </c>
      <c r="B6" s="37" t="inlineStr">
        <is>
          <t>Day 1</t>
        </is>
      </c>
      <c r="C6" s="40" t="inlineStr">
        <is>
          <t>Spring 2026</t>
        </is>
      </c>
      <c r="D6" s="40" t="inlineStr">
        <is>
          <t>Kaiser</t>
        </is>
      </c>
      <c r="E6" s="47">
        <f>HYPERLINK("https://drive.google.com/open?id=1cFM6BCb3NZQF3oZ4pDuu8clij33-8Z0U&amp;usp=drive_fs","▶  Watch")</f>
        <v/>
      </c>
      <c r="F6" s="40" t="n"/>
      <c r="G6" s="40" t="inlineStr">
        <is>
          <t>Topic: Reproductive Life Planning &amp; Contraception</t>
        </is>
      </c>
    </row>
    <row r="7">
      <c r="A7" s="37" t="inlineStr">
        <is>
          <t>Module 1</t>
        </is>
      </c>
      <c r="B7" s="37" t="inlineStr">
        <is>
          <t>Day 1</t>
        </is>
      </c>
      <c r="C7" s="40" t="inlineStr">
        <is>
          <t>Fall 2026</t>
        </is>
      </c>
      <c r="D7" s="40" t="inlineStr">
        <is>
          <t>Kaiser</t>
        </is>
      </c>
      <c r="E7" s="48">
        <f>HYPERLINK("https://drive.google.com/file/d/1Ojm9nfAxdSOFsLLEmEm5Qj9D5qtjmo6o/view","▶  Watch")</f>
        <v/>
      </c>
      <c r="F7" s="40" t="inlineStr">
        <is>
          <t>NUR234_Fall2026_Kaiser_Wk01_Day1_Lecture.mp4</t>
        </is>
      </c>
      <c r="G7" s="40" t="inlineStr">
        <is>
          <t>Fall 2026 recording, uploaded 23 Sep as "NUR234Wk1Day1_Kaiser.mp4" (254 MB). This row used to repeat the Spring 2026 link.</t>
        </is>
      </c>
    </row>
    <row r="8">
      <c r="A8" s="37" t="inlineStr">
        <is>
          <t>Module 1</t>
        </is>
      </c>
      <c r="B8" s="37" t="inlineStr">
        <is>
          <t>Day 2</t>
        </is>
      </c>
      <c r="C8" s="40" t="inlineStr">
        <is>
          <t>Spring 2026</t>
        </is>
      </c>
      <c r="D8" s="40" t="inlineStr">
        <is>
          <t>Kaiser</t>
        </is>
      </c>
      <c r="E8" s="48">
        <f>HYPERLINK("https://drive.google.com/file/d/1BZlKg-lf2367FCwM5kMaH-zKj9hZ53ff/view","▶  Watch")</f>
        <v/>
      </c>
      <c r="F8" s="40" t="inlineStr">
        <is>
          <t>NUR234 M1d2.mp4</t>
        </is>
      </c>
      <c r="G8" s="40" t="inlineStr">
        <is>
          <t>Topic: Reproductive Life Planning &amp; Contraception</t>
        </is>
      </c>
    </row>
    <row r="9">
      <c r="A9" s="37" t="inlineStr">
        <is>
          <t>Module 1</t>
        </is>
      </c>
      <c r="B9" s="37" t="inlineStr">
        <is>
          <t>Day 2</t>
        </is>
      </c>
      <c r="C9" s="40" t="inlineStr">
        <is>
          <t>Fall 2026</t>
        </is>
      </c>
      <c r="D9" s="40" t="inlineStr">
        <is>
          <t>Kaiser</t>
        </is>
      </c>
      <c r="E9" s="48">
        <f>HYPERLINK("https://drive.google.com/file/d/1BZlKg-lf2367FCwM5kMaH-zKj9hZ53ff/view?usp=drive_link","▶  Watch")</f>
        <v/>
      </c>
      <c r="F9" s="40" t="n"/>
      <c r="G9" s="40" t="inlineStr">
        <is>
          <t>Topic: Reproductive Life Planning &amp; Contraception</t>
        </is>
      </c>
    </row>
    <row r="10">
      <c r="A10" s="51" t="inlineStr">
        <is>
          <t>Module 2</t>
        </is>
      </c>
      <c r="B10" s="51" t="inlineStr">
        <is>
          <t>Day 1</t>
        </is>
      </c>
      <c r="C10" s="40" t="inlineStr">
        <is>
          <t>Spring 2026</t>
        </is>
      </c>
      <c r="D10" s="53" t="inlineStr">
        <is>
          <t>Kaiser</t>
        </is>
      </c>
      <c r="E10" s="55">
        <f>HYPERLINK("https://drive.google.com/file/d/1aCpDDZvcw-_vKduldvfGzF82bcs3P9hY/view","▶  Watch")</f>
        <v/>
      </c>
      <c r="F10" s="53" t="inlineStr">
        <is>
          <t>NUR234 M2d1.mp4</t>
        </is>
      </c>
      <c r="G10" s="53" t="inlineStr">
        <is>
          <t>Topic: Conception, Fetal Development &amp; Placental Function</t>
        </is>
      </c>
    </row>
    <row r="11">
      <c r="A11" s="37" t="inlineStr">
        <is>
          <t>Module 2</t>
        </is>
      </c>
      <c r="B11" s="37" t="inlineStr">
        <is>
          <t>Day 2</t>
        </is>
      </c>
      <c r="C11" s="40" t="inlineStr">
        <is>
          <t>Spring 2026</t>
        </is>
      </c>
      <c r="D11" s="40" t="inlineStr">
        <is>
          <t>Kaiser</t>
        </is>
      </c>
      <c r="E11" s="48">
        <f>HYPERLINK("https://drive.google.com/file/d/1e1xVb3-N2gEFMoK2t1NaL7Qj8NDE9kFD/view","▶  Watch")</f>
        <v/>
      </c>
      <c r="F11" s="40" t="inlineStr">
        <is>
          <t>NUR234 M2D2.mp4</t>
        </is>
      </c>
      <c r="G11" s="40" t="inlineStr">
        <is>
          <t>Topic: Conception, Fetal Development &amp; Placental Function</t>
        </is>
      </c>
    </row>
    <row r="12">
      <c r="A12" s="37" t="inlineStr">
        <is>
          <t>Module 2</t>
        </is>
      </c>
      <c r="B12" s="37" t="inlineStr">
        <is>
          <t>Review session</t>
        </is>
      </c>
      <c r="C12" s="40" t="inlineStr">
        <is>
          <t>Fall 2026</t>
        </is>
      </c>
      <c r="D12" s="40" t="inlineStr">
        <is>
          <t>Kaiser</t>
        </is>
      </c>
      <c r="E12" s="48">
        <f>HYPERLINK("https://drive.google.com/file/d/1GOaFz2XE8d5IlnxGo_qJQu1LQA1wOxHF/view","▶  Watch")</f>
        <v/>
      </c>
      <c r="F12" s="40" t="inlineStr">
        <is>
          <t>NUR234_Fall2026_Kaiser_WkNA_DayNA_Fetal circulation and signs of pregnancy (review session).mp4</t>
        </is>
      </c>
      <c r="G12" s="40"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1" t="inlineStr">
        <is>
          <t>Module 3</t>
        </is>
      </c>
      <c r="B13" s="51" t="inlineStr">
        <is>
          <t>Day 1</t>
        </is>
      </c>
      <c r="C13" s="40" t="inlineStr">
        <is>
          <t>Spring 2026</t>
        </is>
      </c>
      <c r="D13" s="53" t="inlineStr">
        <is>
          <t>Kaiser</t>
        </is>
      </c>
      <c r="E13" s="55">
        <f>HYPERLINK("https://drive.google.com/file/d/1FBsNUnshlh4l-W3rNWVdSjbMPK53UmFM/view","▶  Watch")</f>
        <v/>
      </c>
      <c r="F13" s="53" t="inlineStr">
        <is>
          <t>NUR234 M3D1.mp4</t>
        </is>
      </c>
      <c r="G13" s="53" t="inlineStr">
        <is>
          <t>Topic: Physiologic &amp; Psychological Changes of Pregnancy</t>
        </is>
      </c>
    </row>
    <row r="14">
      <c r="A14" s="37" t="inlineStr">
        <is>
          <t>Module 3</t>
        </is>
      </c>
      <c r="B14" s="37" t="inlineStr">
        <is>
          <t>Day 2</t>
        </is>
      </c>
      <c r="C14" s="40" t="inlineStr">
        <is>
          <t>Spring 2026</t>
        </is>
      </c>
      <c r="D14" s="40" t="inlineStr">
        <is>
          <t>Kaiser</t>
        </is>
      </c>
      <c r="E14" s="48">
        <f>HYPERLINK("https://drive.google.com/file/d/1NN-2j7a6nheCGcHCHqUyBlAbHbGw_m4s/view","▶  Watch")</f>
        <v/>
      </c>
      <c r="F14" s="40" t="inlineStr">
        <is>
          <t>NUR234 M3D2.mp4</t>
        </is>
      </c>
      <c r="G14" s="40" t="inlineStr">
        <is>
          <t>Topic: Physiologic &amp; Psychological Changes of Pregnancy</t>
        </is>
      </c>
    </row>
    <row r="15">
      <c r="A15" s="51" t="inlineStr">
        <is>
          <t>Module 4</t>
        </is>
      </c>
      <c r="B15" s="51" t="inlineStr">
        <is>
          <t>Day 1</t>
        </is>
      </c>
      <c r="C15" s="40" t="inlineStr">
        <is>
          <t>Spring 2026</t>
        </is>
      </c>
      <c r="D15" s="53" t="inlineStr">
        <is>
          <t>Kaiser</t>
        </is>
      </c>
      <c r="E15" s="55">
        <f>HYPERLINK("https://drive.google.com/file/d/1vy0wZ5ijKEG57K1ibHH4ThIhHDTw_rt5/view","▶  Watch")</f>
        <v/>
      </c>
      <c r="F15" s="53" t="inlineStr">
        <is>
          <t>NUR234 M4D1.mp4</t>
        </is>
      </c>
      <c r="G15" s="53" t="inlineStr">
        <is>
          <t>Topic: Prenatal Assessment &amp; Antepartum Fetal Surveillance</t>
        </is>
      </c>
    </row>
    <row r="16">
      <c r="A16" s="37" t="inlineStr">
        <is>
          <t>Module 4</t>
        </is>
      </c>
      <c r="B16" s="37" t="inlineStr">
        <is>
          <t>Day 2</t>
        </is>
      </c>
      <c r="C16" s="40" t="inlineStr">
        <is>
          <t>Spring 2026</t>
        </is>
      </c>
      <c r="D16" s="40" t="inlineStr">
        <is>
          <t>Kaiser</t>
        </is>
      </c>
      <c r="E16" s="48">
        <f>HYPERLINK("https://drive.google.com/file/d/1rizN6FZCmazr35zFpzmy-m0cywYQ8w_6/view","▶  Watch")</f>
        <v/>
      </c>
      <c r="F16" s="40" t="inlineStr">
        <is>
          <t>NUR234 M4D2.mp4</t>
        </is>
      </c>
      <c r="G16" s="40" t="inlineStr">
        <is>
          <t>Topic: Prenatal Assessment &amp; Antepartum Fetal Surveillance</t>
        </is>
      </c>
    </row>
    <row r="17">
      <c r="A17" s="51" t="inlineStr">
        <is>
          <t>Module 5</t>
        </is>
      </c>
      <c r="B17" s="51" t="inlineStr">
        <is>
          <t>Day 1</t>
        </is>
      </c>
      <c r="C17" s="40" t="inlineStr">
        <is>
          <t>Spring 2026</t>
        </is>
      </c>
      <c r="D17" s="53" t="inlineStr">
        <is>
          <t>Kaiser</t>
        </is>
      </c>
      <c r="E17" s="55">
        <f>HYPERLINK("https://drive.google.com/file/d/1ypHWfABT1zSPWs_I_QvKnRKTbF7a5Y7I/view","▶  Watch")</f>
        <v/>
      </c>
      <c r="F17" s="53" t="inlineStr">
        <is>
          <t>NUR234 M5d1.mp4</t>
        </is>
      </c>
      <c r="G17" s="53" t="inlineStr">
        <is>
          <t>Topic: Nutrition &amp; Health Promotion in Pregnancy</t>
        </is>
      </c>
    </row>
    <row r="18">
      <c r="A18" s="37" t="inlineStr">
        <is>
          <t>Module 5</t>
        </is>
      </c>
      <c r="B18" s="37" t="inlineStr">
        <is>
          <t>Day 2</t>
        </is>
      </c>
      <c r="C18" s="40" t="inlineStr">
        <is>
          <t>Spring 2026</t>
        </is>
      </c>
      <c r="D18" s="40" t="inlineStr">
        <is>
          <t>Kaiser</t>
        </is>
      </c>
      <c r="E18" s="48">
        <f>HYPERLINK("https://drive.google.com/file/d/1qDF2FexZhZu5L5cqrEi6WVHwZ2-S1cBp/view","▶  Watch")</f>
        <v/>
      </c>
      <c r="F18" s="40" t="inlineStr">
        <is>
          <t>NUR234 M5d2.mp4</t>
        </is>
      </c>
      <c r="G18" s="40" t="inlineStr">
        <is>
          <t>Topic: Nutrition &amp; Health Promotion in Pregnancy</t>
        </is>
      </c>
    </row>
    <row r="19">
      <c r="A19" s="51" t="inlineStr">
        <is>
          <t>Module 6</t>
        </is>
      </c>
      <c r="B19" s="51" t="inlineStr">
        <is>
          <t>Day 1</t>
        </is>
      </c>
      <c r="C19" s="40" t="inlineStr">
        <is>
          <t>Spring 2026</t>
        </is>
      </c>
      <c r="D19" s="53" t="inlineStr">
        <is>
          <t>Kaiser</t>
        </is>
      </c>
      <c r="E19" s="55">
        <f>HYPERLINK("https://drive.google.com/file/d/1eG4tIMbxzIUTYlgc_SHD8twJNPRZh8CF/view","▶  Watch")</f>
        <v/>
      </c>
      <c r="F19" s="53" t="inlineStr">
        <is>
          <t>NUR234 M6d1.mp4</t>
        </is>
      </c>
      <c r="G19" s="53" t="inlineStr">
        <is>
          <t>Topic: Labor &amp; Birth</t>
        </is>
      </c>
    </row>
    <row r="20">
      <c r="A20" s="37" t="inlineStr">
        <is>
          <t>Module 6</t>
        </is>
      </c>
      <c r="B20" s="37" t="inlineStr">
        <is>
          <t>Day 2</t>
        </is>
      </c>
      <c r="C20" s="40" t="inlineStr">
        <is>
          <t>Spring 2026</t>
        </is>
      </c>
      <c r="D20" s="40" t="inlineStr">
        <is>
          <t>Kaiser</t>
        </is>
      </c>
      <c r="E20" s="48">
        <f>HYPERLINK("https://drive.google.com/file/d/1fYIx3Eng0YHVpJs7xrgFvRD5j4Kf225D/view","▶  Watch")</f>
        <v/>
      </c>
      <c r="F20" s="40" t="inlineStr">
        <is>
          <t>NUR234 M6d2.mp4</t>
        </is>
      </c>
      <c r="G20" s="40" t="inlineStr">
        <is>
          <t>Topic: Labor &amp; Birth</t>
        </is>
      </c>
    </row>
    <row r="21" ht="15.75" customHeight="1" s="115">
      <c r="A21" s="51" t="inlineStr">
        <is>
          <t>Module 7</t>
        </is>
      </c>
      <c r="B21" s="51" t="inlineStr">
        <is>
          <t>Day 1</t>
        </is>
      </c>
      <c r="C21" s="40" t="inlineStr">
        <is>
          <t>Spring 2026</t>
        </is>
      </c>
      <c r="D21" s="53" t="inlineStr">
        <is>
          <t>Kaiser</t>
        </is>
      </c>
      <c r="E21" s="55">
        <f>HYPERLINK("https://drive.google.com/file/d/114LZzONCBRZUWeE3_g8tfpMOmWZTn_B3/view","▶  Watch")</f>
        <v/>
      </c>
      <c r="F21" s="53" t="inlineStr">
        <is>
          <t>NUR234 M7d1.mp4</t>
        </is>
      </c>
      <c r="G21" s="53" t="inlineStr">
        <is>
          <t>Topic: Fetal Monitoring, Comfort &amp; Analgesia in Labor</t>
        </is>
      </c>
    </row>
    <row r="22" ht="15.75" customHeight="1" s="115">
      <c r="A22" s="37" t="inlineStr">
        <is>
          <t>Module 7</t>
        </is>
      </c>
      <c r="B22" s="37" t="inlineStr">
        <is>
          <t>Day 2</t>
        </is>
      </c>
      <c r="C22" s="40" t="inlineStr">
        <is>
          <t>Spring 2026</t>
        </is>
      </c>
      <c r="D22" s="40" t="inlineStr">
        <is>
          <t>Kaiser</t>
        </is>
      </c>
      <c r="E22" s="48">
        <f>HYPERLINK("https://drive.google.com/file/d/1gq2xvEUDy8TmFcK6gQepoJCr9GG3G0Ne/view","▶  Watch")</f>
        <v/>
      </c>
      <c r="F22" s="40" t="inlineStr">
        <is>
          <t>NUR234 M7d2.mp4</t>
        </is>
      </c>
      <c r="G22" s="40" t="inlineStr">
        <is>
          <t>Topic: Fetal Monitoring, Comfort &amp; Analgesia in Labor</t>
        </is>
      </c>
    </row>
    <row r="23" ht="15.75" customHeight="1" s="115">
      <c r="A23" s="51" t="inlineStr">
        <is>
          <t>Module 8</t>
        </is>
      </c>
      <c r="B23" s="51" t="inlineStr">
        <is>
          <t>Day 1</t>
        </is>
      </c>
      <c r="C23" s="40" t="inlineStr">
        <is>
          <t>Spring 2026</t>
        </is>
      </c>
      <c r="D23" s="53" t="inlineStr">
        <is>
          <t>Kaiser</t>
        </is>
      </c>
      <c r="E23" s="55">
        <f>HYPERLINK("https://drive.google.com/file/d/1CyyT2iUwn9hK8FH8kx-7n1ZZsrlj5Jxx/view?usp=drive_link","▶  Watch")</f>
        <v/>
      </c>
      <c r="F23" s="53" t="n"/>
      <c r="G23" s="53" t="inlineStr">
        <is>
          <t>Topic: Early Pregnancy Bleeding &amp; Ectopic Pregnancy</t>
        </is>
      </c>
    </row>
    <row r="24" ht="15.75" customHeight="1" s="115">
      <c r="A24" s="51" t="inlineStr">
        <is>
          <t>Module 8</t>
        </is>
      </c>
      <c r="B24" s="51" t="inlineStr">
        <is>
          <t>Day 2</t>
        </is>
      </c>
      <c r="C24" s="40" t="inlineStr">
        <is>
          <t>Spring 2026</t>
        </is>
      </c>
      <c r="D24" s="53" t="inlineStr">
        <is>
          <t>Kaiser</t>
        </is>
      </c>
      <c r="E24" s="55">
        <f>HYPERLINK("https://drive.google.com/file/d/1IooFZSZA_lB5jNCR6Xic7enhbams239R/view?usp=drive_link","▶  Watch")</f>
        <v/>
      </c>
      <c r="F24" s="53" t="n"/>
      <c r="G24" s="53" t="inlineStr">
        <is>
          <t>Topic: Early Pregnancy Bleeding &amp; Ectopic Pregnancy</t>
        </is>
      </c>
    </row>
    <row r="25" ht="15.75" customHeight="1" s="115">
      <c r="A25" s="51" t="inlineStr">
        <is>
          <t>Module 9</t>
        </is>
      </c>
      <c r="B25" s="51" t="inlineStr">
        <is>
          <t>Day 1</t>
        </is>
      </c>
      <c r="C25" s="40" t="inlineStr">
        <is>
          <t>Spring 2026</t>
        </is>
      </c>
      <c r="D25" s="53" t="inlineStr">
        <is>
          <t>Kaiser</t>
        </is>
      </c>
      <c r="E25" s="55">
        <f>HYPERLINK("https://drive.google.com/file/d/1PHu1Y0-LeptoeNuwhGqxFA10nvLuYDRn/view","▶  Watch")</f>
        <v/>
      </c>
      <c r="F25" s="53" t="inlineStr">
        <is>
          <t>NUR234 M9d1.mp4</t>
        </is>
      </c>
      <c r="G25" s="53" t="inlineStr">
        <is>
          <t>Topic: Hypertensive Disorders &amp; Magnesium Sulfate</t>
        </is>
      </c>
    </row>
    <row r="26" ht="15.75" customHeight="1" s="115">
      <c r="A26" s="37" t="inlineStr">
        <is>
          <t>Module 9</t>
        </is>
      </c>
      <c r="B26" s="37" t="inlineStr">
        <is>
          <t>Day 2</t>
        </is>
      </c>
      <c r="C26" s="40" t="inlineStr">
        <is>
          <t>Spring 2026</t>
        </is>
      </c>
      <c r="D26" s="40" t="inlineStr">
        <is>
          <t>Kaiser</t>
        </is>
      </c>
      <c r="E26" s="48">
        <f>HYPERLINK("https://drive.google.com/file/d/1ztT_Xq_DZviGrXv_kqODzN0mdrAsvLGz/view","▶  Watch")</f>
        <v/>
      </c>
      <c r="F26" s="40" t="inlineStr">
        <is>
          <t>NUR234 M9d2.mp4</t>
        </is>
      </c>
      <c r="G26" s="40" t="inlineStr">
        <is>
          <t>Topic: Hypertensive Disorders &amp; Magnesium Sulfate</t>
        </is>
      </c>
    </row>
    <row r="27" ht="15.75" customHeight="1" s="115">
      <c r="A27" s="51" t="inlineStr">
        <is>
          <t>Module 10</t>
        </is>
      </c>
      <c r="B27" s="51" t="inlineStr">
        <is>
          <t>Day 1</t>
        </is>
      </c>
      <c r="C27" s="40" t="inlineStr">
        <is>
          <t>Spring 2026</t>
        </is>
      </c>
      <c r="D27" s="53" t="inlineStr">
        <is>
          <t>Kaiser</t>
        </is>
      </c>
      <c r="E27" s="55">
        <f>HYPERLINK("https://drive.google.com/file/d/1aO52FeQSOyKWi1eae-uwq9kUR72kaCIh/view","▶  Watch")</f>
        <v/>
      </c>
      <c r="F27" s="53" t="inlineStr">
        <is>
          <t>NUR234 M10d1.mp4</t>
        </is>
      </c>
      <c r="G27" s="53" t="inlineStr">
        <is>
          <t>Topic: Dysfunctional Labor, Uterine Rupture &amp; Obstetric Drug Math</t>
        </is>
      </c>
    </row>
    <row r="28" ht="15.75" customHeight="1" s="115">
      <c r="A28" s="37" t="inlineStr">
        <is>
          <t>Module 10</t>
        </is>
      </c>
      <c r="B28" s="37" t="inlineStr">
        <is>
          <t>Day 2</t>
        </is>
      </c>
      <c r="C28" s="40" t="inlineStr">
        <is>
          <t>Spring 2026</t>
        </is>
      </c>
      <c r="D28" s="40" t="inlineStr">
        <is>
          <t>Kaiser</t>
        </is>
      </c>
      <c r="E28" s="48">
        <f>HYPERLINK("https://drive.google.com/file/d/1ZiJMzo4QipYed89-Vivr-c8vq60a2H6x/view","▶  Watch")</f>
        <v/>
      </c>
      <c r="F28" s="40" t="inlineStr">
        <is>
          <t>NUR234 M10d2.mp4</t>
        </is>
      </c>
      <c r="G28" s="40" t="inlineStr">
        <is>
          <t>Topic: Dysfunctional Labor, Uterine Rupture &amp; Obstetric Drug Math</t>
        </is>
      </c>
    </row>
    <row r="29" ht="15.75" customHeight="1" s="115">
      <c r="A29" s="51" t="inlineStr">
        <is>
          <t>Module 11</t>
        </is>
      </c>
      <c r="B29" s="51" t="inlineStr">
        <is>
          <t>Day 1</t>
        </is>
      </c>
      <c r="C29" s="40" t="inlineStr">
        <is>
          <t>Spring 2026</t>
        </is>
      </c>
      <c r="D29" s="53" t="inlineStr">
        <is>
          <t>Kaiser</t>
        </is>
      </c>
      <c r="E29" s="55">
        <f>HYPERLINK("https://drive.google.com/file/d/1uI7Bnu09YgneDcYKGm2t5FXwliTSsLAt/view","▶  Watch")</f>
        <v/>
      </c>
      <c r="F29" s="53" t="inlineStr">
        <is>
          <t>NUR234 M11d1.mp4</t>
        </is>
      </c>
      <c r="G29" s="53" t="inlineStr">
        <is>
          <t>Topic: Postpartum Assessment &amp; Hemorrhage</t>
        </is>
      </c>
    </row>
    <row r="30" ht="15.75" customHeight="1" s="115">
      <c r="A30" s="37" t="inlineStr">
        <is>
          <t>Module 11</t>
        </is>
      </c>
      <c r="B30" s="37" t="inlineStr">
        <is>
          <t>Day 2</t>
        </is>
      </c>
      <c r="C30" s="40" t="inlineStr">
        <is>
          <t>Spring 2026</t>
        </is>
      </c>
      <c r="D30" s="40" t="inlineStr">
        <is>
          <t>Kaiser</t>
        </is>
      </c>
      <c r="E30" s="48">
        <f>HYPERLINK("https://drive.google.com/file/d/1J9BeWya6ezWD15zmUgnZUF3R2Qlm-hhm/view","▶  Watch")</f>
        <v/>
      </c>
      <c r="F30" s="40" t="inlineStr">
        <is>
          <t>NUR234 M11d2.mp4</t>
        </is>
      </c>
      <c r="G30" s="40" t="inlineStr">
        <is>
          <t>Topic: Postpartum Assessment &amp; Hemorrhage</t>
        </is>
      </c>
    </row>
    <row r="31" ht="15.75" customHeight="1" s="115">
      <c r="A31" s="51" t="inlineStr">
        <is>
          <t>Module 12</t>
        </is>
      </c>
      <c r="B31" s="51" t="inlineStr">
        <is>
          <t>Day 1</t>
        </is>
      </c>
      <c r="C31" s="40" t="inlineStr">
        <is>
          <t>Spring 2026</t>
        </is>
      </c>
      <c r="D31" s="53" t="inlineStr">
        <is>
          <t>Kaiser</t>
        </is>
      </c>
      <c r="E31" s="55">
        <f>HYPERLINK("https://drive.google.com/file/d/1qcNw_OIsuyrFzVlLbAIgaGH_lb9RVNe0/view","▶  Watch")</f>
        <v/>
      </c>
      <c r="F31" s="53" t="inlineStr">
        <is>
          <t>NUR234 M12d1.mp4</t>
        </is>
      </c>
      <c r="G31" s="53" t="inlineStr">
        <is>
          <t>Topic: The Normal Newborn &amp; Thermoregulation</t>
        </is>
      </c>
    </row>
    <row r="32" ht="15.75" customHeight="1" s="115">
      <c r="A32" s="37" t="inlineStr">
        <is>
          <t>Module 12</t>
        </is>
      </c>
      <c r="B32" s="37" t="inlineStr">
        <is>
          <t>Day 2</t>
        </is>
      </c>
      <c r="C32" s="40" t="inlineStr">
        <is>
          <t>Spring 2026</t>
        </is>
      </c>
      <c r="D32" s="40" t="inlineStr">
        <is>
          <t>Kaiser</t>
        </is>
      </c>
      <c r="E32" s="48">
        <f>HYPERLINK("https://drive.google.com/file/d/1cu1ZuTYOyk2XjUeDljRL8sh--WKvu7J-/view","▶  Watch")</f>
        <v/>
      </c>
      <c r="F32" s="40" t="inlineStr">
        <is>
          <t>NUR234 M12d2.mp4</t>
        </is>
      </c>
      <c r="G32" s="40" t="inlineStr">
        <is>
          <t>Topic: The Normal Newborn &amp; Thermoregulation</t>
        </is>
      </c>
    </row>
    <row r="33" ht="15.75" customHeight="1" s="115">
      <c r="A33" s="51" t="inlineStr">
        <is>
          <t>Module 13</t>
        </is>
      </c>
      <c r="B33" s="51" t="inlineStr">
        <is>
          <t>Day 1</t>
        </is>
      </c>
      <c r="C33" s="40" t="inlineStr">
        <is>
          <t>Spring 2026</t>
        </is>
      </c>
      <c r="D33" s="53" t="inlineStr">
        <is>
          <t>Kaiser</t>
        </is>
      </c>
      <c r="E33" s="55">
        <f>HYPERLINK("https://drive.google.com/file/d/1HtFwGZg8qK_fQ8Tu9T7sHkXBWlLRVKaI/view","▶  Watch")</f>
        <v/>
      </c>
      <c r="F33" s="53" t="inlineStr">
        <is>
          <t>NUR234 M13D1.mp4</t>
        </is>
      </c>
      <c r="G33" s="53" t="inlineStr">
        <is>
          <t>Topic: Newborn Feeding</t>
        </is>
      </c>
    </row>
    <row r="34" ht="15.75" customHeight="1" s="115">
      <c r="A34" s="37" t="inlineStr">
        <is>
          <t>Module 13</t>
        </is>
      </c>
      <c r="B34" s="37" t="inlineStr">
        <is>
          <t>Day 2</t>
        </is>
      </c>
      <c r="C34" s="40" t="inlineStr">
        <is>
          <t>Spring 2026</t>
        </is>
      </c>
      <c r="D34" s="40" t="inlineStr">
        <is>
          <t>Kaiser</t>
        </is>
      </c>
      <c r="E34" s="48">
        <f>HYPERLINK("https://drive.google.com/file/d/1SIAOBsm4zGlMHs4Z5BAy__E3gjkbf5yI/view","▶  Watch")</f>
        <v/>
      </c>
      <c r="F34" s="40" t="inlineStr">
        <is>
          <t>NUR234 M13D2.mp4</t>
        </is>
      </c>
      <c r="G34" s="40" t="inlineStr">
        <is>
          <t>Topic: Newborn Feeding</t>
        </is>
      </c>
    </row>
    <row r="35" ht="15.75" customHeight="1" s="115">
      <c r="A35" s="37" t="inlineStr">
        <is>
          <t>Module 14</t>
        </is>
      </c>
      <c r="B35" s="37" t="inlineStr">
        <is>
          <t>Day 1</t>
        </is>
      </c>
      <c r="C35" s="40" t="inlineStr">
        <is>
          <t>Spring 2026</t>
        </is>
      </c>
      <c r="D35" s="40" t="inlineStr">
        <is>
          <t>Kaiser</t>
        </is>
      </c>
      <c r="E35" s="48">
        <f>HYPERLINK("https://drive.google.com/file/d/1IVUURpnc9Fvq64m_3K7sPNWRKkcmnfjK/view?usp=drive_link","▶  Watch")</f>
        <v/>
      </c>
      <c r="F35" s="40" t="n"/>
      <c r="G35" s="40" t="inlineStr">
        <is>
          <t>Topic: The High-Risk Newborn &amp; Course Review</t>
        </is>
      </c>
    </row>
    <row r="36" ht="15.75" customHeight="1" s="115">
      <c r="A36" s="37" t="inlineStr">
        <is>
          <t>Module 14</t>
        </is>
      </c>
      <c r="B36" s="37" t="inlineStr">
        <is>
          <t>Day 2</t>
        </is>
      </c>
      <c r="C36" s="40" t="inlineStr">
        <is>
          <t>Spring 2026</t>
        </is>
      </c>
      <c r="D36" s="40" t="inlineStr">
        <is>
          <t>Kaiser</t>
        </is>
      </c>
      <c r="E36" s="48">
        <f>HYPERLINK("https://drive.google.com/file/d/12LFXOcOPwZ40P442l0KmmsbYb3MRnrff/view?usp=drive_link","▶  Watch")</f>
        <v/>
      </c>
      <c r="F36" s="40" t="n"/>
      <c r="G36" s="40" t="inlineStr">
        <is>
          <t>Topic: The High-Risk Newborn &amp; Course Review</t>
        </is>
      </c>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63" t="n"/>
      <c r="B40" s="63" t="n"/>
      <c r="C40" s="63" t="n"/>
      <c r="D40" s="63" t="n"/>
      <c r="E40" s="63" t="n"/>
      <c r="F40" s="63" t="n"/>
      <c r="G40" s="63" t="n"/>
    </row>
    <row r="41" ht="15.75" customHeight="1" s="115">
      <c r="A41" s="63" t="n"/>
      <c r="B41" s="63" t="n"/>
      <c r="C41" s="63" t="n"/>
      <c r="D41" s="63" t="n"/>
      <c r="E41" s="63" t="n"/>
      <c r="F41" s="63" t="n"/>
      <c r="G41" s="63" t="n"/>
    </row>
    <row r="42" ht="15.75" customHeight="1" s="115">
      <c r="A42" s="63" t="n"/>
      <c r="B42" s="63" t="n"/>
      <c r="C42" s="63" t="n"/>
      <c r="D42" s="63" t="n"/>
      <c r="E42" s="63" t="n"/>
      <c r="F42" s="63" t="n"/>
      <c r="G42" s="63"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Buhler</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20"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5" t="inlineStr">
        <is>
          <t>Module 1</t>
        </is>
      </c>
      <c r="B6" s="35" t="inlineStr">
        <is>
          <t>Day 1</t>
        </is>
      </c>
      <c r="C6" s="36" t="inlineStr">
        <is>
          <t>Fall 2026</t>
        </is>
      </c>
      <c r="D6" s="36" t="inlineStr">
        <is>
          <t>Buhler</t>
        </is>
      </c>
      <c r="E6" s="41">
        <f>HYPERLINK("https://drive.google.com/open?id=1u4dmz5cUxg1cKSpzK5QEigVqQdw7ZAgV&amp;usp=drive_fs","▶  Watch")</f>
        <v/>
      </c>
      <c r="F6" s="43" t="inlineStr">
        <is>
          <t>NUR234_Buhler_Wk1_D1.mp4</t>
        </is>
      </c>
      <c r="G6" s="40" t="inlineStr">
        <is>
          <t>Chapter 6</t>
        </is>
      </c>
    </row>
    <row r="7">
      <c r="A7" s="37" t="inlineStr">
        <is>
          <t>Module 1</t>
        </is>
      </c>
      <c r="B7" s="37" t="inlineStr">
        <is>
          <t>Day 2</t>
        </is>
      </c>
      <c r="C7" s="40" t="inlineStr">
        <is>
          <t>Fall 2026</t>
        </is>
      </c>
      <c r="D7" s="40" t="inlineStr">
        <is>
          <t>Buhler</t>
        </is>
      </c>
      <c r="E7" s="48">
        <f>HYPERLINK("https://drive.google.com/file/d/1CnuSelmTyZAZC85GA3VHMHZZQq5ZtB-S/view","▶  Watch")</f>
        <v/>
      </c>
      <c r="F7" s="40" t="inlineStr">
        <is>
          <t>NUR234_Buhler_Wk1_D2.mp4</t>
        </is>
      </c>
      <c r="G7" s="40" t="inlineStr">
        <is>
          <t>Topic: Reproductive Life Planning &amp; Contraception</t>
        </is>
      </c>
    </row>
    <row r="8">
      <c r="A8" s="51" t="inlineStr">
        <is>
          <t>Module 2</t>
        </is>
      </c>
      <c r="B8" s="51" t="inlineStr">
        <is>
          <t>Day 1</t>
        </is>
      </c>
      <c r="C8" s="40" t="inlineStr">
        <is>
          <t>Fall 2026</t>
        </is>
      </c>
      <c r="D8" s="53" t="inlineStr">
        <is>
          <t>Buhler</t>
        </is>
      </c>
      <c r="E8" s="55">
        <f>HYPERLINK("https://drive.google.com/file/d/17VZ8oHKVfrKNkHLMkfalKuIqLrMv_okM/view","▶  Watch")</f>
        <v/>
      </c>
      <c r="F8" s="53" t="inlineStr">
        <is>
          <t>NUR234_Chapter_9_(Source).mp4</t>
        </is>
      </c>
      <c r="G8" s="53" t="inlineStr">
        <is>
          <t>Chapter 9 - placed by chapter order, move the row if it belongs elsewhere</t>
        </is>
      </c>
    </row>
    <row r="9">
      <c r="A9" s="37" t="inlineStr">
        <is>
          <t>Module 2</t>
        </is>
      </c>
      <c r="B9" s="37" t="inlineStr">
        <is>
          <t>Day 2</t>
        </is>
      </c>
      <c r="C9" s="40" t="inlineStr">
        <is>
          <t>Fall 2026</t>
        </is>
      </c>
      <c r="D9" s="40" t="inlineStr">
        <is>
          <t>Buhler</t>
        </is>
      </c>
      <c r="E9" s="56" t="n"/>
      <c r="F9" s="40" t="n"/>
      <c r="G9" s="40" t="n"/>
    </row>
    <row r="10">
      <c r="A10" s="51" t="inlineStr">
        <is>
          <t>Module 3</t>
        </is>
      </c>
      <c r="B10" s="51" t="inlineStr">
        <is>
          <t>Day 1</t>
        </is>
      </c>
      <c r="C10" s="40" t="inlineStr">
        <is>
          <t>Fall 2026</t>
        </is>
      </c>
      <c r="D10" s="53" t="inlineStr">
        <is>
          <t>Buhler</t>
        </is>
      </c>
      <c r="E10" s="55">
        <f>HYPERLINK("https://drive.google.com/file/d/13GSnMwCucMykxi0DP8aGTl_htiXv0mPZ/view","▶  Watch")</f>
        <v/>
      </c>
      <c r="F10" s="53" t="inlineStr">
        <is>
          <t>NUR234_Fall2026_Buhler_WkNA_DayNA_Chapter 10 Psychological and Physiological Changes of Pregnancy.mp4</t>
        </is>
      </c>
      <c r="G10" s="53" t="inlineStr">
        <is>
          <t>Chapter 10 - placed by chapter order, move the row if it belongs elsewhere</t>
        </is>
      </c>
    </row>
    <row r="11">
      <c r="A11" s="37" t="inlineStr">
        <is>
          <t>Module 3</t>
        </is>
      </c>
      <c r="B11" s="37" t="inlineStr">
        <is>
          <t>Day 2</t>
        </is>
      </c>
      <c r="C11" s="40" t="inlineStr">
        <is>
          <t>Fall 2026</t>
        </is>
      </c>
      <c r="D11" s="40" t="inlineStr">
        <is>
          <t>Buhler</t>
        </is>
      </c>
      <c r="E11" s="56" t="n"/>
      <c r="F11" s="40" t="n"/>
      <c r="G11" s="40" t="n"/>
    </row>
    <row r="12">
      <c r="A12" s="51" t="inlineStr">
        <is>
          <t>Module 4</t>
        </is>
      </c>
      <c r="B12" s="51" t="inlineStr">
        <is>
          <t>Day 1</t>
        </is>
      </c>
      <c r="C12" s="40" t="inlineStr">
        <is>
          <t>Fall 2026</t>
        </is>
      </c>
      <c r="D12" s="53" t="inlineStr">
        <is>
          <t>Not named</t>
        </is>
      </c>
      <c r="E12" s="55">
        <f>HYPERLINK("https://drive.google.com/file/d/1-DV8jAn3hFddHFvpr8kgYtyjI9t8QJZi/view","▶  Watch")</f>
        <v/>
      </c>
      <c r="F12" s="53" t="inlineStr">
        <is>
          <t>NUR234_Chapter_11_(Source).mp4</t>
        </is>
      </c>
      <c r="G12" s="53" t="inlineStr">
        <is>
          <t>Chapter 11 - lecturer is not named in the file. Placed by chapter order, move the row if it belongs elsewhere</t>
        </is>
      </c>
    </row>
    <row r="13">
      <c r="A13" s="37" t="inlineStr">
        <is>
          <t>Module 4</t>
        </is>
      </c>
      <c r="B13" s="37" t="inlineStr">
        <is>
          <t>Day 2</t>
        </is>
      </c>
      <c r="C13" s="40" t="inlineStr">
        <is>
          <t>Fall 2026</t>
        </is>
      </c>
      <c r="D13" s="40" t="inlineStr">
        <is>
          <t>Buhler</t>
        </is>
      </c>
      <c r="E13" s="56" t="n"/>
      <c r="F13" s="40" t="n"/>
      <c r="G13" s="40" t="n"/>
    </row>
    <row r="14">
      <c r="A14" s="51" t="inlineStr">
        <is>
          <t>Module 5</t>
        </is>
      </c>
      <c r="B14" s="51" t="inlineStr">
        <is>
          <t>Day 1</t>
        </is>
      </c>
      <c r="C14" s="40" t="inlineStr">
        <is>
          <t>Fall 2026</t>
        </is>
      </c>
      <c r="D14" s="53" t="inlineStr">
        <is>
          <t>Buhler</t>
        </is>
      </c>
      <c r="E14" s="55">
        <f>HYPERLINK("https://drive.google.com/file/d/1HQHKEoo2ntCRU3q8qmQ1y1F3tL6TOkJ2/view","▶  Watch")</f>
        <v/>
      </c>
      <c r="F14" s="53" t="inlineStr">
        <is>
          <t>NUR234_Fall2026_Buhler_Wk05_DayNA_Chapter 12.mp4</t>
        </is>
      </c>
      <c r="G14" s="53" t="inlineStr">
        <is>
          <t>Chapter 12</t>
        </is>
      </c>
    </row>
    <row r="15">
      <c r="A15" s="37" t="inlineStr">
        <is>
          <t>Module 5</t>
        </is>
      </c>
      <c r="B15" s="37" t="inlineStr">
        <is>
          <t>Day 2</t>
        </is>
      </c>
      <c r="C15" s="40" t="inlineStr">
        <is>
          <t>Fall 2026</t>
        </is>
      </c>
      <c r="D15" s="40" t="inlineStr">
        <is>
          <t>Buhler</t>
        </is>
      </c>
      <c r="E15" s="55">
        <f>HYPERLINK("https://drive.google.com/file/d/1z3U5EJf1WVte6o2sK-hdCtuE1Hos0YEj/view","▶  Watch")</f>
        <v/>
      </c>
      <c r="F15" s="53" t="inlineStr">
        <is>
          <t>NUR234_Fall2026_Buhler_Wk05_DayNA_Chapter 13.mp4</t>
        </is>
      </c>
      <c r="G15" s="53" t="inlineStr">
        <is>
          <t>Chapter 13</t>
        </is>
      </c>
    </row>
    <row r="16">
      <c r="A16" s="51" t="inlineStr">
        <is>
          <t>Module 6</t>
        </is>
      </c>
      <c r="B16" s="51" t="inlineStr">
        <is>
          <t>Day 1</t>
        </is>
      </c>
      <c r="C16" s="40" t="inlineStr">
        <is>
          <t>Fall 2026</t>
        </is>
      </c>
      <c r="D16" s="40" t="inlineStr">
        <is>
          <t>Not named</t>
        </is>
      </c>
      <c r="E16" s="55">
        <f>HYPERLINK("https://drive.google.com/file/d/1HvfwKXxW2MAssWfgSmFv9UD6rYShOYoa/view","▶  Watch")</f>
        <v/>
      </c>
      <c r="F16" s="53" t="inlineStr">
        <is>
          <t>NUR234_Fall2026_WkNA_DayNA_Chapter 15.mp4</t>
        </is>
      </c>
      <c r="G16" s="5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7" t="inlineStr">
        <is>
          <t>Module 6</t>
        </is>
      </c>
      <c r="B17" s="37" t="inlineStr">
        <is>
          <t>Day 2</t>
        </is>
      </c>
      <c r="C17" s="40" t="inlineStr">
        <is>
          <t>Fall 2026</t>
        </is>
      </c>
      <c r="D17" s="40" t="inlineStr">
        <is>
          <t>Buhler</t>
        </is>
      </c>
      <c r="E17" s="56" t="n"/>
      <c r="F17" s="40" t="n"/>
      <c r="G17" s="40" t="n"/>
    </row>
    <row r="18">
      <c r="A18" s="51" t="inlineStr">
        <is>
          <t>Module 7</t>
        </is>
      </c>
      <c r="B18" s="51" t="inlineStr">
        <is>
          <t>Day 1</t>
        </is>
      </c>
      <c r="C18" s="40" t="inlineStr">
        <is>
          <t>Fall 2026</t>
        </is>
      </c>
      <c r="D18" s="53" t="inlineStr">
        <is>
          <t>Buhler</t>
        </is>
      </c>
      <c r="E18" s="55">
        <f>HYPERLINK("https://drive.google.com/file/d/1PIv85W-E3PUKMP_RCmbAdilOOO4FRkAi/view","▶  Watch")</f>
        <v/>
      </c>
      <c r="F18" s="53" t="inlineStr">
        <is>
          <t>NUR234_Fall2026_Buhler_Wk07_DayNA_Chapter 16 Providing Comfort During Labor and Birth.mp4</t>
        </is>
      </c>
      <c r="G18" s="53" t="inlineStr">
        <is>
          <t>Chapter 16 - Providing Comfort During Labor and Birth</t>
        </is>
      </c>
    </row>
    <row r="19">
      <c r="A19" s="37" t="inlineStr">
        <is>
          <t>Module 7</t>
        </is>
      </c>
      <c r="B19" s="37" t="inlineStr">
        <is>
          <t>Day 2</t>
        </is>
      </c>
      <c r="C19" s="40" t="inlineStr">
        <is>
          <t>Fall 2026</t>
        </is>
      </c>
      <c r="D19" s="40" t="inlineStr">
        <is>
          <t>Buhler</t>
        </is>
      </c>
      <c r="E19" s="56" t="n"/>
      <c r="F19" s="40" t="n"/>
      <c r="G19" s="40" t="n"/>
    </row>
    <row r="20">
      <c r="A20" s="51" t="inlineStr">
        <is>
          <t>Module 8</t>
        </is>
      </c>
      <c r="B20" s="51" t="inlineStr">
        <is>
          <t>Day 1</t>
        </is>
      </c>
      <c r="C20" s="40" t="inlineStr">
        <is>
          <t>Fall 2026</t>
        </is>
      </c>
      <c r="D20" s="53" t="inlineStr">
        <is>
          <t>Buhler</t>
        </is>
      </c>
      <c r="E20" s="62" t="n"/>
      <c r="F20" s="53" t="n"/>
      <c r="G20" s="53" t="n"/>
    </row>
    <row r="21" ht="15.75" customHeight="1" s="115">
      <c r="A21" s="51" t="inlineStr">
        <is>
          <t>Module 8</t>
        </is>
      </c>
      <c r="B21" s="51" t="inlineStr">
        <is>
          <t>Day 2</t>
        </is>
      </c>
      <c r="C21" s="40" t="inlineStr">
        <is>
          <t>Fall 2026</t>
        </is>
      </c>
      <c r="D21" s="53" t="inlineStr">
        <is>
          <t>Buhler</t>
        </is>
      </c>
      <c r="E21" s="62" t="n"/>
      <c r="F21" s="53" t="n"/>
      <c r="G21" s="53" t="n"/>
    </row>
    <row r="22" ht="15.75" customHeight="1" s="115">
      <c r="A22" s="51" t="inlineStr">
        <is>
          <t>Module 9</t>
        </is>
      </c>
      <c r="B22" s="51" t="inlineStr">
        <is>
          <t>Day 1</t>
        </is>
      </c>
      <c r="C22" s="40" t="inlineStr">
        <is>
          <t>Fall 2026</t>
        </is>
      </c>
      <c r="D22" s="53" t="inlineStr">
        <is>
          <t>Buhler</t>
        </is>
      </c>
      <c r="E22" s="62" t="n"/>
      <c r="F22" s="53" t="n"/>
      <c r="G22" s="53" t="n"/>
    </row>
    <row r="23" ht="15.75" customHeight="1" s="115">
      <c r="A23" s="37" t="inlineStr">
        <is>
          <t>Module 9</t>
        </is>
      </c>
      <c r="B23" s="37" t="inlineStr">
        <is>
          <t>Day 2</t>
        </is>
      </c>
      <c r="C23" s="40" t="inlineStr">
        <is>
          <t>Fall 2026</t>
        </is>
      </c>
      <c r="D23" s="40" t="inlineStr">
        <is>
          <t>Buhler</t>
        </is>
      </c>
      <c r="E23" s="56" t="n"/>
      <c r="F23" s="40" t="n"/>
      <c r="G23" s="40" t="n"/>
    </row>
    <row r="24" ht="15.75" customHeight="1" s="115">
      <c r="A24" s="51" t="inlineStr">
        <is>
          <t>Module 10</t>
        </is>
      </c>
      <c r="B24" s="51" t="inlineStr">
        <is>
          <t>Day 1</t>
        </is>
      </c>
      <c r="C24" s="40" t="inlineStr">
        <is>
          <t>Fall 2026</t>
        </is>
      </c>
      <c r="D24" s="53" t="inlineStr">
        <is>
          <t>Buhler</t>
        </is>
      </c>
      <c r="E24" s="62" t="n"/>
      <c r="F24" s="53" t="n"/>
      <c r="G24" s="53" t="n"/>
    </row>
    <row r="25" ht="15.75" customHeight="1" s="115">
      <c r="A25" s="37" t="inlineStr">
        <is>
          <t>Module 10</t>
        </is>
      </c>
      <c r="B25" s="37" t="inlineStr">
        <is>
          <t>Day 2</t>
        </is>
      </c>
      <c r="C25" s="40" t="inlineStr">
        <is>
          <t>Fall 2026</t>
        </is>
      </c>
      <c r="D25" s="40" t="inlineStr">
        <is>
          <t>Buhler</t>
        </is>
      </c>
      <c r="E25" s="56" t="n"/>
      <c r="F25" s="40" t="n"/>
      <c r="G25" s="40" t="n"/>
    </row>
    <row r="26" ht="15.75" customHeight="1" s="115">
      <c r="A26" s="51" t="inlineStr">
        <is>
          <t>Module 11</t>
        </is>
      </c>
      <c r="B26" s="51" t="inlineStr">
        <is>
          <t>Day 1</t>
        </is>
      </c>
      <c r="C26" s="40" t="inlineStr">
        <is>
          <t>Fall 2026</t>
        </is>
      </c>
      <c r="D26" s="53" t="inlineStr">
        <is>
          <t>Buhler</t>
        </is>
      </c>
      <c r="E26" s="62" t="n"/>
      <c r="F26" s="53" t="n"/>
      <c r="G26" s="53" t="n"/>
    </row>
    <row r="27" ht="15.75" customHeight="1" s="115">
      <c r="A27" s="37" t="inlineStr">
        <is>
          <t>Module 11</t>
        </is>
      </c>
      <c r="B27" s="37" t="inlineStr">
        <is>
          <t>Day 2</t>
        </is>
      </c>
      <c r="C27" s="40" t="inlineStr">
        <is>
          <t>Fall 2026</t>
        </is>
      </c>
      <c r="D27" s="40" t="inlineStr">
        <is>
          <t>Buhler</t>
        </is>
      </c>
      <c r="E27" s="56" t="n"/>
      <c r="F27" s="40" t="n"/>
      <c r="G27" s="40" t="n"/>
    </row>
    <row r="28" ht="15.75" customHeight="1" s="115">
      <c r="A28" s="51" t="inlineStr">
        <is>
          <t>Module 12</t>
        </is>
      </c>
      <c r="B28" s="51" t="inlineStr">
        <is>
          <t>Day 1</t>
        </is>
      </c>
      <c r="C28" s="40" t="inlineStr">
        <is>
          <t>Fall 2026</t>
        </is>
      </c>
      <c r="D28" s="53" t="inlineStr">
        <is>
          <t>Buhler</t>
        </is>
      </c>
      <c r="E28" s="62" t="n"/>
      <c r="F28" s="53" t="n"/>
      <c r="G28" s="53" t="n"/>
    </row>
    <row r="29" ht="15.75" customHeight="1" s="115">
      <c r="A29" s="37" t="inlineStr">
        <is>
          <t>Module 12</t>
        </is>
      </c>
      <c r="B29" s="37" t="inlineStr">
        <is>
          <t>Day 2</t>
        </is>
      </c>
      <c r="C29" s="40" t="inlineStr">
        <is>
          <t>Fall 2026</t>
        </is>
      </c>
      <c r="D29" s="40" t="inlineStr">
        <is>
          <t>Buhler</t>
        </is>
      </c>
      <c r="E29" s="56" t="n"/>
      <c r="F29" s="40" t="n"/>
      <c r="G29" s="40" t="n"/>
    </row>
    <row r="30" ht="15.75" customHeight="1" s="115">
      <c r="A30" s="51" t="inlineStr">
        <is>
          <t>Module 13</t>
        </is>
      </c>
      <c r="B30" s="51" t="inlineStr">
        <is>
          <t>Day 1</t>
        </is>
      </c>
      <c r="C30" s="40" t="inlineStr">
        <is>
          <t>Fall 2026</t>
        </is>
      </c>
      <c r="D30" s="53" t="inlineStr">
        <is>
          <t>Buhler</t>
        </is>
      </c>
      <c r="E30" s="62" t="n"/>
      <c r="F30" s="53" t="n"/>
      <c r="G30" s="53" t="n"/>
    </row>
    <row r="31" ht="15.75" customHeight="1" s="115">
      <c r="A31" s="37" t="inlineStr">
        <is>
          <t>Module 13</t>
        </is>
      </c>
      <c r="B31" s="37" t="inlineStr">
        <is>
          <t>Day 2</t>
        </is>
      </c>
      <c r="C31" s="40" t="inlineStr">
        <is>
          <t>Fall 2026</t>
        </is>
      </c>
      <c r="D31" s="40" t="inlineStr">
        <is>
          <t>Buhler</t>
        </is>
      </c>
      <c r="E31" s="56" t="n"/>
      <c r="F31" s="40" t="n"/>
      <c r="G31" s="40" t="n"/>
    </row>
    <row r="32" ht="15.75" customHeight="1" s="115">
      <c r="A32" s="37" t="inlineStr">
        <is>
          <t>Module 14</t>
        </is>
      </c>
      <c r="B32" s="37" t="inlineStr">
        <is>
          <t>Day 1</t>
        </is>
      </c>
      <c r="C32" s="40" t="inlineStr">
        <is>
          <t>Fall 2026</t>
        </is>
      </c>
      <c r="D32" s="40" t="inlineStr">
        <is>
          <t>Buhler</t>
        </is>
      </c>
      <c r="E32" s="56" t="n"/>
      <c r="F32" s="40" t="n"/>
      <c r="G32" s="40" t="n"/>
    </row>
    <row r="33" ht="15.75" customHeight="1" s="115">
      <c r="A33" s="37" t="inlineStr">
        <is>
          <t>Module 14</t>
        </is>
      </c>
      <c r="B33" s="37" t="inlineStr">
        <is>
          <t>Day 2</t>
        </is>
      </c>
      <c r="C33" s="40" t="inlineStr">
        <is>
          <t>Fall 2026</t>
        </is>
      </c>
      <c r="D33" s="40" t="inlineStr">
        <is>
          <t>Buhler</t>
        </is>
      </c>
      <c r="E33" s="56" t="n"/>
      <c r="F33" s="40" t="n"/>
      <c r="G33" s="40"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Glesner</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20"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51" t="inlineStr">
        <is>
          <t>Module 1</t>
        </is>
      </c>
      <c r="B6" s="51" t="inlineStr">
        <is>
          <t>Day 1</t>
        </is>
      </c>
      <c r="C6" s="53" t="inlineStr">
        <is>
          <t>Fall 2026</t>
        </is>
      </c>
      <c r="D6" s="53" t="inlineStr">
        <is>
          <t>Glesner</t>
        </is>
      </c>
      <c r="E6" s="55">
        <f>HYPERLINK("https://drive.google.com/file/d/15RBwcq_izjKd8bkaA19fLfSTZWiWQdIY/view","▶  Watch")</f>
        <v/>
      </c>
      <c r="F6" s="53" t="inlineStr">
        <is>
          <t>Glesner Wk 1.mp4</t>
        </is>
      </c>
      <c r="G6" s="53" t="inlineStr">
        <is>
          <t>Topic: Reproductive Life Planning &amp; Contraception</t>
        </is>
      </c>
    </row>
    <row r="7">
      <c r="A7" s="51" t="inlineStr">
        <is>
          <t>Module 1</t>
        </is>
      </c>
      <c r="B7" s="51" t="inlineStr">
        <is>
          <t>Day 2</t>
        </is>
      </c>
      <c r="C7" s="53" t="inlineStr">
        <is>
          <t>Fall 2026</t>
        </is>
      </c>
      <c r="D7" s="53" t="inlineStr">
        <is>
          <t>Glesner</t>
        </is>
      </c>
      <c r="E7" s="62" t="n"/>
      <c r="F7" s="53" t="n"/>
      <c r="G7" s="53" t="n"/>
    </row>
    <row r="8">
      <c r="A8" s="37" t="inlineStr">
        <is>
          <t>Module 2</t>
        </is>
      </c>
      <c r="B8" s="37" t="inlineStr">
        <is>
          <t>Day 1</t>
        </is>
      </c>
      <c r="C8" s="40" t="inlineStr">
        <is>
          <t>Fall 2026</t>
        </is>
      </c>
      <c r="D8" s="40" t="inlineStr">
        <is>
          <t>Glesner</t>
        </is>
      </c>
      <c r="E8" s="56" t="n"/>
      <c r="F8" s="40" t="n"/>
      <c r="G8" s="40" t="n"/>
    </row>
    <row r="9">
      <c r="A9" s="51" t="inlineStr">
        <is>
          <t>Module 2</t>
        </is>
      </c>
      <c r="B9" s="51" t="inlineStr">
        <is>
          <t>Day 2</t>
        </is>
      </c>
      <c r="C9" s="53" t="inlineStr">
        <is>
          <t>Fall 2026</t>
        </is>
      </c>
      <c r="D9" s="53" t="inlineStr">
        <is>
          <t>Glesner</t>
        </is>
      </c>
      <c r="E9" s="62" t="n"/>
      <c r="F9" s="53" t="n"/>
      <c r="G9" s="53" t="n"/>
    </row>
    <row r="10">
      <c r="A10" s="37" t="inlineStr">
        <is>
          <t>Module 3</t>
        </is>
      </c>
      <c r="B10" s="37" t="inlineStr">
        <is>
          <t>Day 1</t>
        </is>
      </c>
      <c r="C10" s="40" t="inlineStr">
        <is>
          <t>Fall 2026</t>
        </is>
      </c>
      <c r="D10" s="40" t="inlineStr">
        <is>
          <t>Glesner</t>
        </is>
      </c>
      <c r="E10" s="56" t="n"/>
      <c r="F10" s="40" t="n"/>
      <c r="G10" s="40" t="n"/>
    </row>
    <row r="11">
      <c r="A11" s="51" t="inlineStr">
        <is>
          <t>Module 3</t>
        </is>
      </c>
      <c r="B11" s="51" t="inlineStr">
        <is>
          <t>Day 2</t>
        </is>
      </c>
      <c r="C11" s="53" t="inlineStr">
        <is>
          <t>Fall 2026</t>
        </is>
      </c>
      <c r="D11" s="53" t="inlineStr">
        <is>
          <t>Glesner</t>
        </is>
      </c>
      <c r="E11" s="62" t="n"/>
      <c r="F11" s="53" t="n"/>
      <c r="G11" s="53" t="n"/>
    </row>
    <row r="12">
      <c r="A12" s="37" t="inlineStr">
        <is>
          <t>Module 4</t>
        </is>
      </c>
      <c r="B12" s="37" t="inlineStr">
        <is>
          <t>Day 1</t>
        </is>
      </c>
      <c r="C12" s="40" t="inlineStr">
        <is>
          <t>Fall 2026</t>
        </is>
      </c>
      <c r="D12" s="40" t="inlineStr">
        <is>
          <t>Glesner</t>
        </is>
      </c>
      <c r="E12" s="56" t="n"/>
      <c r="F12" s="40" t="n"/>
      <c r="G12" s="40" t="n"/>
    </row>
    <row r="13">
      <c r="A13" s="51" t="inlineStr">
        <is>
          <t>Module 4</t>
        </is>
      </c>
      <c r="B13" s="51" t="inlineStr">
        <is>
          <t>Day 2</t>
        </is>
      </c>
      <c r="C13" s="53" t="inlineStr">
        <is>
          <t>Fall 2026</t>
        </is>
      </c>
      <c r="D13" s="53" t="inlineStr">
        <is>
          <t>Glesner</t>
        </is>
      </c>
      <c r="E13" s="62" t="n"/>
      <c r="F13" s="53" t="n"/>
      <c r="G13" s="53" t="n"/>
    </row>
    <row r="14">
      <c r="A14" s="37" t="inlineStr">
        <is>
          <t>Module 5</t>
        </is>
      </c>
      <c r="B14" s="37" t="inlineStr">
        <is>
          <t>Day 1</t>
        </is>
      </c>
      <c r="C14" s="40" t="inlineStr">
        <is>
          <t>Fall 2026</t>
        </is>
      </c>
      <c r="D14" s="40"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1" t="inlineStr">
        <is>
          <t>Module 5</t>
        </is>
      </c>
      <c r="B15" s="51" t="inlineStr">
        <is>
          <t>Day 2</t>
        </is>
      </c>
      <c r="C15" s="53" t="inlineStr">
        <is>
          <t>Fall 2026</t>
        </is>
      </c>
      <c r="D15" s="53" t="inlineStr">
        <is>
          <t>Glesner</t>
        </is>
      </c>
      <c r="E15" s="62" t="n"/>
      <c r="F15" s="53" t="n"/>
      <c r="G15" s="53" t="n"/>
    </row>
    <row r="16">
      <c r="A16" s="37" t="inlineStr">
        <is>
          <t>Module 6</t>
        </is>
      </c>
      <c r="B16" s="37" t="inlineStr">
        <is>
          <t>Day 1</t>
        </is>
      </c>
      <c r="C16" s="40" t="inlineStr">
        <is>
          <t>Fall 2026</t>
        </is>
      </c>
      <c r="D16" s="40" t="inlineStr">
        <is>
          <t>Glesner</t>
        </is>
      </c>
      <c r="E16" s="56" t="n"/>
      <c r="F16" s="40" t="n"/>
      <c r="G16" s="40" t="n"/>
    </row>
    <row r="17">
      <c r="A17" s="51" t="inlineStr">
        <is>
          <t>Module 6</t>
        </is>
      </c>
      <c r="B17" s="51" t="inlineStr">
        <is>
          <t>Day 2</t>
        </is>
      </c>
      <c r="C17" s="53" t="inlineStr">
        <is>
          <t>Fall 2026</t>
        </is>
      </c>
      <c r="D17" s="53" t="inlineStr">
        <is>
          <t>Glesner</t>
        </is>
      </c>
      <c r="E17" s="62" t="n"/>
      <c r="F17" s="53" t="n"/>
      <c r="G17" s="53" t="n"/>
    </row>
    <row r="18">
      <c r="A18" s="37" t="inlineStr">
        <is>
          <t>Module 7</t>
        </is>
      </c>
      <c r="B18" s="37" t="inlineStr">
        <is>
          <t>Day 1</t>
        </is>
      </c>
      <c r="C18" s="40" t="inlineStr">
        <is>
          <t>Fall 2026</t>
        </is>
      </c>
      <c r="D18" s="40" t="inlineStr">
        <is>
          <t>Glesner</t>
        </is>
      </c>
      <c r="E18" s="56" t="n"/>
      <c r="F18" s="40" t="n"/>
      <c r="G18" s="40" t="n"/>
    </row>
    <row r="19">
      <c r="A19" s="51" t="inlineStr">
        <is>
          <t>Module 7</t>
        </is>
      </c>
      <c r="B19" s="51" t="inlineStr">
        <is>
          <t>Day 2</t>
        </is>
      </c>
      <c r="C19" s="53" t="inlineStr">
        <is>
          <t>Fall 2026</t>
        </is>
      </c>
      <c r="D19" s="53" t="inlineStr">
        <is>
          <t>Glesner</t>
        </is>
      </c>
      <c r="E19" s="62" t="n"/>
      <c r="F19" s="53" t="n"/>
      <c r="G19" s="53" t="n"/>
    </row>
    <row r="20">
      <c r="A20" s="37" t="inlineStr">
        <is>
          <t>Module 8</t>
        </is>
      </c>
      <c r="B20" s="37" t="inlineStr">
        <is>
          <t>Day 1</t>
        </is>
      </c>
      <c r="C20" s="40" t="inlineStr">
        <is>
          <t>Fall 2026</t>
        </is>
      </c>
      <c r="D20" s="40" t="inlineStr">
        <is>
          <t>Glesner</t>
        </is>
      </c>
      <c r="E20" s="56" t="n"/>
      <c r="F20" s="40" t="n"/>
      <c r="G20" s="40" t="n"/>
    </row>
    <row r="21" ht="15.75" customHeight="1" s="115">
      <c r="A21" s="51" t="inlineStr">
        <is>
          <t>Module 8</t>
        </is>
      </c>
      <c r="B21" s="51" t="inlineStr">
        <is>
          <t>Day 2</t>
        </is>
      </c>
      <c r="C21" s="53" t="inlineStr">
        <is>
          <t>Fall 2026</t>
        </is>
      </c>
      <c r="D21" s="53" t="inlineStr">
        <is>
          <t>Glesner</t>
        </is>
      </c>
      <c r="E21" s="62" t="n"/>
      <c r="F21" s="53" t="n"/>
      <c r="G21" s="53" t="n"/>
    </row>
    <row r="22" ht="15.75" customHeight="1" s="115">
      <c r="A22" s="37" t="inlineStr">
        <is>
          <t>Module 9</t>
        </is>
      </c>
      <c r="B22" s="37" t="inlineStr">
        <is>
          <t>Day 1</t>
        </is>
      </c>
      <c r="C22" s="40" t="inlineStr">
        <is>
          <t>Fall 2026</t>
        </is>
      </c>
      <c r="D22" s="40" t="inlineStr">
        <is>
          <t>Glesner</t>
        </is>
      </c>
      <c r="E22" s="56" t="n"/>
      <c r="F22" s="40" t="n"/>
      <c r="G22" s="40" t="n"/>
    </row>
    <row r="23" ht="15.75" customHeight="1" s="115">
      <c r="A23" s="51" t="inlineStr">
        <is>
          <t>Module 9</t>
        </is>
      </c>
      <c r="B23" s="51" t="inlineStr">
        <is>
          <t>Day 2</t>
        </is>
      </c>
      <c r="C23" s="53" t="inlineStr">
        <is>
          <t>Fall 2026</t>
        </is>
      </c>
      <c r="D23" s="53" t="inlineStr">
        <is>
          <t>Glesner</t>
        </is>
      </c>
      <c r="E23" s="62" t="n"/>
      <c r="F23" s="53" t="n"/>
      <c r="G23" s="53" t="n"/>
    </row>
    <row r="24" ht="15.75" customHeight="1" s="115">
      <c r="A24" s="37" t="inlineStr">
        <is>
          <t>Module 10</t>
        </is>
      </c>
      <c r="B24" s="37" t="inlineStr">
        <is>
          <t>Day 1</t>
        </is>
      </c>
      <c r="C24" s="40" t="inlineStr">
        <is>
          <t>Fall 2026</t>
        </is>
      </c>
      <c r="D24" s="40" t="inlineStr">
        <is>
          <t>Glesner</t>
        </is>
      </c>
      <c r="E24" s="56" t="n"/>
      <c r="F24" s="40" t="n"/>
      <c r="G24" s="40" t="n"/>
    </row>
    <row r="25" ht="15.75" customHeight="1" s="115">
      <c r="A25" s="51" t="inlineStr">
        <is>
          <t>Module 10</t>
        </is>
      </c>
      <c r="B25" s="51" t="inlineStr">
        <is>
          <t>Day 2</t>
        </is>
      </c>
      <c r="C25" s="53" t="inlineStr">
        <is>
          <t>Fall 2026</t>
        </is>
      </c>
      <c r="D25" s="53" t="inlineStr">
        <is>
          <t>Glesner</t>
        </is>
      </c>
      <c r="E25" s="62" t="n"/>
      <c r="F25" s="53" t="n"/>
      <c r="G25" s="53" t="n"/>
    </row>
    <row r="26" ht="15.75" customHeight="1" s="115">
      <c r="A26" s="37" t="inlineStr">
        <is>
          <t>Module 11</t>
        </is>
      </c>
      <c r="B26" s="37" t="inlineStr">
        <is>
          <t>Day 1</t>
        </is>
      </c>
      <c r="C26" s="40" t="inlineStr">
        <is>
          <t>Fall 2026</t>
        </is>
      </c>
      <c r="D26" s="40" t="inlineStr">
        <is>
          <t>Glesner</t>
        </is>
      </c>
      <c r="E26" s="56" t="n"/>
      <c r="F26" s="40" t="n"/>
      <c r="G26" s="40" t="n"/>
    </row>
    <row r="27" ht="15.75" customHeight="1" s="115">
      <c r="A27" s="51" t="inlineStr">
        <is>
          <t>Module 11</t>
        </is>
      </c>
      <c r="B27" s="51" t="inlineStr">
        <is>
          <t>Day 2</t>
        </is>
      </c>
      <c r="C27" s="53" t="inlineStr">
        <is>
          <t>Fall 2026</t>
        </is>
      </c>
      <c r="D27" s="53" t="inlineStr">
        <is>
          <t>Glesner</t>
        </is>
      </c>
      <c r="E27" s="62" t="n"/>
      <c r="F27" s="53" t="n"/>
      <c r="G27" s="53" t="n"/>
    </row>
    <row r="28" ht="15.75" customHeight="1" s="115">
      <c r="A28" s="37" t="inlineStr">
        <is>
          <t>Module 12</t>
        </is>
      </c>
      <c r="B28" s="37" t="inlineStr">
        <is>
          <t>Day 1</t>
        </is>
      </c>
      <c r="C28" s="40" t="inlineStr">
        <is>
          <t>Fall 2026</t>
        </is>
      </c>
      <c r="D28" s="40" t="inlineStr">
        <is>
          <t>Glesner</t>
        </is>
      </c>
      <c r="E28" s="56" t="n"/>
      <c r="F28" s="40" t="n"/>
      <c r="G28" s="40" t="n"/>
    </row>
    <row r="29" ht="15.75" customHeight="1" s="115">
      <c r="A29" s="51" t="inlineStr">
        <is>
          <t>Module 12</t>
        </is>
      </c>
      <c r="B29" s="51" t="inlineStr">
        <is>
          <t>Day 2</t>
        </is>
      </c>
      <c r="C29" s="53" t="inlineStr">
        <is>
          <t>Fall 2026</t>
        </is>
      </c>
      <c r="D29" s="53" t="inlineStr">
        <is>
          <t>Glesner</t>
        </is>
      </c>
      <c r="E29" s="62" t="n"/>
      <c r="F29" s="53" t="n"/>
      <c r="G29" s="53" t="n"/>
    </row>
    <row r="30" ht="15.75" customHeight="1" s="115">
      <c r="A30" s="37" t="inlineStr">
        <is>
          <t>Module 13</t>
        </is>
      </c>
      <c r="B30" s="37" t="inlineStr">
        <is>
          <t>Day 1</t>
        </is>
      </c>
      <c r="C30" s="40" t="inlineStr">
        <is>
          <t>Fall 2026</t>
        </is>
      </c>
      <c r="D30" s="40" t="inlineStr">
        <is>
          <t>Glesner</t>
        </is>
      </c>
      <c r="E30" s="56" t="n"/>
      <c r="F30" s="40" t="n"/>
      <c r="G30" s="40" t="n"/>
    </row>
    <row r="31" ht="15.75" customHeight="1" s="115">
      <c r="A31" s="51" t="inlineStr">
        <is>
          <t>Module 13</t>
        </is>
      </c>
      <c r="B31" s="51" t="inlineStr">
        <is>
          <t>Day 2</t>
        </is>
      </c>
      <c r="C31" s="53" t="inlineStr">
        <is>
          <t>Fall 2026</t>
        </is>
      </c>
      <c r="D31" s="53" t="inlineStr">
        <is>
          <t>Glesner</t>
        </is>
      </c>
      <c r="E31" s="62" t="n"/>
      <c r="F31" s="53" t="n"/>
      <c r="G31" s="53" t="n"/>
    </row>
    <row r="32" ht="15.75" customHeight="1" s="115">
      <c r="A32" s="37" t="inlineStr">
        <is>
          <t>Module 14</t>
        </is>
      </c>
      <c r="B32" s="37" t="inlineStr">
        <is>
          <t>Day 1</t>
        </is>
      </c>
      <c r="C32" s="40" t="inlineStr">
        <is>
          <t>Fall 2026</t>
        </is>
      </c>
      <c r="D32" s="40" t="inlineStr">
        <is>
          <t>Glesner</t>
        </is>
      </c>
      <c r="E32" s="56" t="n"/>
      <c r="F32" s="40" t="n"/>
      <c r="G32" s="40" t="n"/>
    </row>
    <row r="33" ht="15.75" customHeight="1" s="115">
      <c r="A33" s="51" t="inlineStr">
        <is>
          <t>Module 14</t>
        </is>
      </c>
      <c r="B33" s="51" t="inlineStr">
        <is>
          <t>Day 2</t>
        </is>
      </c>
      <c r="C33" s="53" t="inlineStr">
        <is>
          <t>Fall 2026</t>
        </is>
      </c>
      <c r="D33" s="53" t="inlineStr">
        <is>
          <t>Glesner</t>
        </is>
      </c>
      <c r="E33" s="62" t="n"/>
      <c r="F33" s="53" t="n"/>
      <c r="G33" s="53"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 t="inlineStr">
        <is>
          <t>NUR234  ·  Exam Reviews</t>
        </is>
      </c>
    </row>
    <row r="2">
      <c r="A2" s="8" t="inlineStr">
        <is>
          <t>NUR234</t>
        </is>
      </c>
      <c r="B2" s="9" t="inlineStr">
        <is>
          <t>NUR235</t>
        </is>
      </c>
      <c r="C2" s="9" t="inlineStr">
        <is>
          <t>NUR258</t>
        </is>
      </c>
      <c r="D2" s="16" t="inlineStr">
        <is>
          <t>🏠 START HERE</t>
        </is>
      </c>
      <c r="E2" s="15" t="inlineStr">
        <is>
          <t>📥 Sort me</t>
        </is>
      </c>
      <c r="F2" s="71" t="n"/>
      <c r="G2" s="71" t="n"/>
    </row>
    <row r="3">
      <c r="A3" s="18" t="inlineStr">
        <is>
          <t>Kaiser</t>
        </is>
      </c>
      <c r="B3" s="18" t="inlineStr">
        <is>
          <t>Buhler</t>
        </is>
      </c>
      <c r="C3" s="18" t="inlineStr">
        <is>
          <t>Glesner</t>
        </is>
      </c>
      <c r="D3" s="72" t="inlineStr">
        <is>
          <t>Exams</t>
        </is>
      </c>
      <c r="E3" s="26">
        <f>HYPERLINK('START HERE'!$B$36,"Zoom")</f>
        <v/>
      </c>
      <c r="F3" s="18" t="inlineStr">
        <is>
          <t>Review videos</t>
        </is>
      </c>
      <c r="G3" s="17" t="n"/>
    </row>
    <row r="4">
      <c r="A4" s="17" t="n"/>
      <c r="B4" s="17" t="n"/>
      <c r="C4" s="17" t="n"/>
      <c r="D4" s="17" t="n"/>
      <c r="E4" s="17" t="n"/>
      <c r="F4" s="71" t="n"/>
      <c r="G4" s="17"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1" t="inlineStr">
        <is>
          <t>Exam 1</t>
        </is>
      </c>
      <c r="B6" s="51" t="n"/>
      <c r="C6" s="53" t="inlineStr">
        <is>
          <t>Study guide</t>
        </is>
      </c>
      <c r="D6" s="53" t="inlineStr">
        <is>
          <t>Course handout</t>
        </is>
      </c>
      <c r="E6" s="53" t="inlineStr">
        <is>
          <t>PDF</t>
        </is>
      </c>
      <c r="F6" s="75">
        <f>HYPERLINK("https://drive.google.com/file/d/1G-isAusr4xSiEajdswjxRKPg2ZXah-E9/view","📄  Open")</f>
        <v/>
      </c>
      <c r="G6" s="53" t="inlineStr">
        <is>
          <t>Maternal study guide</t>
        </is>
      </c>
    </row>
    <row r="7">
      <c r="A7" s="37" t="inlineStr">
        <is>
          <t>Exam 1</t>
        </is>
      </c>
      <c r="B7" s="37" t="n"/>
      <c r="C7" s="40" t="inlineStr">
        <is>
          <t>Practice questions</t>
        </is>
      </c>
      <c r="D7" s="40" t="inlineStr">
        <is>
          <t>Dr. Renee Hansen</t>
        </is>
      </c>
      <c r="E7" s="40" t="inlineStr">
        <is>
          <t>PDF</t>
        </is>
      </c>
      <c r="F7" s="76">
        <f>HYPERLINK("https://drive.google.com/file/d/18sXhH2IZ8qhFlQThhjENr3rB-P8La9BX/view","📄  Open")</f>
        <v/>
      </c>
      <c r="G7" s="40" t="inlineStr">
        <is>
          <t>Exam prep sessions hosted by Hansen (Student Success Coach)</t>
        </is>
      </c>
    </row>
    <row r="8">
      <c r="A8" s="51" t="inlineStr">
        <is>
          <t>Exam 1</t>
        </is>
      </c>
      <c r="B8" s="51" t="n"/>
      <c r="C8" s="53" t="inlineStr">
        <is>
          <t>Module 1 - Reproductive Life Planning</t>
        </is>
      </c>
      <c r="D8" s="53" t="inlineStr">
        <is>
          <t>Exam prep (LSC)</t>
        </is>
      </c>
      <c r="E8" s="53" t="n"/>
      <c r="F8" s="75">
        <f>HYPERLINK("https://drive.google.com/file/d/1BzJX0H7asjyK1qzOoVAj85MSXLDimJYx/view","▶  Watch")</f>
        <v/>
      </c>
      <c r="G8" s="53" t="inlineStr">
        <is>
          <t>Topic: Module 1 - Reproductive Life Planning</t>
        </is>
      </c>
    </row>
    <row r="9">
      <c r="A9" s="37" t="inlineStr">
        <is>
          <t>Exam 1</t>
        </is>
      </c>
      <c r="B9" s="37" t="n"/>
      <c r="C9" s="40" t="inlineStr">
        <is>
          <t>Module 2 - Normal Pregnancy and Care of the Growing Fetus</t>
        </is>
      </c>
      <c r="D9" s="40" t="inlineStr">
        <is>
          <t>Exam prep (LSC)</t>
        </is>
      </c>
      <c r="E9" s="40" t="n"/>
      <c r="F9" s="76">
        <f>HYPERLINK("https://drive.google.com/file/d/1Bk0lxp-seYQORXcarpIuO88Viox4fuOZ/view","▶  Watch")</f>
        <v/>
      </c>
      <c r="G9" s="40" t="inlineStr">
        <is>
          <t>Topic: Module 2 - Normal Pregnancy and Care of the Growing Fetus</t>
        </is>
      </c>
    </row>
    <row r="10">
      <c r="A10" s="51" t="inlineStr">
        <is>
          <t>Exam 1</t>
        </is>
      </c>
      <c r="B10" s="51" t="n"/>
      <c r="C10" s="53" t="inlineStr">
        <is>
          <t>Module 3 - Physiologic Changes of Pregnancy</t>
        </is>
      </c>
      <c r="D10" s="53" t="inlineStr">
        <is>
          <t>Exam prep (LSC)</t>
        </is>
      </c>
      <c r="E10" s="53" t="n"/>
      <c r="F10" s="75">
        <f>HYPERLINK("https://drive.google.com/file/d/1B4wu9ddK2huKEVy10lawIK1_YhYzO6bS/view","▶  Watch")</f>
        <v/>
      </c>
      <c r="G10" s="53" t="inlineStr">
        <is>
          <t>Topic: Module 3 - Physiologic Changes of Pregnancy</t>
        </is>
      </c>
    </row>
    <row r="11">
      <c r="A11" s="37" t="inlineStr">
        <is>
          <t>Exam 1</t>
        </is>
      </c>
      <c r="B11" s="37" t="n"/>
      <c r="C11" s="40" t="inlineStr">
        <is>
          <t>Module 3 - Psychological Changes of Pregnancy</t>
        </is>
      </c>
      <c r="D11" s="40" t="inlineStr">
        <is>
          <t>Exam prep (LSC)</t>
        </is>
      </c>
      <c r="E11" s="40" t="n"/>
      <c r="F11" s="76">
        <f>HYPERLINK("https://drive.google.com/file/d/15AJVaRpwi7uCi97zYj2Cd01PrGjJ5xTs/view","▶  Watch")</f>
        <v/>
      </c>
      <c r="G11" s="40" t="inlineStr">
        <is>
          <t>Topic: Module 3 - Psychological Changes of Pregnancy</t>
        </is>
      </c>
    </row>
    <row r="12">
      <c r="A12" s="51" t="inlineStr">
        <is>
          <t>Exam 1</t>
        </is>
      </c>
      <c r="B12" s="51" t="n"/>
      <c r="C12" s="53" t="inlineStr">
        <is>
          <t>Module 4 - Assessment of a Pregnant Family</t>
        </is>
      </c>
      <c r="D12" s="53" t="inlineStr">
        <is>
          <t>Exam prep (LSC)</t>
        </is>
      </c>
      <c r="E12" s="53" t="n"/>
      <c r="F12" s="75">
        <f>HYPERLINK("https://drive.google.com/file/d/1IQCgJ3dr5ipTv2VGO7t_8Vd16_cwFRKK/view","▶  Watch")</f>
        <v/>
      </c>
      <c r="G12" s="53" t="inlineStr">
        <is>
          <t>Topic: Module 4 - Assessment of a Pregnant Family</t>
        </is>
      </c>
    </row>
    <row r="13">
      <c r="A13" s="51" t="inlineStr">
        <is>
          <t>Exam 2</t>
        </is>
      </c>
      <c r="B13" s="51" t="n"/>
      <c r="C13" s="53" t="inlineStr">
        <is>
          <t>Module 5 - Prenatal</t>
        </is>
      </c>
      <c r="D13" s="53" t="inlineStr">
        <is>
          <t>Exam prep (LSC)</t>
        </is>
      </c>
      <c r="E13" s="53" t="n"/>
      <c r="F13" s="75">
        <f>HYPERLINK("https://drive.google.com/file/d/1C00mJ7cLrMjmrEFDRQPwrgq8w56Bjj3_/view","▶  Watch")</f>
        <v/>
      </c>
      <c r="G13" s="53" t="inlineStr">
        <is>
          <t>NUR234_Fall2026_LSC_Wk05_DayNA_Prenatal.mp4</t>
        </is>
      </c>
    </row>
    <row r="14">
      <c r="A14" s="51" t="inlineStr">
        <is>
          <t>Exam 2</t>
        </is>
      </c>
      <c r="B14" s="51" t="n"/>
      <c r="C14" s="53" t="inlineStr">
        <is>
          <t>Module 5 - Promoting Maternal Health</t>
        </is>
      </c>
      <c r="D14" s="53" t="inlineStr">
        <is>
          <t>Exam prep (LSC)</t>
        </is>
      </c>
      <c r="E14" s="53" t="n"/>
      <c r="F14" s="75">
        <f>HYPERLINK("https://drive.google.com/file/d/1LCdbszibb4W0yRbF9nLhKKKFeIHTmtug/view","▶  Watch")</f>
        <v/>
      </c>
      <c r="G14" s="53" t="inlineStr">
        <is>
          <t>NUR234_Fall2026_LSC_Wk05_DayNA_Promoting Maternal Health.mp4</t>
        </is>
      </c>
    </row>
    <row r="15">
      <c r="A15" s="51" t="inlineStr">
        <is>
          <t>Exam 2</t>
        </is>
      </c>
      <c r="B15" s="51" t="n"/>
      <c r="C15" s="53" t="inlineStr">
        <is>
          <t>Module 5 - Promoting Fetal Health</t>
        </is>
      </c>
      <c r="D15" s="53" t="inlineStr">
        <is>
          <t>Exam prep (LSC)</t>
        </is>
      </c>
      <c r="E15" s="53" t="n"/>
      <c r="F15" s="75">
        <f>HYPERLINK("https://drive.google.com/file/d/1ZizDdJyPX2SIYbCaVpnN9ncjhNtft7ii/view","▶  Watch")</f>
        <v/>
      </c>
      <c r="G15" s="53" t="inlineStr">
        <is>
          <t>NUR234_Fall2026_LSC_Wk05_DayNA_Promoting Fetal Health.mp4</t>
        </is>
      </c>
    </row>
    <row r="16">
      <c r="A16" s="51" t="inlineStr">
        <is>
          <t>Exam 2</t>
        </is>
      </c>
      <c r="B16" s="51" t="inlineStr">
        <is>
          <t>Fall 2026</t>
        </is>
      </c>
      <c r="C16" s="53" t="inlineStr">
        <is>
          <t>Module 6 - Care of a Family During Labor and Birth</t>
        </is>
      </c>
      <c r="D16" s="53" t="inlineStr">
        <is>
          <t>Exam prep (LSC)</t>
        </is>
      </c>
      <c r="E16" s="53" t="n"/>
      <c r="F16" s="75">
        <f>HYPERLINK("https://drive.google.com/file/d/1upYrXBwo5fWpYW8jlqTg8mS_DqrR1RrN/view","▶  Watch")</f>
        <v/>
      </c>
      <c r="G16" s="53" t="inlineStr">
        <is>
          <t>LSC exam prep, 76:16 on Canvas. Your phone capture of 5 Oct 11:01 PM (545 MB). NUR234_Fall2026_LSC_Wk06_DayNA_Module 6 - Care of a Family During Labor and Birth (exam prep, phone capture 5 Oct).mp4</t>
        </is>
      </c>
    </row>
    <row r="17">
      <c r="A17" s="51" t="inlineStr">
        <is>
          <t>Exam 2</t>
        </is>
      </c>
      <c r="B17" s="51" t="inlineStr">
        <is>
          <t>Fall 2026</t>
        </is>
      </c>
      <c r="C17" s="53" t="inlineStr">
        <is>
          <t>My materials - Tue 6 Oct 2:40 PM labor and birth (PC screen recording, 2.3 GB)</t>
        </is>
      </c>
      <c r="D17" s="53" t="inlineStr">
        <is>
          <t>Not named</t>
        </is>
      </c>
      <c r="E17" s="53" t="n"/>
      <c r="F17" s="75">
        <f>HYPERLINK("https://drive.google.com/file/d/15lwQeA3CG1kxZ3EC8HVENaR9QRodgD4Y/view","▶  Watch")</f>
        <v/>
      </c>
      <c r="G17" s="53" t="inlineStr">
        <is>
          <t>Topic from the speech index (labor, contractions, cervix, oxytocin, decelerations, newborn). Could be a second capture of the Module 6 exam prep or a class lecture - open it and tell me.</t>
        </is>
      </c>
    </row>
    <row r="18">
      <c r="A18" s="37" t="inlineStr">
        <is>
          <t>Exam 3</t>
        </is>
      </c>
      <c r="B18" s="37" t="n"/>
      <c r="C18" s="40" t="n"/>
      <c r="D18" s="40" t="n"/>
      <c r="E18" s="40" t="n"/>
      <c r="F18" s="36" t="n"/>
      <c r="G18" s="40" t="n"/>
    </row>
    <row r="19">
      <c r="A19" s="37" t="inlineStr">
        <is>
          <t>Exam 3</t>
        </is>
      </c>
      <c r="B19" s="37" t="n"/>
      <c r="C19" s="40" t="n"/>
      <c r="D19" s="40" t="n"/>
      <c r="E19" s="40" t="n"/>
      <c r="F19" s="36" t="n"/>
      <c r="G19" s="40" t="n"/>
    </row>
    <row r="20" ht="15.75" customHeight="1" s="115">
      <c r="A20" s="51" t="inlineStr">
        <is>
          <t>FINAL</t>
        </is>
      </c>
      <c r="B20" s="51" t="n"/>
      <c r="C20" s="53" t="n"/>
      <c r="D20" s="53" t="n"/>
      <c r="E20" s="53" t="n"/>
      <c r="F20" s="43" t="n"/>
      <c r="G20" s="53" t="n"/>
    </row>
    <row r="21" ht="15.75" customHeight="1" s="115">
      <c r="A21" s="37" t="inlineStr">
        <is>
          <t>FINAL</t>
        </is>
      </c>
      <c r="B21" s="37" t="n"/>
      <c r="C21" s="40" t="n"/>
      <c r="D21" s="40" t="n"/>
      <c r="E21" s="40" t="n"/>
      <c r="F21" s="36" t="n"/>
      <c r="G21" s="40" t="n"/>
    </row>
    <row r="22" ht="15.75" customHeight="1" s="115">
      <c r="A22" s="51" t="inlineStr">
        <is>
          <t>FINAL</t>
        </is>
      </c>
      <c r="B22" s="51" t="n"/>
      <c r="C22" s="53" t="n"/>
      <c r="D22" s="53" t="inlineStr">
        <is>
          <t>Kaiser</t>
        </is>
      </c>
      <c r="E22" s="53" t="inlineStr">
        <is>
          <t>Video</t>
        </is>
      </c>
      <c r="F22" s="41">
        <f>HYPERLINK("https://drive.google.com/file/d/1osViOBDNkX1DvBYY87Q6e9YPmC2yXvWZ/view","▶  Watch")</f>
        <v/>
      </c>
      <c r="G22" s="53" t="inlineStr">
        <is>
          <t>Kaiser final review.mp4</t>
        </is>
      </c>
    </row>
    <row r="23" ht="15.75" customHeight="1" s="115">
      <c r="A23" s="37" t="inlineStr">
        <is>
          <t>FINAL</t>
        </is>
      </c>
      <c r="B23" s="37" t="n"/>
      <c r="C23" s="40" t="n"/>
      <c r="D23" s="40" t="inlineStr">
        <is>
          <t>Kaiser</t>
        </is>
      </c>
      <c r="E23" s="40" t="inlineStr">
        <is>
          <t>Video</t>
        </is>
      </c>
      <c r="F23" s="47">
        <f>HYPERLINK("https://drive.google.com/file/d/1o5rlqxPFoHyGm38nNnVlNWZFdmCAcwJg/view","▶  Watch")</f>
        <v/>
      </c>
      <c r="G23" s="40" t="inlineStr">
        <is>
          <t>Kaiser final review 2.mp4</t>
        </is>
      </c>
    </row>
    <row r="24" ht="15.75" customHeight="1" s="115">
      <c r="A24" s="51" t="inlineStr">
        <is>
          <t>FINAL</t>
        </is>
      </c>
      <c r="B24" s="53" t="inlineStr">
        <is>
          <t>Summer 2026</t>
        </is>
      </c>
      <c r="C24" s="53" t="inlineStr">
        <is>
          <t>Final exam review - fetal heart rate monitoring and decelerations (6 Aug)</t>
        </is>
      </c>
      <c r="D24" s="53" t="inlineStr">
        <is>
          <t>Kaiser</t>
        </is>
      </c>
      <c r="E24" s="53" t="inlineStr">
        <is>
          <t>Video</t>
        </is>
      </c>
      <c r="F24" s="41">
        <f>HYPERLINK("https://drive.google.com/file/d/1AF4APNVK1nUVKVsDeOE_Mepqj-en-ldM/view","▶  Watch")</f>
        <v/>
      </c>
      <c r="G24" s="53" t="inlineStr">
        <is>
          <t>190 MB. The duplicate copy this row linked before was trashed on 6 Oct.</t>
        </is>
      </c>
    </row>
    <row r="25" ht="15.75" customHeight="1" s="115">
      <c r="A25" s="37" t="inlineStr">
        <is>
          <t>FINAL</t>
        </is>
      </c>
      <c r="B25" s="40" t="inlineStr">
        <is>
          <t>Summer 2026</t>
        </is>
      </c>
      <c r="C25" s="40" t="inlineStr">
        <is>
          <t>Final exam review day 2 - obstetric concepts and exam logistics (7 Aug)</t>
        </is>
      </c>
      <c r="D25" s="40" t="inlineStr">
        <is>
          <t>Kaiser</t>
        </is>
      </c>
      <c r="E25" s="40" t="inlineStr">
        <is>
          <t>Video</t>
        </is>
      </c>
      <c r="F25" s="47">
        <f>HYPERLINK("https://drive.google.com/file/d/10tLIx65hCfOM86q3mZgMt6S33lH0fiIs/view","▶  Watch")</f>
        <v/>
      </c>
      <c r="G25" s="40" t="inlineStr">
        <is>
          <t>237 MB. The duplicate copy this row linked before was trashed on 6 Oct.</t>
        </is>
      </c>
    </row>
    <row r="26" ht="15.75" customHeight="1" s="115">
      <c r="A26" s="37" t="inlineStr">
        <is>
          <t>Exam 2</t>
        </is>
      </c>
      <c r="B26" s="40" t="inlineStr">
        <is>
          <t>Fall 2026</t>
        </is>
      </c>
      <c r="C26" s="40" t="inlineStr">
        <is>
          <t>Module 7 - Providing Comfort During Labor and Birth</t>
        </is>
      </c>
      <c r="D26" s="40" t="inlineStr">
        <is>
          <t>Exam prep (LSC)</t>
        </is>
      </c>
      <c r="E26" s="40" t="inlineStr">
        <is>
          <t>Video</t>
        </is>
      </c>
      <c r="F26" s="47">
        <f>HYPERLINK("https://drive.google.com/file/d/1OND6CFsBlaoVjdanIfzFOYAFrFHlu4qQ/view","▶  Watch")</f>
        <v/>
      </c>
      <c r="G26" s="40" t="inlineStr">
        <is>
          <t>LSC exam prep, 30 Sep session (date on the title slide). Screen recording uploaded 12 Oct.</t>
        </is>
      </c>
    </row>
    <row r="27" ht="15.75" customHeight="1" s="115">
      <c r="A27" s="63" t="n"/>
      <c r="B27" s="63" t="n"/>
      <c r="C27" s="63" t="n"/>
      <c r="D27" s="63" t="n"/>
      <c r="E27" s="63" t="n"/>
      <c r="F27" s="77" t="n"/>
      <c r="G27" s="63" t="n"/>
    </row>
    <row r="28" ht="15.75" customHeight="1" s="115">
      <c r="A28" s="63" t="n"/>
      <c r="B28" s="63" t="n"/>
      <c r="C28" s="63" t="n"/>
      <c r="D28" s="63" t="n"/>
      <c r="E28" s="63" t="n"/>
      <c r="F28" s="77" t="n"/>
      <c r="G28" s="63" t="n"/>
    </row>
    <row r="29" ht="15.75" customHeight="1" s="115">
      <c r="A29" s="63" t="n"/>
      <c r="B29" s="63" t="n"/>
      <c r="C29" s="63" t="n"/>
      <c r="D29" s="63" t="n"/>
      <c r="E29" s="63" t="n"/>
      <c r="F29" s="77" t="n"/>
      <c r="G29" s="63" t="n"/>
    </row>
    <row r="30" ht="15.75" customHeight="1" s="115">
      <c r="A30" s="63" t="n"/>
      <c r="B30" s="63" t="n"/>
      <c r="C30" s="63" t="n"/>
      <c r="D30" s="63" t="n"/>
      <c r="E30" s="63" t="n"/>
      <c r="F30" s="77" t="n"/>
      <c r="G30" s="63" t="n"/>
    </row>
    <row r="31" ht="15.75" customHeight="1" s="115">
      <c r="A31" s="63" t="n"/>
      <c r="B31" s="63" t="n"/>
      <c r="C31" s="63" t="n"/>
      <c r="D31" s="63" t="n"/>
      <c r="E31" s="63" t="n"/>
      <c r="F31" s="77" t="n"/>
      <c r="G31" s="63"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Review videos (SimpleNursing, LevelUpRN)</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18" t="inlineStr">
        <is>
          <t>Buhler</t>
        </is>
      </c>
      <c r="C3" s="18" t="inlineStr">
        <is>
          <t>Glesner</t>
        </is>
      </c>
      <c r="D3" s="18" t="inlineStr">
        <is>
          <t>Exams</t>
        </is>
      </c>
      <c r="E3" s="18">
        <f>HYPERLINK('START HERE'!$B$36,"Zoom")</f>
        <v/>
      </c>
      <c r="F3" s="20"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7" t="inlineStr">
        <is>
          <t>Module 4</t>
        </is>
      </c>
      <c r="B6" s="37" t="n"/>
      <c r="C6" s="40" t="inlineStr">
        <is>
          <t>Fall 2026</t>
        </is>
      </c>
      <c r="D6" s="40" t="inlineStr">
        <is>
          <t>SimpleNursing</t>
        </is>
      </c>
      <c r="E6" s="48">
        <f>HYPERLINK("https://drive.google.com/file/d/1pgU5LoYTYvekWGEAVDc_FM2V9a9vZt3R/view","▶  Watch")</f>
        <v/>
      </c>
      <c r="F6" s="40" t="inlineStr">
        <is>
          <t>NUR234_Fall2026_SimpleNursing_Wk04_DayNA_Prenatal.mp4</t>
        </is>
      </c>
      <c r="G6" s="40" t="inlineStr">
        <is>
          <t>Prenatal</t>
        </is>
      </c>
    </row>
    <row r="7">
      <c r="A7" s="37" t="inlineStr">
        <is>
          <t>Module 4</t>
        </is>
      </c>
      <c r="B7" s="37" t="n"/>
      <c r="C7" s="40" t="inlineStr">
        <is>
          <t>Fall 2026</t>
        </is>
      </c>
      <c r="D7" s="40" t="inlineStr">
        <is>
          <t>LevelUpRN</t>
        </is>
      </c>
      <c r="E7" s="48">
        <f>HYPERLINK("https://drive.google.com/file/d/15yBK_X6MeGMRWjqwMyAbB5HKeTWhp6HD/view","▶  Watch")</f>
        <v/>
      </c>
      <c r="F7" s="40" t="inlineStr">
        <is>
          <t>NUR234_Fall2026_LevelUpRN_Wk04_DayNA_Pregnancy assessment.mp4</t>
        </is>
      </c>
      <c r="G7" s="40" t="inlineStr">
        <is>
          <t>Pregnancy assessment (signs of pregnancy), 16 min</t>
        </is>
      </c>
    </row>
    <row r="8">
      <c r="A8" s="37" t="inlineStr">
        <is>
          <t>Module 6</t>
        </is>
      </c>
      <c r="B8" s="37" t="n"/>
      <c r="C8" s="40" t="inlineStr">
        <is>
          <t>Fall 2026</t>
        </is>
      </c>
      <c r="D8" s="40" t="inlineStr">
        <is>
          <t>Unknown (phone screen recording)</t>
        </is>
      </c>
      <c r="E8" s="48">
        <f>HYPERLINK("https://drive.google.com/file/d/1Dwm50ylx3yz3EJ0-N0SvmogUF0yAlUqQ/view","▶  Watch")</f>
        <v/>
      </c>
      <c r="F8" s="40" t="inlineStr">
        <is>
          <t>NUR234_Fall2026_Unknown_Wk06_DayNA_Labor and birth through postpartum - long review (topic from the speech index).mp4</t>
        </is>
      </c>
      <c r="G8" s="40" t="inlineStr">
        <is>
          <t>Labor and birth through postpartum - long review, 13 Oct (topic from the speech index)</t>
        </is>
      </c>
    </row>
    <row r="9">
      <c r="A9" s="37" t="inlineStr">
        <is>
          <t>Module 6</t>
        </is>
      </c>
      <c r="B9" s="37" t="n"/>
      <c r="C9" s="40" t="inlineStr">
        <is>
          <t>Fall 2026</t>
        </is>
      </c>
      <c r="D9" s="40" t="inlineStr">
        <is>
          <t>Unknown (phone screen recording)</t>
        </is>
      </c>
      <c r="E9" s="48">
        <f>HYPERLINK("https://drive.google.com/file/d/1Xp6_wp80JrWMVY9e_xGbJXNq6Z3MxWJE/view","▶  Watch")</f>
        <v/>
      </c>
      <c r="F9" s="40" t="inlineStr">
        <is>
          <t>NUR234_Fall2026_Unknown_Wk06_DayNA_Stages of labor - short clip (topic from the speech index).mp4</t>
        </is>
      </c>
      <c r="G9" s="40" t="inlineStr">
        <is>
          <t>Stages of labor - short clip (topic from the speech index)</t>
        </is>
      </c>
    </row>
    <row r="10">
      <c r="A10" s="37" t="inlineStr">
        <is>
          <t>Module 7</t>
        </is>
      </c>
      <c r="B10" s="37" t="n"/>
      <c r="C10" s="40" t="inlineStr">
        <is>
          <t>Fall 2026</t>
        </is>
      </c>
      <c r="D10" s="40" t="inlineStr">
        <is>
          <t>Unknown (phone screen recording)</t>
        </is>
      </c>
      <c r="E10" s="48">
        <f>HYPERLINK("https://drive.google.com/file/d/1IoL267vfSN-P_Qj-gcKphpQjz0xIdieX/view","▶  Watch")</f>
        <v/>
      </c>
      <c r="F10" s="40" t="inlineStr">
        <is>
          <t>NUR234_Fall2026_Unknown_Wk07_DayNA_Labor comfort and epidural analgesia (topic from the speech index).mp4</t>
        </is>
      </c>
      <c r="G10" s="40" t="inlineStr">
        <is>
          <t>Labor comfort and epidural analgesia (topic from the speech index)</t>
        </is>
      </c>
    </row>
    <row r="11">
      <c r="A11" s="37" t="inlineStr">
        <is>
          <t>Module 7</t>
        </is>
      </c>
      <c r="B11" s="37" t="n"/>
      <c r="C11" s="40" t="inlineStr">
        <is>
          <t>Fall 2026</t>
        </is>
      </c>
      <c r="D11" s="40" t="inlineStr">
        <is>
          <t>Unknown (phone screen recording)</t>
        </is>
      </c>
      <c r="E11" s="48">
        <f>HYPERLINK("https://drive.google.com/file/d/13OolTf_iJ-_ALn0BVFwxRFac838sZsTB/view","▶  Watch")</f>
        <v/>
      </c>
      <c r="F11" s="40" t="inlineStr">
        <is>
          <t>NUR234_Fall2026_Unknown_Wk07_DayNA_Labor - decelerations and epidural, into postpartum (topic from the speech index).mp4</t>
        </is>
      </c>
      <c r="G11" s="40" t="inlineStr">
        <is>
          <t>Labor - decelerations and epidural, into postpartum (topic from the speech index)</t>
        </is>
      </c>
    </row>
    <row r="12">
      <c r="A12" s="37" t="inlineStr">
        <is>
          <t>Module 10</t>
        </is>
      </c>
      <c r="B12" s="37" t="n"/>
      <c r="C12" s="40" t="inlineStr">
        <is>
          <t>Fall 2026</t>
        </is>
      </c>
      <c r="D12" s="40" t="inlineStr">
        <is>
          <t>Unknown (phone screen recording)</t>
        </is>
      </c>
      <c r="E12" s="48">
        <f>HYPERLINK("https://drive.google.com/file/d/1j6dNqG8xues184G5jE2QUj5tCIHQzknT/view","▶  Watch")</f>
        <v/>
      </c>
      <c r="F12" s="40" t="inlineStr">
        <is>
          <t>NUR234_Fall2026_Unknown_Wk10_DayNA_Labor complications - cord and hemorrhage (topic from the speech index).mp4</t>
        </is>
      </c>
      <c r="G12" s="40" t="inlineStr">
        <is>
          <t>Labor complications - cord and hemorrhage (topic from the speech index)</t>
        </is>
      </c>
    </row>
    <row r="13">
      <c r="A13" s="37" t="inlineStr">
        <is>
          <t>Module 10</t>
        </is>
      </c>
      <c r="B13" s="37" t="n"/>
      <c r="C13" s="40" t="inlineStr">
        <is>
          <t>Fall 2026</t>
        </is>
      </c>
      <c r="D13" s="40" t="inlineStr">
        <is>
          <t>Unknown (phone screen recording)</t>
        </is>
      </c>
      <c r="E13" s="48">
        <f>HYPERLINK("https://drive.google.com/file/d/1lHL8EV4Begdl4Zqngs3okBa-97ZJobZr/view","▶  Watch")</f>
        <v/>
      </c>
      <c r="F13" s="40" t="inlineStr">
        <is>
          <t>NUR234_Fall2026_Unknown_Wk10_DayNA_Preterm labor, PROM, magnesium and steroids (topic from the speech index).mp4</t>
        </is>
      </c>
      <c r="G13" s="40" t="inlineStr">
        <is>
          <t>Preterm labor, PROM, magnesium and steroids (topic from the speech index)</t>
        </is>
      </c>
    </row>
    <row r="14">
      <c r="A14" s="37" t="inlineStr">
        <is>
          <t>Module 10</t>
        </is>
      </c>
      <c r="B14" s="37" t="n"/>
      <c r="C14" s="40" t="inlineStr">
        <is>
          <t>Fall 2026</t>
        </is>
      </c>
      <c r="D14" s="40" t="inlineStr">
        <is>
          <t>Unknown (phone screen recording)</t>
        </is>
      </c>
      <c r="E14" s="48">
        <f>HYPERLINK("https://drive.google.com/file/d/15j79_TUzZoaDp-Ag766C-0crr7W7jLJ_/view","▶  Watch")</f>
        <v/>
      </c>
      <c r="F14" s="40" t="inlineStr">
        <is>
          <t>NUR234_Fall2026_Unknown_Wk10_DayNA_PROM, preterm labor and induction (topic from the speech index).mp4</t>
        </is>
      </c>
      <c r="G14" s="40" t="inlineStr">
        <is>
          <t>PROM, preterm labor and induction (topic from the speech index)</t>
        </is>
      </c>
    </row>
    <row r="15">
      <c r="A15" s="37" t="inlineStr">
        <is>
          <t>Module 11</t>
        </is>
      </c>
      <c r="B15" s="37" t="n"/>
      <c r="C15" s="40" t="inlineStr">
        <is>
          <t>Fall 2026</t>
        </is>
      </c>
      <c r="D15" s="40" t="inlineStr">
        <is>
          <t>SimpleNursing</t>
        </is>
      </c>
      <c r="E15" s="48">
        <f>HYPERLINK("https://drive.google.com/file/d/1hqFdx6DfX1FNsug1FdXKFebdLC4zZTrb/view","▶  Watch")</f>
        <v/>
      </c>
      <c r="F15" s="40" t="inlineStr">
        <is>
          <t>NUR234_Fall2026_SimpleNursing_Wk11_DayNA_Postpartum.mp4</t>
        </is>
      </c>
      <c r="G15" s="40" t="inlineStr">
        <is>
          <t>Postpartum</t>
        </is>
      </c>
    </row>
    <row r="16">
      <c r="A16" s="37" t="inlineStr">
        <is>
          <t>Module 11</t>
        </is>
      </c>
      <c r="B16" s="37" t="n"/>
      <c r="C16" s="40" t="inlineStr">
        <is>
          <t>Fall 2026</t>
        </is>
      </c>
      <c r="D16" s="40" t="inlineStr">
        <is>
          <t>SimpleNursing</t>
        </is>
      </c>
      <c r="E16" s="48">
        <f>HYPERLINK("https://drive.google.com/file/d/1lCViTFE-CQHkPl_uGvYD8wetuimhHK_H/view","▶  Watch")</f>
        <v/>
      </c>
      <c r="F16" s="40" t="inlineStr">
        <is>
          <t>NUR234_Fall2026_SimpleNursing_Wk11_DayNA_Postpartum hemorrhage - may be a second recording of the SN Postpartum video (topic from the speech index).mp4</t>
        </is>
      </c>
      <c r="G16" s="40" t="inlineStr">
        <is>
          <t>Postpartum hemorrhage - may repeat the Postpartum video (topic from the speech index)</t>
        </is>
      </c>
    </row>
    <row r="17">
      <c r="A17" s="37" t="inlineStr">
        <is>
          <t>Module 11</t>
        </is>
      </c>
      <c r="B17" s="37" t="n"/>
      <c r="C17" s="40" t="inlineStr">
        <is>
          <t>Fall 2026</t>
        </is>
      </c>
      <c r="D17" s="40" t="inlineStr">
        <is>
          <t>Unknown (phone screen recording)</t>
        </is>
      </c>
      <c r="E17" s="48">
        <f>HYPERLINK("https://drive.google.com/file/d/1cLgtL-Hul0dvxCPtgG9ZpQVjaBNqoIP9/view","▶  Watch")</f>
        <v/>
      </c>
      <c r="F17" s="40" t="inlineStr">
        <is>
          <t>NUR234_Fall2026_Unknown_Wk11_DayNA_Labor through postpartum and newborn - long review (topic from the speech index).mp4</t>
        </is>
      </c>
      <c r="G17" s="40" t="inlineStr">
        <is>
          <t>Labor through postpartum and newborn - long review, 13 Oct (topic from the speech index)</t>
        </is>
      </c>
    </row>
    <row r="18">
      <c r="A18" s="37" t="inlineStr">
        <is>
          <t>Module 12</t>
        </is>
      </c>
      <c r="B18" s="37" t="n"/>
      <c r="C18" s="40" t="inlineStr">
        <is>
          <t>Fall 2026</t>
        </is>
      </c>
      <c r="D18" s="40" t="inlineStr">
        <is>
          <t>SimpleNursing</t>
        </is>
      </c>
      <c r="E18" s="48">
        <f>HYPERLINK("https://drive.google.com/file/d/1l5inYotFOxhEOwvsRSncGTmku7GByYKv/view","▶  Watch")</f>
        <v/>
      </c>
      <c r="F18" s="40" t="inlineStr">
        <is>
          <t>NUR234_Fall2026_SimpleNursing_Wk12_DayNA_Newborn assessment and breastfeeding (topic from the speech index).mp4</t>
        </is>
      </c>
      <c r="G18" s="40" t="inlineStr">
        <is>
          <t>Newborn assessment and breastfeeding (topic from the speech index)</t>
        </is>
      </c>
    </row>
    <row r="19">
      <c r="A19" s="37" t="inlineStr">
        <is>
          <t>Module 12</t>
        </is>
      </c>
      <c r="B19" s="37" t="n"/>
      <c r="C19" s="40" t="inlineStr">
        <is>
          <t>Fall 2026</t>
        </is>
      </c>
      <c r="D19" s="40" t="inlineStr">
        <is>
          <t>Unknown (phone screen recording)</t>
        </is>
      </c>
      <c r="E19" s="48">
        <f>HYPERLINK("https://drive.google.com/file/d/1Y_1xWzwdinS7RCrfBEEs47yUyj7_AZfF/view","▶  Watch")</f>
        <v/>
      </c>
      <c r="F19" s="40" t="inlineStr">
        <is>
          <t>NUR234_Fall2026_Unknown_Wk12_DayNA_Newborn care - circumcision (topic from the speech index).mp4</t>
        </is>
      </c>
      <c r="G19" s="40" t="inlineStr">
        <is>
          <t>Newborn care - circumcision (topic from the speech index)</t>
        </is>
      </c>
    </row>
    <row r="20">
      <c r="A20" s="37" t="inlineStr">
        <is>
          <t>Module 12</t>
        </is>
      </c>
      <c r="B20" s="37" t="n"/>
      <c r="C20" s="40" t="inlineStr">
        <is>
          <t>Fall 2026</t>
        </is>
      </c>
      <c r="D20" s="40" t="inlineStr">
        <is>
          <t>Unknown (phone screen recording)</t>
        </is>
      </c>
      <c r="E20" s="48">
        <f>HYPERLINK("https://drive.google.com/file/d/1Xw8W4M3TOLJimC7O_70LIj_6B2lxNPvn/view","▶  Watch")</f>
        <v/>
      </c>
      <c r="F20" s="40" t="inlineStr">
        <is>
          <t>NUR234_Fall2026_Unknown_Wk12_DayNA_Newborn - short clip (topic from the speech index).mp4</t>
        </is>
      </c>
      <c r="G20" s="40" t="inlineStr">
        <is>
          <t>Newborn - short clip (topic from the speech index)</t>
        </is>
      </c>
    </row>
    <row r="21" ht="15.75" customHeight="1" s="115">
      <c r="A21" s="37" t="inlineStr">
        <is>
          <t>Module 13</t>
        </is>
      </c>
      <c r="B21" s="37" t="n"/>
      <c r="C21" s="40" t="inlineStr">
        <is>
          <t>Fall 2026</t>
        </is>
      </c>
      <c r="D21" s="40" t="inlineStr">
        <is>
          <t>Unknown (phone screen recording)</t>
        </is>
      </c>
      <c r="E21" s="48">
        <f>HYPERLINK("https://drive.google.com/file/d/1QtlaEToar2eiKv3807xb1JJySdHOwLDF/view","▶  Watch")</f>
        <v/>
      </c>
      <c r="F21" s="40" t="inlineStr">
        <is>
          <t>NUR234_Fall2026_Unknown_Wk13_DayNA_Newborn feeding and nutrition (topic from the speech index).mp4</t>
        </is>
      </c>
      <c r="G21" s="40" t="inlineStr">
        <is>
          <t>Newborn feeding and nutrition (topic from the speech index)</t>
        </is>
      </c>
    </row>
    <row r="22" ht="15.75" customHeight="1" s="115">
      <c r="A22" s="37" t="inlineStr">
        <is>
          <t>Module 14</t>
        </is>
      </c>
      <c r="B22" s="37" t="n"/>
      <c r="C22" s="40" t="inlineStr">
        <is>
          <t>Fall 2026</t>
        </is>
      </c>
      <c r="D22" s="40" t="inlineStr">
        <is>
          <t>SimpleNursing</t>
        </is>
      </c>
      <c r="E22" s="48">
        <f>HYPERLINK("https://drive.google.com/file/d/1f_zRVwX1ESPiNw9NP_EnJ0Aua03stm3G/view","▶  Watch")</f>
        <v/>
      </c>
      <c r="F22" s="40" t="inlineStr">
        <is>
          <t>NUR234_Fall2026_SimpleNursing_Wk14_DayNA_High-risk newborn - jaundice and hypoglycemia (topic from the speech index).mp4</t>
        </is>
      </c>
      <c r="G22" s="40" t="inlineStr">
        <is>
          <t>High-risk newborn - jaundice and hypoglycemia (topic from the speech index)</t>
        </is>
      </c>
    </row>
    <row r="23" ht="15.75" customHeight="1" s="115">
      <c r="A23" s="37" t="inlineStr">
        <is>
          <t>Module 14</t>
        </is>
      </c>
      <c r="B23" s="37" t="n"/>
      <c r="C23" s="40" t="inlineStr">
        <is>
          <t>Fall 2026</t>
        </is>
      </c>
      <c r="D23" s="40" t="inlineStr">
        <is>
          <t>Unknown (phone screen recording)</t>
        </is>
      </c>
      <c r="E23" s="48">
        <f>HYPERLINK("https://drive.google.com/file/d/1PYtV-0SRsk62ByK-ISfXw_F4zn4m6vvm/view","▶  Watch")</f>
        <v/>
      </c>
      <c r="F23" s="40" t="inlineStr">
        <is>
          <t>NUR234_Fall2026_Unknown_Wk14_DayNA_Newborn jaundice, hypoglycemia and breastfeeding (topic from the speech index).mp4</t>
        </is>
      </c>
      <c r="G23" s="40" t="inlineStr">
        <is>
          <t>Newborn jaundice, hypoglycemia and breastfeeding (topic from the speech index)</t>
        </is>
      </c>
    </row>
    <row r="24" ht="15.75" customHeight="1" s="115">
      <c r="A24" s="37" t="n"/>
      <c r="B24" s="37" t="n"/>
      <c r="C24" s="40" t="n"/>
      <c r="D24" s="40" t="n"/>
      <c r="E24" s="56" t="n"/>
      <c r="F24" s="40" t="n"/>
      <c r="G24" s="40" t="n"/>
    </row>
    <row r="25" ht="15.75" customHeight="1" s="115">
      <c r="A25" s="51" t="n"/>
      <c r="B25" s="51" t="n"/>
      <c r="C25" s="53" t="n"/>
      <c r="D25" s="53" t="n"/>
      <c r="E25" s="62" t="n"/>
      <c r="F25" s="53" t="n"/>
      <c r="G25" s="53" t="n"/>
    </row>
    <row r="26" ht="15.75" customHeight="1" s="115">
      <c r="A26" s="37" t="n"/>
      <c r="B26" s="37" t="n"/>
      <c r="C26" s="40" t="n"/>
      <c r="D26" s="40" t="n"/>
      <c r="E26" s="56" t="n"/>
      <c r="F26" s="40" t="n"/>
      <c r="G26" s="40" t="n"/>
    </row>
    <row r="27" ht="15.75" customHeight="1" s="115">
      <c r="A27" s="51" t="n"/>
      <c r="B27" s="51" t="n"/>
      <c r="C27" s="53" t="n"/>
      <c r="D27" s="53" t="n"/>
      <c r="E27" s="62" t="n"/>
      <c r="F27" s="53" t="n"/>
      <c r="G27" s="53" t="n"/>
    </row>
    <row r="28" ht="15.75" customHeight="1" s="115">
      <c r="A28" s="37" t="n"/>
      <c r="B28" s="37" t="n"/>
      <c r="C28" s="40" t="n"/>
      <c r="D28" s="40" t="n"/>
      <c r="E28" s="56" t="n"/>
      <c r="F28" s="40" t="n"/>
      <c r="G28" s="40" t="n"/>
    </row>
    <row r="29" ht="15.75" customHeight="1" s="115">
      <c r="A29" s="51" t="n"/>
      <c r="B29" s="51" t="n"/>
      <c r="C29" s="53" t="n"/>
      <c r="D29" s="53" t="n"/>
      <c r="E29" s="62" t="n"/>
      <c r="F29" s="53" t="n"/>
      <c r="G29" s="53" t="n"/>
    </row>
    <row r="30" ht="15.75" customHeight="1" s="115">
      <c r="A30" s="37" t="n"/>
      <c r="B30" s="37" t="n"/>
      <c r="C30" s="40" t="n"/>
      <c r="D30" s="40" t="n"/>
      <c r="E30" s="56" t="n"/>
      <c r="F30" s="40" t="n"/>
      <c r="G30" s="40" t="n"/>
    </row>
    <row r="31" ht="15.75" customHeight="1" s="115">
      <c r="A31" s="51" t="n"/>
      <c r="B31" s="51" t="n"/>
      <c r="C31" s="53" t="n"/>
      <c r="D31" s="53" t="n"/>
      <c r="E31" s="62" t="n"/>
      <c r="F31" s="53" t="n"/>
      <c r="G31" s="53" t="n"/>
    </row>
    <row r="32" ht="15.75" customHeight="1" s="115">
      <c r="A32" s="37" t="n"/>
      <c r="B32" s="37" t="n"/>
      <c r="C32" s="40" t="n"/>
      <c r="D32" s="40" t="n"/>
      <c r="E32" s="56" t="n"/>
      <c r="F32" s="40" t="n"/>
      <c r="G32" s="40" t="n"/>
    </row>
    <row r="33" ht="15.75" customHeight="1" s="115">
      <c r="A33" s="51" t="n"/>
      <c r="B33" s="51" t="n"/>
      <c r="C33" s="53" t="n"/>
      <c r="D33" s="53" t="n"/>
      <c r="E33" s="62" t="n"/>
      <c r="F33" s="53" t="n"/>
      <c r="G33" s="53"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6" t="inlineStr">
        <is>
          <t>🏠 START HERE</t>
        </is>
      </c>
      <c r="E2" s="15" t="inlineStr">
        <is>
          <t>📥 Sort me</t>
        </is>
      </c>
      <c r="F2" s="17" t="n"/>
      <c r="G2" s="17" t="n"/>
      <c r="H2" s="5" t="n"/>
      <c r="I2" s="5" t="n"/>
      <c r="J2" s="5" t="n"/>
      <c r="K2" s="5" t="n"/>
      <c r="L2" s="5" t="n"/>
      <c r="M2" s="5" t="n"/>
      <c r="N2" s="5" t="n"/>
      <c r="O2" s="5" t="n"/>
      <c r="P2" s="5" t="n"/>
      <c r="Q2" s="5" t="n"/>
      <c r="R2" s="5" t="n"/>
      <c r="S2" s="5" t="n"/>
      <c r="T2" s="5" t="n"/>
      <c r="U2" s="5" t="n"/>
      <c r="V2" s="5" t="n"/>
      <c r="W2" s="5" t="n"/>
      <c r="X2" s="5" t="n"/>
      <c r="Y2" s="5" t="n"/>
      <c r="Z2" s="5" t="n"/>
    </row>
    <row r="3">
      <c r="A3" s="18" t="inlineStr">
        <is>
          <t>Fadell</t>
        </is>
      </c>
      <c r="B3" s="18" t="inlineStr">
        <is>
          <t>Fuller</t>
        </is>
      </c>
      <c r="C3" s="18" t="inlineStr">
        <is>
          <t>Exam Reviews</t>
        </is>
      </c>
      <c r="D3" s="18" t="n"/>
      <c r="E3" s="26">
        <f>HYPERLINK('START HERE'!$B$36,"Zoom")</f>
        <v/>
      </c>
      <c r="F3" s="18" t="inlineStr">
        <is>
          <t>Review videos</t>
        </is>
      </c>
      <c r="G3" s="17"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7" t="n"/>
      <c r="B4" s="17" t="n"/>
      <c r="C4" s="17" t="n"/>
      <c r="D4" s="17" t="n"/>
      <c r="E4" s="17" t="n"/>
      <c r="F4" s="17" t="n"/>
      <c r="G4" s="17"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9" t="inlineStr">
        <is>
          <t>NUR234</t>
        </is>
      </c>
      <c r="B2" s="11" t="inlineStr">
        <is>
          <t>NUR235</t>
        </is>
      </c>
      <c r="C2" s="9" t="inlineStr">
        <is>
          <t>NUR258</t>
        </is>
      </c>
      <c r="D2" s="16" t="inlineStr">
        <is>
          <t>🏠 START HERE</t>
        </is>
      </c>
      <c r="E2" s="15" t="inlineStr">
        <is>
          <t>📥 Sort me</t>
        </is>
      </c>
      <c r="F2" s="17" t="n"/>
      <c r="G2" s="17" t="n"/>
    </row>
    <row r="3">
      <c r="A3" s="18" t="inlineStr">
        <is>
          <t>Fadell</t>
        </is>
      </c>
      <c r="B3" s="18" t="inlineStr">
        <is>
          <t>Fuller</t>
        </is>
      </c>
      <c r="C3" s="18" t="inlineStr">
        <is>
          <t>Exam Reviews</t>
        </is>
      </c>
      <c r="D3" s="18" t="n"/>
      <c r="E3" s="26">
        <f>HYPERLINK('START HERE'!$B$36,"Zoom")</f>
        <v/>
      </c>
      <c r="F3" s="18" t="inlineStr">
        <is>
          <t>Review videos</t>
        </is>
      </c>
      <c r="G3" s="17" t="inlineStr">
        <is>
          <t>Fuller teaches this Fall 2026 cohort and runs one lecture a week. Fadell is a different lecturer - last cohort’s Spring 2026 Day 1 / Day 2 recordings are on the Fadell tab.</t>
        </is>
      </c>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9" t="inlineStr">
        <is>
          <t>NUR234</t>
        </is>
      </c>
      <c r="B2" s="11" t="inlineStr">
        <is>
          <t>NUR235</t>
        </is>
      </c>
      <c r="C2" s="9" t="inlineStr">
        <is>
          <t>NUR258</t>
        </is>
      </c>
      <c r="D2" s="16" t="inlineStr">
        <is>
          <t>🏠 START HERE</t>
        </is>
      </c>
      <c r="E2" s="15" t="inlineStr">
        <is>
          <t>📥 Sort me</t>
        </is>
      </c>
      <c r="F2" s="5" t="n"/>
      <c r="G2" s="5" t="n"/>
    </row>
    <row r="3">
      <c r="A3" s="18" t="inlineStr">
        <is>
          <t>Fadell</t>
        </is>
      </c>
      <c r="B3" s="18" t="inlineStr">
        <is>
          <t>Fuller</t>
        </is>
      </c>
      <c r="C3" s="18" t="inlineStr">
        <is>
          <t>Exam Reviews</t>
        </is>
      </c>
      <c r="D3" s="18" t="n"/>
      <c r="E3" s="26">
        <f>HYPERLINK('START HERE'!$B$36,"Zoom")</f>
        <v/>
      </c>
      <c r="F3" s="18" t="inlineStr">
        <is>
          <t>Review videos</t>
        </is>
      </c>
      <c r="G3" s="5" t="n"/>
    </row>
    <row r="4">
      <c r="A4" s="17" t="n"/>
      <c r="B4" s="17" t="n"/>
      <c r="C4" s="17" t="n"/>
      <c r="D4" s="17" t="n"/>
      <c r="E4" s="17"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9" t="inlineStr">
        <is>
          <t>NUR234</t>
        </is>
      </c>
      <c r="B2" s="11" t="inlineStr">
        <is>
          <t>NUR235</t>
        </is>
      </c>
      <c r="C2" s="9" t="inlineStr">
        <is>
          <t>NUR258</t>
        </is>
      </c>
      <c r="D2" s="16" t="inlineStr">
        <is>
          <t>🏠 START HERE</t>
        </is>
      </c>
      <c r="E2" s="15" t="inlineStr">
        <is>
          <t>📥 Sort me</t>
        </is>
      </c>
      <c r="F2" s="17" t="n"/>
      <c r="G2" s="17" t="n"/>
    </row>
    <row r="3">
      <c r="A3" s="18" t="inlineStr">
        <is>
          <t>Fadell</t>
        </is>
      </c>
      <c r="B3" s="18" t="inlineStr">
        <is>
          <t>Fuller</t>
        </is>
      </c>
      <c r="C3" s="18" t="inlineStr">
        <is>
          <t>Exam Reviews</t>
        </is>
      </c>
      <c r="D3" s="18" t="n"/>
      <c r="E3" s="18">
        <f>HYPERLINK('START HERE'!$B$36,"Zoom")</f>
        <v/>
      </c>
      <c r="F3" s="93" t="inlineStr">
        <is>
          <t>Review videos</t>
        </is>
      </c>
      <c r="G3" s="17" t="n"/>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Halecka</t>
        </is>
      </c>
    </row>
    <row r="2">
      <c r="A2" s="9" t="inlineStr">
        <is>
          <t>NUR234</t>
        </is>
      </c>
      <c r="B2" s="9" t="inlineStr">
        <is>
          <t>NUR235</t>
        </is>
      </c>
      <c r="C2" s="13" t="inlineStr">
        <is>
          <t>NUR258</t>
        </is>
      </c>
      <c r="D2" s="16" t="inlineStr">
        <is>
          <t>🏠 START HERE</t>
        </is>
      </c>
      <c r="E2" s="15" t="inlineStr">
        <is>
          <t>📥 Sort me</t>
        </is>
      </c>
      <c r="F2" s="17" t="n"/>
      <c r="G2" s="17" t="n"/>
    </row>
    <row r="3">
      <c r="A3" s="94" t="inlineStr">
        <is>
          <t>Halecka</t>
        </is>
      </c>
      <c r="B3" s="18" t="inlineStr">
        <is>
          <t>Wagner</t>
        </is>
      </c>
      <c r="C3" s="18"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Wagner</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94" t="inlineStr">
        <is>
          <t>Wagner</t>
        </is>
      </c>
      <c r="C3" s="18"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Simmons</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94"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3" t="n"/>
      <c r="F10" s="70" t="n"/>
      <c r="G10" s="70" t="n"/>
    </row>
    <row r="11">
      <c r="A11" s="97" t="inlineStr">
        <is>
          <t>Week 2</t>
        </is>
      </c>
      <c r="B11" s="97" t="inlineStr">
        <is>
          <t>Day 2</t>
        </is>
      </c>
      <c r="C11" s="98" t="inlineStr">
        <is>
          <t>Fall 2026</t>
        </is>
      </c>
      <c r="D11" s="98" t="inlineStr">
        <is>
          <t>Simmons</t>
        </is>
      </c>
      <c r="E11" s="105" t="n"/>
      <c r="F11" s="98" t="n"/>
      <c r="G11" s="98" t="n"/>
    </row>
    <row r="12">
      <c r="A12" s="96" t="inlineStr">
        <is>
          <t>Week 3</t>
        </is>
      </c>
      <c r="B12" s="96" t="inlineStr">
        <is>
          <t>Day 1</t>
        </is>
      </c>
      <c r="C12" s="70" t="inlineStr">
        <is>
          <t>Fall 2026</t>
        </is>
      </c>
      <c r="D12" s="70" t="inlineStr">
        <is>
          <t>Simmons</t>
        </is>
      </c>
      <c r="E12" s="103" t="n"/>
      <c r="F12" s="70" t="n"/>
      <c r="G12" s="70" t="n"/>
    </row>
    <row r="13">
      <c r="A13" s="97" t="inlineStr">
        <is>
          <t>Week 3</t>
        </is>
      </c>
      <c r="B13" s="97" t="inlineStr">
        <is>
          <t>Day 2</t>
        </is>
      </c>
      <c r="C13" s="98" t="inlineStr">
        <is>
          <t>Fall 2026</t>
        </is>
      </c>
      <c r="D13" s="98" t="inlineStr">
        <is>
          <t>Simmons</t>
        </is>
      </c>
      <c r="E13" s="105"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5"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5"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5" t="n"/>
      <c r="F21" s="98" t="n"/>
      <c r="G21" s="98" t="n"/>
    </row>
    <row r="22" ht="15.75" customHeight="1" s="115">
      <c r="A22" s="96" t="inlineStr">
        <is>
          <t>Week 8</t>
        </is>
      </c>
      <c r="B22" s="96" t="inlineStr">
        <is>
          <t>Day 1</t>
        </is>
      </c>
      <c r="C22" s="70" t="inlineStr">
        <is>
          <t>Fall 2026</t>
        </is>
      </c>
      <c r="D22" s="70" t="inlineStr">
        <is>
          <t>Simmons</t>
        </is>
      </c>
      <c r="E22" s="103" t="n"/>
      <c r="F22" s="70" t="n"/>
      <c r="G22" s="70" t="n"/>
    </row>
    <row r="23" ht="15.75" customHeight="1" s="115">
      <c r="A23" s="97" t="inlineStr">
        <is>
          <t>Week 8</t>
        </is>
      </c>
      <c r="B23" s="97" t="inlineStr">
        <is>
          <t>Day 2</t>
        </is>
      </c>
      <c r="C23" s="98" t="inlineStr">
        <is>
          <t>Fall 2026</t>
        </is>
      </c>
      <c r="D23" s="98" t="inlineStr">
        <is>
          <t>Simmons</t>
        </is>
      </c>
      <c r="E23" s="105" t="n"/>
      <c r="F23" s="98" t="n"/>
      <c r="G23" s="98" t="n"/>
    </row>
    <row r="24" ht="15.75" customHeight="1" s="115">
      <c r="A24" s="96" t="inlineStr">
        <is>
          <t>Week 9</t>
        </is>
      </c>
      <c r="B24" s="96" t="inlineStr">
        <is>
          <t>Day 1</t>
        </is>
      </c>
      <c r="C24" s="70" t="inlineStr">
        <is>
          <t>Fall 2026</t>
        </is>
      </c>
      <c r="D24" s="70" t="inlineStr">
        <is>
          <t>Simmons</t>
        </is>
      </c>
      <c r="E24" s="103" t="n"/>
      <c r="F24" s="70" t="n"/>
      <c r="G24" s="70" t="n"/>
    </row>
    <row r="25" ht="15.75" customHeight="1" s="115">
      <c r="A25" s="97" t="inlineStr">
        <is>
          <t>Week 9</t>
        </is>
      </c>
      <c r="B25" s="97" t="inlineStr">
        <is>
          <t>Day 2</t>
        </is>
      </c>
      <c r="C25" s="98" t="inlineStr">
        <is>
          <t>Fall 2026</t>
        </is>
      </c>
      <c r="D25" s="98" t="inlineStr">
        <is>
          <t>Simmons</t>
        </is>
      </c>
      <c r="E25" s="105" t="n"/>
      <c r="F25" s="98" t="n"/>
      <c r="G25" s="98" t="n"/>
    </row>
    <row r="26" ht="15.75" customHeight="1" s="115">
      <c r="A26" s="96" t="inlineStr">
        <is>
          <t>Week 10</t>
        </is>
      </c>
      <c r="B26" s="96" t="inlineStr">
        <is>
          <t>Day 1</t>
        </is>
      </c>
      <c r="C26" s="70" t="inlineStr">
        <is>
          <t>Fall 2026</t>
        </is>
      </c>
      <c r="D26" s="70" t="inlineStr">
        <is>
          <t>Simmons</t>
        </is>
      </c>
      <c r="E26" s="103" t="n"/>
      <c r="F26" s="70" t="n"/>
      <c r="G26" s="70" t="n"/>
    </row>
    <row r="27" ht="15.75" customHeight="1" s="115">
      <c r="A27" s="97" t="inlineStr">
        <is>
          <t>Week 10</t>
        </is>
      </c>
      <c r="B27" s="97" t="inlineStr">
        <is>
          <t>Day 2</t>
        </is>
      </c>
      <c r="C27" s="98" t="inlineStr">
        <is>
          <t>Fall 2026</t>
        </is>
      </c>
      <c r="D27" s="98" t="inlineStr">
        <is>
          <t>Simmons</t>
        </is>
      </c>
      <c r="E27" s="105" t="n"/>
      <c r="F27" s="98" t="n"/>
      <c r="G27" s="98" t="n"/>
    </row>
    <row r="28" ht="15.75" customHeight="1" s="115">
      <c r="A28" s="96" t="inlineStr">
        <is>
          <t>Week 11</t>
        </is>
      </c>
      <c r="B28" s="96" t="inlineStr">
        <is>
          <t>Day 1</t>
        </is>
      </c>
      <c r="C28" s="70" t="inlineStr">
        <is>
          <t>Fall 2026</t>
        </is>
      </c>
      <c r="D28" s="70" t="inlineStr">
        <is>
          <t>Simmons</t>
        </is>
      </c>
      <c r="E28" s="103" t="n"/>
      <c r="F28" s="70" t="n"/>
      <c r="G28" s="70" t="n"/>
    </row>
    <row r="29" ht="15.75" customHeight="1" s="115">
      <c r="A29" s="97" t="inlineStr">
        <is>
          <t>Week 11</t>
        </is>
      </c>
      <c r="B29" s="97" t="inlineStr">
        <is>
          <t>Day 2</t>
        </is>
      </c>
      <c r="C29" s="98" t="inlineStr">
        <is>
          <t>Fall 2026</t>
        </is>
      </c>
      <c r="D29" s="98" t="inlineStr">
        <is>
          <t>Simmons</t>
        </is>
      </c>
      <c r="E29" s="105" t="n"/>
      <c r="F29" s="98" t="n"/>
      <c r="G29" s="98" t="n"/>
    </row>
    <row r="30" ht="15.75" customHeight="1" s="115">
      <c r="A30" s="96" t="inlineStr">
        <is>
          <t>Week 12</t>
        </is>
      </c>
      <c r="B30" s="96" t="inlineStr">
        <is>
          <t>Day 1</t>
        </is>
      </c>
      <c r="C30" s="70" t="inlineStr">
        <is>
          <t>Fall 2026</t>
        </is>
      </c>
      <c r="D30" s="70" t="inlineStr">
        <is>
          <t>Simmons</t>
        </is>
      </c>
      <c r="E30" s="103" t="n"/>
      <c r="F30" s="70" t="n"/>
      <c r="G30" s="70" t="n"/>
    </row>
    <row r="31" ht="15.75" customHeight="1" s="115">
      <c r="A31" s="97" t="inlineStr">
        <is>
          <t>Week 12</t>
        </is>
      </c>
      <c r="B31" s="97" t="inlineStr">
        <is>
          <t>Day 2</t>
        </is>
      </c>
      <c r="C31" s="98" t="inlineStr">
        <is>
          <t>Fall 2026</t>
        </is>
      </c>
      <c r="D31" s="98" t="inlineStr">
        <is>
          <t>Simmons</t>
        </is>
      </c>
      <c r="E31" s="105" t="n"/>
      <c r="F31" s="98" t="n"/>
      <c r="G31" s="98" t="n"/>
    </row>
    <row r="32" ht="15.75" customHeight="1" s="115">
      <c r="A32" s="96" t="inlineStr">
        <is>
          <t>Week 13</t>
        </is>
      </c>
      <c r="B32" s="96" t="inlineStr">
        <is>
          <t>Day 1</t>
        </is>
      </c>
      <c r="C32" s="70" t="inlineStr">
        <is>
          <t>Fall 2026</t>
        </is>
      </c>
      <c r="D32" s="70" t="inlineStr">
        <is>
          <t>Simmons</t>
        </is>
      </c>
      <c r="E32" s="103" t="n"/>
      <c r="F32" s="70" t="n"/>
      <c r="G32" s="70" t="n"/>
    </row>
    <row r="33" ht="15.75" customHeight="1" s="115">
      <c r="A33" s="97" t="inlineStr">
        <is>
          <t>Week 13</t>
        </is>
      </c>
      <c r="B33" s="97" t="inlineStr">
        <is>
          <t>Day 2</t>
        </is>
      </c>
      <c r="C33" s="98" t="inlineStr">
        <is>
          <t>Fall 2026</t>
        </is>
      </c>
      <c r="D33" s="98" t="inlineStr">
        <is>
          <t>Simmons</t>
        </is>
      </c>
      <c r="E33" s="105" t="n"/>
      <c r="F33" s="98" t="n"/>
      <c r="G33" s="98" t="n"/>
    </row>
    <row r="34" ht="15.75" customHeight="1" s="115">
      <c r="A34" s="96" t="inlineStr">
        <is>
          <t>Week 14</t>
        </is>
      </c>
      <c r="B34" s="96" t="inlineStr">
        <is>
          <t>Day 1</t>
        </is>
      </c>
      <c r="C34" s="70" t="inlineStr">
        <is>
          <t>Fall 2026</t>
        </is>
      </c>
      <c r="D34" s="70" t="inlineStr">
        <is>
          <t>Simmons</t>
        </is>
      </c>
      <c r="E34" s="103" t="n"/>
      <c r="F34" s="70" t="n"/>
      <c r="G34" s="70" t="n"/>
    </row>
    <row r="35" ht="15.75" customHeight="1" s="115">
      <c r="A35" s="97" t="inlineStr">
        <is>
          <t>Week 14</t>
        </is>
      </c>
      <c r="B35" s="97" t="inlineStr">
        <is>
          <t>Day 2</t>
        </is>
      </c>
      <c r="C35" s="98" t="inlineStr">
        <is>
          <t>Fall 2026</t>
        </is>
      </c>
      <c r="D35" s="98" t="inlineStr">
        <is>
          <t>Simmons</t>
        </is>
      </c>
      <c r="E35" s="105"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2" t="inlineStr">
        <is>
          <t>NUR258  ·  LSC Exam Reviews</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18" t="inlineStr">
        <is>
          <t>Simmons</t>
        </is>
      </c>
      <c r="D3" s="101" t="inlineStr">
        <is>
          <t>Exams</t>
        </is>
      </c>
      <c r="E3" s="26">
        <f>HYPERLINK('START HERE'!$B$36,"Zoom")</f>
        <v/>
      </c>
      <c r="F3" s="18" t="inlineStr">
        <is>
          <t>Review videos</t>
        </is>
      </c>
      <c r="G3" s="17" t="n"/>
    </row>
    <row r="4">
      <c r="A4" s="17" t="n"/>
      <c r="B4" s="17" t="n"/>
      <c r="C4" s="17" t="n"/>
      <c r="D4" s="17" t="n"/>
      <c r="E4" s="17" t="n"/>
      <c r="F4" s="17" t="n"/>
      <c r="G4" s="17"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4"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4"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4"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4"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4"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4"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4"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4" t="n"/>
    </row>
    <row r="16">
      <c r="A16" s="96" t="n"/>
      <c r="B16" s="70" t="n"/>
      <c r="C16" s="70" t="n"/>
      <c r="D16" s="70" t="n"/>
      <c r="E16" s="70" t="n"/>
      <c r="F16" s="106" t="n"/>
      <c r="G16" s="70" t="n"/>
      <c r="H16" s="104"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2" t="inlineStr">
        <is>
          <t>NUR258  ·  Review videos (SimpleNursing, LevelUpRN)</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18" t="inlineStr">
        <is>
          <t>Simmons</t>
        </is>
      </c>
      <c r="D3" s="18" t="inlineStr">
        <is>
          <t>Exams</t>
        </is>
      </c>
      <c r="E3" s="18">
        <f>HYPERLINK('START HERE'!$B$36,"Zoom")</f>
        <v/>
      </c>
      <c r="F3" s="94"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n"/>
      <c r="B22" s="96" t="n"/>
      <c r="C22" s="70" t="n"/>
      <c r="D22" s="70" t="n"/>
      <c r="E22" s="103" t="n"/>
      <c r="F22" s="70" t="n"/>
      <c r="G22" s="70" t="n"/>
    </row>
    <row r="23" ht="15.75" customHeight="1" s="115">
      <c r="A23" s="97" t="n"/>
      <c r="B23" s="97" t="n"/>
      <c r="C23" s="98" t="n"/>
      <c r="D23" s="98" t="n"/>
      <c r="E23" s="105" t="n"/>
      <c r="F23" s="98" t="n"/>
      <c r="G23" s="98" t="n"/>
    </row>
    <row r="24" ht="15.75" customHeight="1" s="115">
      <c r="A24" s="96" t="n"/>
      <c r="B24" s="96" t="n"/>
      <c r="C24" s="70" t="n"/>
      <c r="D24" s="70" t="n"/>
      <c r="E24" s="103" t="n"/>
      <c r="F24" s="70" t="n"/>
      <c r="G24" s="70" t="n"/>
    </row>
    <row r="25" ht="15.75" customHeight="1" s="115">
      <c r="A25" s="97" t="n"/>
      <c r="B25" s="97" t="n"/>
      <c r="C25" s="98" t="n"/>
      <c r="D25" s="98" t="n"/>
      <c r="E25" s="105" t="n"/>
      <c r="F25" s="98" t="n"/>
      <c r="G25" s="98" t="n"/>
    </row>
    <row r="26" ht="15.75" customHeight="1" s="115">
      <c r="A26" s="96" t="n"/>
      <c r="B26" s="96" t="n"/>
      <c r="C26" s="70" t="n"/>
      <c r="D26" s="70" t="n"/>
      <c r="E26" s="103" t="n"/>
      <c r="F26" s="70" t="n"/>
      <c r="G26" s="70" t="n"/>
    </row>
    <row r="27" ht="15.75" customHeight="1" s="115">
      <c r="A27" s="97" t="n"/>
      <c r="B27" s="97" t="n"/>
      <c r="C27" s="98" t="n"/>
      <c r="D27" s="98" t="n"/>
      <c r="E27" s="105" t="n"/>
      <c r="F27" s="98" t="n"/>
      <c r="G27" s="98" t="n"/>
    </row>
    <row r="28" ht="15.75" customHeight="1" s="115">
      <c r="A28" s="96" t="n"/>
      <c r="B28" s="96" t="n"/>
      <c r="C28" s="70" t="n"/>
      <c r="D28" s="70" t="n"/>
      <c r="E28" s="103" t="n"/>
      <c r="F28" s="70" t="n"/>
      <c r="G28" s="70" t="n"/>
    </row>
    <row r="29" ht="15.75" customHeight="1" s="115">
      <c r="A29" s="97" t="n"/>
      <c r="B29" s="97" t="n"/>
      <c r="C29" s="98" t="n"/>
      <c r="D29" s="98" t="n"/>
      <c r="E29" s="105" t="n"/>
      <c r="F29" s="98" t="n"/>
      <c r="G29" s="98" t="n"/>
    </row>
    <row r="30" ht="15.75" customHeight="1" s="115">
      <c r="A30" s="96" t="n"/>
      <c r="B30" s="96" t="n"/>
      <c r="C30" s="70" t="n"/>
      <c r="D30" s="70" t="n"/>
      <c r="E30" s="103" t="n"/>
      <c r="F30" s="70" t="n"/>
      <c r="G30" s="70" t="n"/>
    </row>
    <row r="31" ht="15.75" customHeight="1" s="115">
      <c r="A31" s="97" t="n"/>
      <c r="B31" s="97" t="n"/>
      <c r="C31" s="98" t="n"/>
      <c r="D31" s="98" t="n"/>
      <c r="E31" s="105" t="n"/>
      <c r="F31" s="98" t="n"/>
      <c r="G31" s="98" t="n"/>
    </row>
    <row r="32" ht="15.75" customHeight="1" s="115">
      <c r="A32" s="96" t="n"/>
      <c r="B32" s="96" t="n"/>
      <c r="C32" s="70" t="n"/>
      <c r="D32" s="70" t="n"/>
      <c r="E32" s="103" t="n"/>
      <c r="F32" s="70" t="n"/>
      <c r="G32" s="70" t="n"/>
    </row>
    <row r="33" ht="15.75" customHeight="1" s="115">
      <c r="A33" s="97" t="n"/>
      <c r="B33" s="97" t="n"/>
      <c r="C33" s="98" t="n"/>
      <c r="D33" s="98" t="n"/>
      <c r="E33" s="105" t="n"/>
      <c r="F33" s="98" t="n"/>
      <c r="G33" s="98" t="n"/>
    </row>
    <row r="34" ht="15.75" customHeight="1" s="115">
      <c r="A34" s="96" t="n"/>
      <c r="B34" s="96" t="n"/>
      <c r="C34" s="70" t="n"/>
      <c r="D34" s="70" t="n"/>
      <c r="E34" s="103" t="n"/>
      <c r="F34" s="70" t="n"/>
      <c r="G34" s="70" t="n"/>
    </row>
    <row r="35" ht="15.75" customHeight="1" s="115">
      <c r="A35" s="97" t="n"/>
      <c r="B35" s="97" t="n"/>
      <c r="C35" s="98" t="n"/>
      <c r="D35" s="98" t="n"/>
      <c r="E35" s="105"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9" t="inlineStr">
        <is>
          <t>NUR234</t>
        </is>
      </c>
      <c r="B2" s="11" t="inlineStr">
        <is>
          <t>NUR235</t>
        </is>
      </c>
      <c r="C2" s="9" t="inlineStr">
        <is>
          <t>NUR258</t>
        </is>
      </c>
      <c r="D2" s="16" t="inlineStr">
        <is>
          <t>🏠 START HERE</t>
        </is>
      </c>
      <c r="E2" s="15" t="inlineStr">
        <is>
          <t>📥 Sort me</t>
        </is>
      </c>
      <c r="F2" s="17" t="n"/>
      <c r="G2" s="17" t="n"/>
    </row>
    <row r="3">
      <c r="A3" s="108" t="inlineStr">
        <is>
          <t>Every exam review, exam prep and final review recording for the classes that are not in this workbook, linked to the sorted copy in the class folder.</t>
        </is>
      </c>
      <c r="B3" s="108" t="n"/>
      <c r="C3" s="108" t="n"/>
      <c r="D3" s="109" t="n"/>
      <c r="E3" s="110" t="n"/>
      <c r="F3" s="17" t="n"/>
      <c r="G3" s="17" t="n"/>
    </row>
    <row r="4">
      <c r="A4" s="17" t="n"/>
      <c r="B4" s="17" t="n"/>
      <c r="C4" s="17" t="n"/>
      <c r="D4" s="17" t="n"/>
      <c r="E4" s="17" t="n"/>
      <c r="F4" s="17" t="n"/>
      <c r="G4" s="17"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91" t="n"/>
      <c r="B58" s="91" t="n"/>
      <c r="C58" s="91" t="n"/>
      <c r="D58" s="91" t="n"/>
      <c r="E58" s="91" t="n"/>
      <c r="F58" s="91" t="n"/>
      <c r="G58" s="91"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2026-10-14T03:17:58Z</dcterms:created>
  <dcterms:modified xmlns:dcterms="http://purl.org/dc/terms/" xmlns:xsi="http://www.w3.org/2001/XMLSchema-instance" xsi:type="dcterms:W3CDTF">2026-10-14T03:18:00Z</dcterms:modified>
</cp:coreProperties>
</file>