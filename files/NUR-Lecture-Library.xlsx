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Sheet1" sheetId="4" state="visible" r:id="rId4"/>
    <sheet name="NUR234 Buhler" sheetId="5" state="visible" r:id="rId5"/>
    <sheet name="NUR234 Glesner" sheetId="6" state="visible" r:id="rId6"/>
    <sheet name="NUR234 Exam Reviews" sheetId="7" state="visible" r:id="rId7"/>
    <sheet name="NUR235 Fadell" sheetId="8" state="visible" r:id="rId8"/>
    <sheet name="NUR235 Fuller" sheetId="9" state="visible" r:id="rId9"/>
    <sheet name="NUR235 LSC exam prep" sheetId="10" state="visible" r:id="rId10"/>
    <sheet name="NUR235 Exam Reviews" sheetId="11" state="visible" r:id="rId11"/>
    <sheet name="NUR258 Halecka" sheetId="12" state="visible" r:id="rId12"/>
    <sheet name="NUR258 Wagner" sheetId="13" state="visible" r:id="rId13"/>
    <sheet name="NUR258 Simmons" sheetId="14" state="visible" r:id="rId14"/>
    <sheet name="NUR258 Exam Reviews" sheetId="15" state="visible" r:id="rId15"/>
    <sheet name="Exam Reviews (other classes)" sheetId="16" state="visible" r:id="rId16"/>
  </sheets>
  <definedNames>
    <definedName name="_xlnm._FilterDatabase" localSheetId="2" hidden="1">'NUR234 Kaiser'!$A$5:$G$41</definedName>
    <definedName name="_xlnm._FilterDatabase" localSheetId="4" hidden="1">'NUR234 Buhler'!$A$5:$G$39</definedName>
    <definedName name="_xlnm._FilterDatabase" localSheetId="6" hidden="1">'NUR234 Exam Reviews'!$A$5:$G$29</definedName>
    <definedName name="_xlnm._FilterDatabase" localSheetId="7" hidden="1">'NUR235 Fadell'!$A$5:$G$39</definedName>
    <definedName name="_xlnm._FilterDatabase" localSheetId="10"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55">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FFFFFF"/>
      <sz val="12"/>
      <u val="single"/>
    </font>
    <font>
      <name val="Arial"/>
      <b val="1"/>
      <color rgb="FF1155CC"/>
      <sz val="11"/>
      <u val="single"/>
    </font>
    <font>
      <name val="Arial"/>
      <b val="1"/>
      <color rgb="FF404040"/>
      <sz val="11"/>
    </font>
    <font>
      <name val="Arial"/>
      <b val="1"/>
      <color rgb="FFFFFFFF"/>
      <sz val="11"/>
      <u val="single"/>
    </font>
    <font>
      <name val="Arial"/>
      <color theme="1"/>
      <sz val="11"/>
    </font>
    <font>
      <name val="Arial"/>
      <b val="1"/>
      <color rgb="FF1155CC"/>
      <sz val="11"/>
      <u val="single"/>
    </font>
    <font>
      <name val="Arial"/>
      <i val="1"/>
      <color rgb="FF333333"/>
      <sz val="11"/>
    </font>
    <font>
      <name val="Arial"/>
      <b val="1"/>
      <color rgb="FFFFFFFF"/>
      <sz val="11"/>
      <u val="single"/>
    </font>
    <font>
      <name val="Arial"/>
      <b val="1"/>
      <color rgb="FFFFFFFF"/>
      <sz val="14"/>
      <u val="single"/>
    </font>
    <font>
      <name val="Arial"/>
      <color rgb="FF1155CC"/>
      <sz val="11"/>
      <u val="single"/>
    </font>
    <font>
      <name val="Arial"/>
      <b val="1"/>
      <color rgb="FFFFFFFF"/>
      <sz val="12"/>
      <u val="single"/>
    </font>
    <font>
      <name val="Arial"/>
      <color rgb="FF1155CC"/>
      <sz val="11"/>
      <u val="single"/>
    </font>
    <font>
      <name val="Arial"/>
      <b val="1"/>
      <color rgb="FFFFFFFF"/>
      <sz val="11"/>
    </font>
    <font>
      <name val="Arial"/>
      <color rgb="FFFFFFFF"/>
      <sz val="11"/>
    </font>
    <font>
      <name val="Arial"/>
      <b val="1"/>
      <color rgb="FFFFFFFF"/>
      <sz val="14"/>
      <u val="single"/>
    </font>
    <font>
      <name val="Arial"/>
      <b val="1"/>
      <color rgb="FFFFFFFF"/>
      <sz val="11"/>
      <u val="single"/>
    </font>
    <font>
      <name val="Arial"/>
      <b val="1"/>
      <color rgb="FFFFFFFF"/>
      <sz val="12"/>
      <u val="single"/>
    </font>
    <font>
      <name val="Arial"/>
      <b val="1"/>
      <color theme="0"/>
      <sz val="11"/>
      <u val="single"/>
    </font>
    <font>
      <name val="Arial"/>
      <color theme="0"/>
      <sz val="11"/>
    </font>
    <font>
      <name val="Arial"/>
      <b val="1"/>
      <color rgb="FFFFFFFF"/>
      <sz val="11"/>
      <u val="single"/>
    </font>
    <font>
      <name val="Arial"/>
      <b val="1"/>
      <color rgb="FFFFFFFF"/>
      <sz val="11"/>
      <u val="single"/>
    </font>
    <font>
      <name val="Arial"/>
      <b val="1"/>
      <color rgb="FFFFFFFF"/>
      <sz val="14"/>
      <u val="single"/>
    </font>
    <font>
      <name val="Arial"/>
      <b val="1"/>
      <color theme="0"/>
      <sz val="11"/>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scheme val="minor"/>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7D6320"/>
        <bgColor rgb="FF7D6320"/>
      </patternFill>
    </fill>
    <fill>
      <patternFill patternType="solid">
        <fgColor rgb="FF2E0F2B"/>
        <bgColor rgb="FF2E0F2B"/>
      </patternFill>
    </fill>
    <fill>
      <patternFill patternType="solid">
        <fgColor rgb="FF1B3057"/>
        <bgColor rgb="FF1B3057"/>
      </patternFill>
    </fill>
    <fill>
      <patternFill patternType="solid">
        <fgColor rgb="FF4A1F45"/>
        <bgColor rgb="FF4A1F45"/>
      </patternFill>
    </fill>
    <fill>
      <patternFill patternType="solid">
        <fgColor rgb="FF4A3A10"/>
        <bgColor rgb="FF4A3A10"/>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5">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4" applyAlignment="1" pivotButton="0" quotePrefix="0" xfId="0">
      <alignment horizontal="center" vertical="center"/>
    </xf>
    <xf numFmtId="0" fontId="8" fillId="6" borderId="3" applyAlignment="1" pivotButton="0" quotePrefix="0" xfId="0">
      <alignment horizontal="center" vertical="center"/>
    </xf>
    <xf numFmtId="0" fontId="9" fillId="5" borderId="4" applyAlignment="1" pivotButton="0" quotePrefix="0" xfId="0">
      <alignment horizontal="center" vertical="center"/>
    </xf>
    <xf numFmtId="0" fontId="10" fillId="7" borderId="3" applyAlignment="1" pivotButton="0" quotePrefix="0" xfId="0">
      <alignment horizontal="center" vertical="center"/>
    </xf>
    <xf numFmtId="0" fontId="11" fillId="5" borderId="3" applyAlignment="1" pivotButton="0" quotePrefix="0" xfId="0">
      <alignment horizontal="center" vertical="center"/>
    </xf>
    <xf numFmtId="0" fontId="12" fillId="8" borderId="3" applyAlignment="1" pivotButton="0" quotePrefix="0" xfId="0">
      <alignment horizontal="center" vertical="center"/>
    </xf>
    <xf numFmtId="0" fontId="13" fillId="5" borderId="4" applyAlignment="1" pivotButton="0" quotePrefix="0" xfId="0">
      <alignment horizontal="center" vertical="center"/>
    </xf>
    <xf numFmtId="0" fontId="14" fillId="5" borderId="3" applyAlignment="1" pivotButton="0" quotePrefix="0" xfId="0">
      <alignment horizontal="center" vertical="center"/>
    </xf>
    <xf numFmtId="0" fontId="15" fillId="9" borderId="0" applyAlignment="1" pivotButton="0" quotePrefix="0" xfId="0">
      <alignment horizontal="center" vertical="center"/>
    </xf>
    <xf numFmtId="0" fontId="16" fillId="0" borderId="0" pivotButton="0" quotePrefix="0" xfId="0"/>
    <xf numFmtId="0" fontId="17" fillId="5" borderId="0" applyAlignment="1" pivotButton="0" quotePrefix="0" xfId="0">
      <alignment horizontal="center" vertical="center"/>
    </xf>
    <xf numFmtId="0" fontId="18" fillId="0" borderId="5" applyAlignment="1" pivotButton="0" quotePrefix="0" xfId="0">
      <alignment vertical="center" wrapText="1"/>
    </xf>
    <xf numFmtId="0" fontId="19" fillId="10" borderId="6" applyAlignment="1" pivotButton="0" quotePrefix="0" xfId="0">
      <alignment horizontal="center" vertical="center"/>
    </xf>
    <xf numFmtId="0" fontId="20" fillId="4" borderId="0" applyAlignment="1" pivotButton="0" quotePrefix="0" xfId="0">
      <alignment horizontal="left" vertical="center"/>
    </xf>
    <xf numFmtId="0" fontId="21" fillId="11" borderId="6" applyAlignment="1" pivotButton="0" quotePrefix="0" xfId="0">
      <alignment horizontal="center" vertical="center"/>
    </xf>
    <xf numFmtId="0" fontId="3" fillId="0" borderId="7" pivotButton="0" quotePrefix="0" xfId="0"/>
    <xf numFmtId="0" fontId="22" fillId="10" borderId="0" applyAlignment="1" pivotButton="0" quotePrefix="0" xfId="0">
      <alignment horizontal="left" vertical="center"/>
    </xf>
    <xf numFmtId="0" fontId="16" fillId="10" borderId="0" pivotButton="0" quotePrefix="0" xfId="0"/>
    <xf numFmtId="0" fontId="3" fillId="0" borderId="8" pivotButton="0" quotePrefix="0" xfId="0"/>
    <xf numFmtId="0" fontId="23" fillId="11" borderId="0" applyAlignment="1" pivotButton="0" quotePrefix="0" xfId="0">
      <alignment horizontal="center" vertical="center"/>
    </xf>
    <xf numFmtId="0" fontId="24" fillId="3" borderId="3" applyAlignment="1" pivotButton="0" quotePrefix="0" xfId="0">
      <alignment horizontal="center" vertical="center"/>
    </xf>
    <xf numFmtId="0" fontId="24" fillId="3" borderId="3" applyAlignment="1" pivotButton="0" quotePrefix="0" xfId="0">
      <alignment horizontal="left" vertical="center"/>
    </xf>
    <xf numFmtId="0" fontId="25" fillId="12" borderId="3" applyAlignment="1" pivotButton="0" quotePrefix="0" xfId="0">
      <alignment horizontal="center" vertical="center"/>
    </xf>
    <xf numFmtId="0" fontId="25" fillId="12" borderId="3" applyAlignment="1" pivotButton="0" quotePrefix="0" xfId="0">
      <alignment horizontal="left" vertical="center"/>
    </xf>
    <xf numFmtId="49" fontId="24" fillId="4" borderId="3" applyAlignment="1" pivotButton="0" quotePrefix="0" xfId="0">
      <alignment horizontal="center" vertical="center" wrapText="1"/>
    </xf>
    <xf numFmtId="0" fontId="16" fillId="0" borderId="0" applyAlignment="1" pivotButton="0" quotePrefix="0" xfId="0">
      <alignment horizontal="left" vertical="center"/>
    </xf>
    <xf numFmtId="0" fontId="25" fillId="10" borderId="3" applyAlignment="1" pivotButton="0" quotePrefix="0" xfId="0">
      <alignment horizontal="center" vertical="center"/>
    </xf>
    <xf numFmtId="0" fontId="25" fillId="10" borderId="3" applyAlignment="1" pivotButton="0" quotePrefix="0" xfId="0">
      <alignment horizontal="left" vertical="center"/>
    </xf>
    <xf numFmtId="0" fontId="26" fillId="13" borderId="0" applyAlignment="1" pivotButton="0" quotePrefix="0" xfId="0">
      <alignment horizontal="left" vertical="center"/>
    </xf>
    <xf numFmtId="0" fontId="27" fillId="12" borderId="3" applyAlignment="1" pivotButton="0" quotePrefix="0" xfId="0">
      <alignment horizontal="left" vertical="center"/>
    </xf>
    <xf numFmtId="0" fontId="25" fillId="12" borderId="3" applyAlignment="1" pivotButton="0" quotePrefix="0" xfId="0">
      <alignment vertical="center" wrapText="1"/>
    </xf>
    <xf numFmtId="0" fontId="28" fillId="14" borderId="0" applyAlignment="1" pivotButton="0" quotePrefix="0" xfId="0">
      <alignment horizontal="left" vertical="center"/>
    </xf>
    <xf numFmtId="0" fontId="16" fillId="14" borderId="0" pivotButton="0" quotePrefix="0" xfId="0"/>
    <xf numFmtId="0" fontId="25" fillId="15" borderId="3" applyAlignment="1" pivotButton="0" quotePrefix="0" xfId="0">
      <alignment horizontal="center" vertical="center"/>
    </xf>
    <xf numFmtId="0" fontId="29" fillId="10" borderId="3" applyAlignment="1" pivotButton="0" quotePrefix="0" xfId="0">
      <alignment horizontal="left" vertical="center"/>
    </xf>
    <xf numFmtId="0" fontId="25" fillId="15" borderId="3" applyAlignment="1" pivotButton="0" quotePrefix="0" xfId="0">
      <alignment horizontal="left" vertical="center"/>
    </xf>
    <xf numFmtId="0" fontId="30" fillId="10" borderId="3" applyAlignment="1" pivotButton="0" quotePrefix="0" xfId="0">
      <alignment horizontal="center" vertical="center"/>
    </xf>
    <xf numFmtId="0" fontId="31" fillId="15" borderId="3" applyAlignment="1" pivotButton="0" quotePrefix="0" xfId="0">
      <alignment horizontal="left" vertical="center"/>
    </xf>
    <xf numFmtId="0" fontId="32" fillId="10" borderId="3" applyAlignment="1" pivotButton="0" quotePrefix="0" xfId="0">
      <alignment horizontal="left" vertical="center"/>
    </xf>
    <xf numFmtId="0" fontId="30" fillId="10" borderId="3" applyAlignment="1" pivotButton="0" quotePrefix="0" xfId="0">
      <alignment horizontal="left" vertical="center"/>
    </xf>
    <xf numFmtId="0" fontId="25" fillId="15" borderId="3" applyAlignment="1" pivotButton="0" quotePrefix="0" xfId="0">
      <alignment vertical="center" wrapText="1"/>
    </xf>
    <xf numFmtId="0" fontId="33" fillId="16" borderId="0" applyAlignment="1" pivotButton="0" quotePrefix="0" xfId="0">
      <alignment horizontal="left" vertical="center"/>
    </xf>
    <xf numFmtId="0" fontId="34" fillId="17" borderId="3" applyAlignment="1" pivotButton="0" quotePrefix="0" xfId="0">
      <alignment horizontal="left" vertical="center"/>
    </xf>
    <xf numFmtId="0" fontId="25" fillId="12" borderId="3" applyAlignment="1" pivotButton="0" quotePrefix="0" xfId="0">
      <alignment horizontal="left" vertical="center" wrapText="1"/>
    </xf>
    <xf numFmtId="0" fontId="35" fillId="18" borderId="0" applyAlignment="1" pivotButton="0" quotePrefix="0" xfId="0">
      <alignment horizontal="left" vertical="center"/>
    </xf>
    <xf numFmtId="0" fontId="25" fillId="17" borderId="3" applyAlignment="1" pivotButton="0" quotePrefix="0" xfId="0">
      <alignment horizontal="center" vertical="center"/>
    </xf>
    <xf numFmtId="0" fontId="16" fillId="18" borderId="0" pivotButton="0" quotePrefix="0" xfId="0"/>
    <xf numFmtId="0" fontId="25" fillId="17" borderId="3" applyAlignment="1" pivotButton="0" quotePrefix="0" xfId="0">
      <alignment horizontal="left" vertical="center"/>
    </xf>
    <xf numFmtId="0" fontId="36" fillId="17" borderId="3" applyAlignment="1" pivotButton="0" quotePrefix="0" xfId="0">
      <alignment horizontal="left" vertical="center"/>
    </xf>
    <xf numFmtId="0" fontId="25" fillId="15" borderId="3" applyAlignment="1" pivotButton="0" quotePrefix="0" xfId="0">
      <alignment horizontal="left" vertical="center" wrapText="1"/>
    </xf>
    <xf numFmtId="0" fontId="30" fillId="17" borderId="3" applyAlignment="1" pivotButton="0" quotePrefix="0" xfId="0">
      <alignment horizontal="left" vertical="center"/>
    </xf>
    <xf numFmtId="0" fontId="24" fillId="15" borderId="3" applyAlignment="1" pivotButton="0" quotePrefix="0" xfId="0">
      <alignment horizontal="left" vertical="center"/>
    </xf>
    <xf numFmtId="0" fontId="25" fillId="19" borderId="3" applyAlignment="1" pivotButton="0" quotePrefix="0" xfId="0">
      <alignment horizontal="center" vertical="center"/>
    </xf>
    <xf numFmtId="0" fontId="25" fillId="19"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4" fillId="10" borderId="3" applyAlignment="1" pivotButton="0" quotePrefix="0" xfId="0">
      <alignment horizontal="left" vertical="center"/>
    </xf>
    <xf numFmtId="0" fontId="24" fillId="17" borderId="3" applyAlignment="1" pivotButton="0" quotePrefix="0" xfId="0">
      <alignment horizontal="left" vertical="center"/>
    </xf>
    <xf numFmtId="0" fontId="25" fillId="21" borderId="3" applyAlignment="1" pivotButton="0" quotePrefix="0" xfId="0">
      <alignment horizontal="left" vertical="center"/>
    </xf>
    <xf numFmtId="0" fontId="40" fillId="10" borderId="0" applyAlignment="1" pivotButton="0" quotePrefix="0" xfId="0">
      <alignment horizontal="center" vertical="center"/>
    </xf>
    <xf numFmtId="0" fontId="24" fillId="4" borderId="3" applyAlignment="1" pivotButton="0" quotePrefix="0" xfId="0">
      <alignment horizontal="center" vertical="center" wrapText="1"/>
    </xf>
    <xf numFmtId="0" fontId="41" fillId="17" borderId="3" applyAlignment="1" pivotButton="0" quotePrefix="0" xfId="0">
      <alignment horizontal="left" vertical="center"/>
    </xf>
    <xf numFmtId="0" fontId="2" fillId="13" borderId="1" applyAlignment="1" pivotButton="0" quotePrefix="0" xfId="0">
      <alignment horizontal="left" vertical="center"/>
    </xf>
    <xf numFmtId="0" fontId="42" fillId="10" borderId="3" applyAlignment="1" pivotButton="0" quotePrefix="0" xfId="0">
      <alignment horizontal="left" vertical="center"/>
    </xf>
    <xf numFmtId="0" fontId="43" fillId="22" borderId="6" applyAlignment="1" pivotButton="0" quotePrefix="0" xfId="0">
      <alignment horizontal="center" vertical="center"/>
    </xf>
    <xf numFmtId="0" fontId="24" fillId="13" borderId="3" applyAlignment="1" pivotButton="0" quotePrefix="0" xfId="0">
      <alignment horizontal="center" vertical="center" wrapText="1"/>
    </xf>
    <xf numFmtId="0" fontId="25" fillId="14" borderId="3" applyAlignment="1" pivotButton="0" quotePrefix="0" xfId="0">
      <alignment horizontal="center" vertical="center"/>
    </xf>
    <xf numFmtId="0" fontId="25" fillId="14" borderId="3" applyAlignment="1" pivotButton="0" quotePrefix="0" xfId="0">
      <alignment horizontal="left" vertical="center"/>
    </xf>
    <xf numFmtId="0" fontId="44" fillId="14" borderId="3" applyAlignment="1" pivotButton="0" quotePrefix="0" xfId="0">
      <alignment horizontal="left" vertical="center"/>
    </xf>
    <xf numFmtId="0" fontId="25" fillId="22" borderId="3" applyAlignment="1" pivotButton="0" quotePrefix="0" xfId="0">
      <alignment horizontal="center" vertical="center"/>
    </xf>
    <xf numFmtId="0" fontId="25" fillId="22" borderId="3" applyAlignment="1" pivotButton="0" quotePrefix="0" xfId="0">
      <alignment horizontal="left" vertical="center"/>
    </xf>
    <xf numFmtId="0" fontId="45" fillId="22" borderId="3" applyAlignment="1" pivotButton="0" quotePrefix="0" xfId="0">
      <alignment horizontal="left" vertical="center"/>
    </xf>
    <xf numFmtId="0" fontId="25" fillId="14" borderId="3" applyAlignment="1" pivotButton="0" quotePrefix="0" xfId="0">
      <alignment vertical="center" wrapText="1"/>
    </xf>
    <xf numFmtId="0" fontId="25" fillId="14" borderId="3" applyAlignment="1" pivotButton="0" quotePrefix="0" xfId="0">
      <alignment horizontal="left" vertical="center" wrapText="1"/>
    </xf>
    <xf numFmtId="0" fontId="25" fillId="22" borderId="3" applyAlignment="1" pivotButton="0" quotePrefix="0" xfId="0">
      <alignment horizontal="left" vertical="center" wrapText="1"/>
    </xf>
    <xf numFmtId="0" fontId="24" fillId="14" borderId="3" applyAlignment="1" pivotButton="0" quotePrefix="0" xfId="0">
      <alignment horizontal="left" vertical="center"/>
    </xf>
    <xf numFmtId="0" fontId="24" fillId="22" borderId="3" applyAlignment="1" pivotButton="0" quotePrefix="0" xfId="0">
      <alignment horizontal="left" vertical="center"/>
    </xf>
    <xf numFmtId="0" fontId="25" fillId="23" borderId="3" applyAlignment="1" pivotButton="0" quotePrefix="0" xfId="0">
      <alignment horizontal="left" vertical="center"/>
    </xf>
    <xf numFmtId="0" fontId="2" fillId="16" borderId="1" applyAlignment="1" pivotButton="0" quotePrefix="0" xfId="0">
      <alignment horizontal="left" vertical="center"/>
    </xf>
    <xf numFmtId="0" fontId="46" fillId="24" borderId="6" applyAlignment="1" pivotButton="0" quotePrefix="0" xfId="0">
      <alignment horizontal="center" vertical="center"/>
    </xf>
    <xf numFmtId="0" fontId="24" fillId="16" borderId="3" applyAlignment="1" pivotButton="0" quotePrefix="0" xfId="0">
      <alignment horizontal="center" vertical="center" wrapText="1"/>
    </xf>
    <xf numFmtId="0" fontId="25" fillId="18" borderId="3" applyAlignment="1" pivotButton="0" quotePrefix="0" xfId="0">
      <alignment horizontal="center" vertical="center"/>
    </xf>
    <xf numFmtId="0" fontId="25" fillId="18" borderId="3" applyAlignment="1" pivotButton="0" quotePrefix="0" xfId="0">
      <alignment horizontal="left" vertical="center"/>
    </xf>
    <xf numFmtId="0" fontId="47" fillId="18" borderId="3" applyAlignment="1" pivotButton="0" quotePrefix="0" xfId="0">
      <alignment horizontal="left" vertical="center"/>
    </xf>
    <xf numFmtId="0" fontId="25" fillId="24" borderId="3" applyAlignment="1" pivotButton="0" quotePrefix="0" xfId="0">
      <alignment horizontal="center" vertical="center"/>
    </xf>
    <xf numFmtId="0" fontId="25" fillId="24" borderId="3" applyAlignment="1" pivotButton="0" quotePrefix="0" xfId="0">
      <alignment horizontal="left" vertical="center"/>
    </xf>
    <xf numFmtId="0" fontId="48" fillId="24" borderId="3" applyAlignment="1" pivotButton="0" quotePrefix="0" xfId="0">
      <alignment horizontal="left" vertical="center"/>
    </xf>
    <xf numFmtId="0" fontId="25" fillId="25" borderId="3" applyAlignment="1" pivotButton="0" quotePrefix="0" xfId="0">
      <alignment horizontal="left" vertical="center"/>
    </xf>
    <xf numFmtId="0" fontId="2" fillId="16" borderId="1" applyAlignment="1" pivotButton="0" quotePrefix="0" xfId="0">
      <alignment horizontal="left" vertical="center"/>
    </xf>
    <xf numFmtId="0" fontId="49" fillId="24" borderId="0" applyAlignment="1" pivotButton="0" quotePrefix="0" xfId="0">
      <alignment horizontal="center" vertical="center"/>
    </xf>
    <xf numFmtId="0" fontId="25" fillId="24" borderId="3" applyAlignment="1" pivotButton="0" quotePrefix="0" xfId="0">
      <alignment vertical="center" wrapText="1"/>
    </xf>
    <xf numFmtId="0" fontId="24" fillId="18" borderId="3" applyAlignment="1" pivotButton="0" quotePrefix="0" xfId="0">
      <alignment horizontal="left" vertical="center"/>
    </xf>
    <xf numFmtId="0" fontId="24" fillId="24" borderId="3" applyAlignment="1" pivotButton="0" quotePrefix="0" xfId="0">
      <alignment horizontal="left" vertical="center"/>
    </xf>
    <xf numFmtId="0" fontId="50" fillId="0" borderId="0" pivotButton="0" quotePrefix="0" xfId="0"/>
    <xf numFmtId="0" fontId="25" fillId="18" borderId="3" applyAlignment="1" pivotButton="0" quotePrefix="0" xfId="0">
      <alignment horizontal="center" vertical="center"/>
    </xf>
    <xf numFmtId="0" fontId="51" fillId="18" borderId="3" applyAlignment="1" pivotButton="0" quotePrefix="0" xfId="0">
      <alignment horizontal="left" vertical="center"/>
    </xf>
    <xf numFmtId="0" fontId="25" fillId="25" borderId="0" pivotButton="0" quotePrefix="0" xfId="0"/>
    <xf numFmtId="0" fontId="52" fillId="11" borderId="6" applyAlignment="1" pivotButton="0" quotePrefix="0" xfId="0">
      <alignment horizontal="center" vertical="center"/>
    </xf>
    <xf numFmtId="0" fontId="24" fillId="22" borderId="0" applyAlignment="1" pivotButton="0" quotePrefix="0" xfId="0">
      <alignment horizontal="center" vertical="center"/>
    </xf>
    <xf numFmtId="0" fontId="52" fillId="11" borderId="0" applyAlignment="1" pivotButton="0" quotePrefix="0" xfId="0">
      <alignment horizontal="center" vertical="center"/>
    </xf>
    <xf numFmtId="0" fontId="53" fillId="14" borderId="3" applyAlignment="1" pivotButton="0" quotePrefix="0" xfId="0">
      <alignment horizontal="center" vertical="center"/>
    </xf>
    <xf numFmtId="0" fontId="54" fillId="22" borderId="3" applyAlignment="1" pivotButton="0" quotePrefix="0" xfId="0">
      <alignment horizontal="center" vertical="center"/>
    </xf>
    <xf numFmtId="0" fontId="0" fillId="0" borderId="0" pivotButton="0" quotePrefix="0" xfId="0"/>
    <xf numFmtId="0" fontId="18" fillId="0" borderId="6"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60"/>
  <sheetViews>
    <sheetView showGridLines="0" workbookViewId="0">
      <selection activeCell="A1" sqref="A1"/>
    </sheetView>
  </sheetViews>
  <sheetFormatPr baseColWidth="8" defaultColWidth="14.43" defaultRowHeight="15" customHeight="1"/>
  <cols>
    <col width="26" customWidth="1" style="111" min="1" max="1"/>
    <col width="22" customWidth="1" style="111" min="2" max="5"/>
    <col width="8.710000000000001" customWidth="1" style="111" min="6" max="6"/>
  </cols>
  <sheetData>
    <row r="1">
      <c r="A1" s="1" t="inlineStr">
        <is>
          <t>NUR LECTURE LIBRARY</t>
        </is>
      </c>
      <c r="F1" s="5" t="n"/>
      <c r="G1" s="5" t="n"/>
    </row>
    <row r="2">
      <c r="A2" s="6" t="inlineStr">
        <is>
          <t>Click a class below → then use the sub-tabs at the top of each sheet.</t>
        </is>
      </c>
      <c r="F2" s="5" t="n"/>
      <c r="G2" s="5" t="n"/>
    </row>
    <row r="3">
      <c r="A3" s="9" t="inlineStr">
        <is>
          <t>NUR234</t>
        </is>
      </c>
      <c r="B3" s="11" t="inlineStr">
        <is>
          <t>NUR235</t>
        </is>
      </c>
      <c r="C3" s="13" t="inlineStr">
        <is>
          <t>NUR258</t>
        </is>
      </c>
      <c r="D3" s="15" t="inlineStr">
        <is>
          <t>🏠 START HERE</t>
        </is>
      </c>
      <c r="E3" s="18" t="inlineStr">
        <is>
          <t>📥 Sort me</t>
        </is>
      </c>
      <c r="F3" s="5" t="n"/>
      <c r="G3" s="5" t="n"/>
    </row>
    <row r="4">
      <c r="A4" s="17" t="n"/>
      <c r="B4" s="17" t="n"/>
      <c r="C4" s="17" t="n"/>
      <c r="D4" s="17" t="n"/>
      <c r="E4" s="17" t="n"/>
      <c r="F4" s="5" t="n"/>
      <c r="G4" s="5" t="n"/>
    </row>
    <row r="5">
      <c r="A5" s="21" t="inlineStr">
        <is>
          <t>NUR234</t>
        </is>
      </c>
      <c r="F5" s="5" t="n"/>
      <c r="G5" s="5" t="n"/>
    </row>
    <row r="6">
      <c r="A6" s="24" t="inlineStr">
        <is>
          <t>→  Kaiser</t>
        </is>
      </c>
      <c r="B6" s="25" t="n"/>
      <c r="C6" s="25" t="n"/>
      <c r="D6" s="25" t="n"/>
      <c r="E6" s="25" t="n"/>
      <c r="F6" s="5" t="n"/>
      <c r="G6" s="5" t="n"/>
    </row>
    <row r="7">
      <c r="A7" s="24" t="inlineStr">
        <is>
          <t>→  Buhler</t>
        </is>
      </c>
      <c r="B7" s="25" t="n"/>
      <c r="C7" s="25" t="n"/>
      <c r="D7" s="25" t="n"/>
      <c r="E7" s="25" t="n"/>
      <c r="F7" s="5" t="n"/>
      <c r="G7" s="5" t="n"/>
    </row>
    <row r="8">
      <c r="A8" s="24" t="inlineStr">
        <is>
          <t>→  Glesner</t>
        </is>
      </c>
      <c r="B8" s="25" t="n"/>
      <c r="C8" s="25" t="n"/>
      <c r="D8" s="25" t="n"/>
      <c r="E8" s="25" t="n"/>
      <c r="F8" s="5" t="n"/>
      <c r="G8" s="5" t="n"/>
    </row>
    <row r="9">
      <c r="A9" s="24" t="inlineStr">
        <is>
          <t>→  LSC Exam Reviews</t>
        </is>
      </c>
      <c r="B9" s="25" t="n"/>
      <c r="C9" s="25" t="n"/>
      <c r="D9" s="25" t="n"/>
      <c r="E9" s="25" t="n"/>
      <c r="F9" s="5" t="n"/>
      <c r="G9" s="5" t="n"/>
    </row>
    <row r="10">
      <c r="A10" s="24" t="n"/>
      <c r="B10" s="25" t="n"/>
      <c r="C10" s="25" t="n"/>
      <c r="D10" s="25" t="n"/>
      <c r="E10" s="25" t="n"/>
      <c r="F10" s="5" t="n"/>
      <c r="G10" s="5" t="n"/>
    </row>
    <row r="11">
      <c r="A11" s="33" t="n"/>
      <c r="B11" s="17" t="n"/>
      <c r="C11" s="17" t="n"/>
      <c r="D11" s="17" t="n"/>
      <c r="E11" s="17" t="n"/>
      <c r="F11" s="5" t="n"/>
      <c r="G11" s="5" t="n"/>
    </row>
    <row r="12">
      <c r="A12" s="36" t="inlineStr">
        <is>
          <t>NUR235</t>
        </is>
      </c>
      <c r="F12" s="5" t="n"/>
      <c r="G12" s="5" t="n"/>
    </row>
    <row r="13">
      <c r="A13" s="39" t="inlineStr">
        <is>
          <t>→  Fadell</t>
        </is>
      </c>
      <c r="B13" s="40" t="n"/>
      <c r="C13" s="40" t="n"/>
      <c r="D13" s="40" t="n"/>
      <c r="E13" s="40" t="n"/>
      <c r="F13" s="5" t="n"/>
      <c r="G13" s="5" t="n"/>
    </row>
    <row r="14">
      <c r="A14" s="39" t="inlineStr">
        <is>
          <t>→  Fuller</t>
        </is>
      </c>
      <c r="B14" s="40" t="n"/>
      <c r="C14" s="40" t="n"/>
      <c r="D14" s="40" t="n"/>
      <c r="E14" s="40" t="n"/>
      <c r="F14" s="5" t="n"/>
      <c r="G14" s="5" t="n"/>
    </row>
    <row r="15">
      <c r="A15" s="39" t="inlineStr">
        <is>
          <t>→  LSC exam prep</t>
        </is>
      </c>
      <c r="B15" s="40" t="n"/>
      <c r="C15" s="40" t="n"/>
      <c r="D15" s="40" t="n"/>
      <c r="E15" s="40" t="n"/>
      <c r="F15" s="5" t="n"/>
      <c r="G15" s="5" t="n"/>
    </row>
    <row r="16">
      <c r="A16" s="39" t="inlineStr">
        <is>
          <t>→  Exam Reviews</t>
        </is>
      </c>
      <c r="B16" s="40" t="n"/>
      <c r="C16" s="40" t="n"/>
      <c r="D16" s="40" t="n"/>
      <c r="E16" s="40" t="n"/>
      <c r="F16" s="5" t="n"/>
      <c r="G16" s="5" t="n"/>
    </row>
    <row r="17">
      <c r="A17" s="39" t="n"/>
      <c r="B17" s="40" t="n"/>
      <c r="C17" s="40" t="n"/>
      <c r="D17" s="40" t="n"/>
      <c r="E17" s="40" t="n"/>
      <c r="F17" s="5" t="n"/>
      <c r="G17" s="5" t="n"/>
    </row>
    <row r="18">
      <c r="A18" s="33" t="n"/>
      <c r="B18" s="17" t="n"/>
      <c r="C18" s="17" t="n"/>
      <c r="D18" s="17" t="n"/>
      <c r="E18" s="17" t="n"/>
      <c r="F18" s="5" t="n"/>
      <c r="G18" s="5" t="n"/>
    </row>
    <row r="19">
      <c r="A19" s="49" t="inlineStr">
        <is>
          <t>NUR258</t>
        </is>
      </c>
      <c r="F19" s="5" t="n"/>
      <c r="G19" s="5" t="n"/>
    </row>
    <row r="20">
      <c r="A20" s="52" t="inlineStr">
        <is>
          <t>→  Halecka</t>
        </is>
      </c>
      <c r="B20" s="54" t="n"/>
      <c r="C20" s="54" t="n"/>
      <c r="D20" s="54" t="n"/>
      <c r="E20" s="54" t="n"/>
      <c r="F20" s="5" t="n"/>
      <c r="G20" s="5" t="n"/>
    </row>
    <row r="21" ht="15.75" customHeight="1" s="111">
      <c r="A21" s="52" t="inlineStr">
        <is>
          <t>→  Wagner</t>
        </is>
      </c>
      <c r="B21" s="54" t="n"/>
      <c r="C21" s="54" t="n"/>
      <c r="D21" s="54" t="n"/>
      <c r="E21" s="54" t="n"/>
      <c r="F21" s="5" t="n"/>
      <c r="G21" s="5" t="n"/>
    </row>
    <row r="22" ht="15.75" customHeight="1" s="111">
      <c r="A22" s="52" t="inlineStr">
        <is>
          <t>→  Simmons</t>
        </is>
      </c>
      <c r="B22" s="54" t="n"/>
      <c r="C22" s="54" t="n"/>
      <c r="D22" s="54" t="n"/>
      <c r="E22" s="54" t="n"/>
      <c r="F22" s="5" t="n"/>
      <c r="G22" s="5" t="n"/>
    </row>
    <row r="23" ht="15.75" customHeight="1" s="111">
      <c r="A23" s="52" t="inlineStr">
        <is>
          <t>→  Exam Reviews</t>
        </is>
      </c>
      <c r="B23" s="54" t="n"/>
      <c r="C23" s="54" t="n"/>
      <c r="D23" s="54" t="n"/>
      <c r="E23" s="54" t="n"/>
      <c r="F23" s="5" t="n"/>
      <c r="G23" s="5" t="n"/>
    </row>
    <row r="24" ht="15.75" customHeight="1" s="111">
      <c r="A24" s="52" t="n"/>
      <c r="B24" s="54" t="n"/>
      <c r="C24" s="54" t="n"/>
      <c r="D24" s="54" t="n"/>
      <c r="E24" s="54" t="n"/>
      <c r="F24" s="5" t="n"/>
      <c r="G24" s="5" t="n"/>
    </row>
    <row r="25" ht="15.75" customHeight="1" s="111">
      <c r="A25" s="33" t="n"/>
      <c r="B25" s="17" t="n"/>
      <c r="C25" s="17" t="n"/>
      <c r="D25" s="17" t="n"/>
      <c r="E25" s="17" t="n"/>
      <c r="F25" s="5" t="n"/>
      <c r="G25" s="5" t="n"/>
    </row>
    <row r="26" ht="15.75" customHeight="1" s="111">
      <c r="A26" s="62" t="inlineStr">
        <is>
          <t>HOW TO USE IT</t>
        </is>
      </c>
      <c r="F26" s="5" t="n"/>
      <c r="G26" s="5" t="n"/>
    </row>
    <row r="27" ht="15.75" customHeight="1" s="111">
      <c r="A27" s="63" t="inlineStr">
        <is>
          <t>•  Every recording links straight to the video in your Google Drive - no passwords needed.</t>
        </is>
      </c>
      <c r="F27" s="5" t="n"/>
      <c r="G27" s="5" t="n"/>
    </row>
    <row r="28" ht="15.75" customHeight="1" s="111">
      <c r="A28" s="63" t="inlineStr">
        <is>
          <t>•  Each lecturer has their own sub-tab. The Lecturer column repeats it row by row.</t>
        </is>
      </c>
      <c r="F28" s="5" t="n"/>
      <c r="G28" s="5" t="n"/>
    </row>
    <row r="29" ht="15.75" customHeight="1" s="111">
      <c r="A29" s="63" t="inlineStr">
        <is>
          <t>•  Every lecturer has their own sub-tab. The Lecturer column repeats it row by row.</t>
        </is>
      </c>
      <c r="F29" s="5" t="n"/>
      <c r="G29" s="5" t="n"/>
    </row>
    <row r="30" ht="15.75" customHeight="1" s="111">
      <c r="A30" s="63" t="inlineStr">
        <is>
          <t>•  Use the My notes column however you like - mark what you have watched, jot reminders.</t>
        </is>
      </c>
      <c r="F30" s="5" t="n"/>
      <c r="G30" s="5" t="n"/>
    </row>
    <row r="31" ht="15.75" customHeight="1" s="111">
      <c r="A31" s="63" t="inlineStr">
        <is>
          <t>•  Empty dark rows are already set up for the rest of the semester - just type in them.</t>
        </is>
      </c>
      <c r="F31" s="5" t="n"/>
      <c r="G31" s="5" t="n"/>
    </row>
    <row r="32" ht="15.75" customHeight="1" s="111">
      <c r="A32" s="63" t="inlineStr">
        <is>
          <t>•  To add a recording: right-click the cell -&gt; Link -&gt; paste the Drive URL.</t>
        </is>
      </c>
      <c r="F32" s="5" t="n"/>
      <c r="G32" s="5" t="n"/>
    </row>
    <row r="33" ht="15.75" customHeight="1" s="111">
      <c r="A33" s="63"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1">
      <c r="A34" s="17" t="n"/>
      <c r="F34" s="5" t="n"/>
      <c r="G34" s="5" t="n"/>
    </row>
    <row r="35" ht="15.75" customHeight="1" s="111">
      <c r="A35"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Fadell, Kaiser, Halecka and Wagner rows are last cohort's recordings. Exam prep sessions are hosted by Dr. Renee Hansen, Student Success Coach.</t>
        </is>
      </c>
      <c r="F35" s="5" t="n"/>
      <c r="G35" s="5" t="n"/>
    </row>
    <row r="36" ht="15.75" customHeight="1" s="111">
      <c r="A36" s="17" t="n"/>
      <c r="B36" s="17" t="n"/>
      <c r="C36" s="17" t="n"/>
      <c r="D36" s="17" t="n"/>
      <c r="E36" s="17" t="n"/>
      <c r="F36" s="5" t="n"/>
      <c r="G36" s="5" t="n"/>
    </row>
    <row r="37" ht="15.75" customHeight="1" s="111">
      <c r="A37" s="17" t="n"/>
      <c r="B37" s="17" t="n"/>
      <c r="C37" s="17" t="n"/>
      <c r="D37" s="17" t="n"/>
      <c r="E37" s="17" t="n"/>
      <c r="F37" s="5" t="n"/>
      <c r="G37" s="5" t="n"/>
    </row>
    <row r="38" ht="15.75" customHeight="1" s="111">
      <c r="A38" s="17" t="n"/>
      <c r="B38" s="17" t="n"/>
      <c r="C38" s="17" t="n"/>
      <c r="D38" s="17" t="n"/>
      <c r="E38" s="17" t="n"/>
      <c r="F38" s="5" t="n"/>
      <c r="G38" s="5" t="n"/>
    </row>
    <row r="39" ht="15.75" customHeight="1" s="111">
      <c r="A39" s="17" t="n"/>
      <c r="B39" s="17" t="n"/>
      <c r="C39" s="17" t="n"/>
      <c r="D39" s="17" t="n"/>
      <c r="E39" s="17" t="n"/>
      <c r="F39" s="5" t="n"/>
      <c r="G39" s="5" t="n"/>
    </row>
    <row r="40" ht="15.75" customHeight="1" s="111">
      <c r="A40" s="17" t="n"/>
      <c r="B40" s="17" t="n"/>
      <c r="C40" s="17" t="n"/>
      <c r="D40" s="17" t="n"/>
      <c r="E40" s="17" t="n"/>
      <c r="F40" s="5" t="n"/>
      <c r="G40" s="5" t="n"/>
    </row>
    <row r="41" ht="15.75" customHeight="1" s="111">
      <c r="A41" s="17" t="n"/>
      <c r="B41" s="17" t="n"/>
      <c r="C41" s="17" t="n"/>
      <c r="D41" s="17" t="n"/>
      <c r="E41" s="17" t="n"/>
      <c r="F41" s="5" t="n"/>
      <c r="G41" s="5" t="n"/>
    </row>
    <row r="42" ht="15.75" customHeight="1" s="111">
      <c r="A42" s="17" t="n"/>
      <c r="B42" s="17" t="n"/>
      <c r="C42" s="17" t="n"/>
      <c r="D42" s="17" t="n"/>
      <c r="E42" s="17" t="n"/>
      <c r="F42" s="5" t="n"/>
      <c r="G42" s="5" t="n"/>
    </row>
    <row r="43" ht="15.75" customHeight="1" s="111">
      <c r="A43" s="17" t="n"/>
      <c r="B43" s="17" t="n"/>
      <c r="C43" s="17" t="n"/>
      <c r="D43" s="17" t="n"/>
      <c r="E43" s="17" t="n"/>
      <c r="F43" s="5" t="n"/>
      <c r="G43" s="5" t="n"/>
    </row>
    <row r="44" ht="15.75" customHeight="1" s="111">
      <c r="A44" s="17" t="n"/>
      <c r="B44" s="17" t="n"/>
      <c r="C44" s="17" t="n"/>
      <c r="D44" s="17" t="n"/>
      <c r="E44" s="17"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adell'!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adell'!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5" footer="0.5"/>
</worksheet>
</file>

<file path=xl/worksheets/sheet2.xml><?xml version="1.0" encoding="utf-8"?>
<worksheet xmlns="http://schemas.openxmlformats.org/spreadsheetml/2006/main">
  <sheetPr>
    <tabColor rgb="FF8A6D1F"/>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2" t="inlineStr">
        <is>
          <t>NEW RECORDINGS  ·  sort me</t>
        </is>
      </c>
    </row>
    <row r="2">
      <c r="A2" s="7" t="inlineStr">
        <is>
          <t>NUR234</t>
        </is>
      </c>
      <c r="B2" s="7" t="inlineStr">
        <is>
          <t>NUR235</t>
        </is>
      </c>
      <c r="C2" s="7" t="inlineStr">
        <is>
          <t>NUR258</t>
        </is>
      </c>
      <c r="D2" s="12" t="inlineStr">
        <is>
          <t>🏠 START HERE</t>
        </is>
      </c>
      <c r="E2" s="16" t="inlineStr">
        <is>
          <t>📥 Sort me</t>
        </is>
      </c>
      <c r="F2" s="17" t="n"/>
      <c r="G2" s="17" t="n"/>
    </row>
    <row r="3">
      <c r="A3" s="112" t="inlineStr">
        <is>
          <t>Uploaded 8 Sep, filed by best guess from the speech Google indexed - nobody says their own name. Exam prep sessions are Dr Hansen. Fix the Course / Lecturer cells and Claude will move the rows to the right tab.</t>
        </is>
      </c>
      <c r="B3" s="113" t="n"/>
      <c r="C3" s="113" t="n"/>
      <c r="D3" s="113" t="n"/>
      <c r="E3" s="113" t="n"/>
      <c r="F3" s="113" t="n"/>
      <c r="G3" s="114" t="n"/>
    </row>
    <row r="4">
      <c r="A4" s="17" t="n"/>
      <c r="B4" s="17" t="n"/>
      <c r="C4" s="17" t="n"/>
      <c r="D4" s="17" t="n"/>
      <c r="E4" s="17" t="n"/>
      <c r="F4" s="17" t="n"/>
      <c r="G4" s="17"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0" t="inlineStr">
        <is>
          <t>Sun 7 Sep, 7:17 PM</t>
        </is>
      </c>
      <c r="B6" s="30" t="inlineStr">
        <is>
          <t>Messenger</t>
        </is>
      </c>
      <c r="C6" s="31" t="inlineStr">
        <is>
          <t>NUR235</t>
        </is>
      </c>
      <c r="D6" s="31" t="inlineStr">
        <is>
          <t>LSC exam prep</t>
        </is>
      </c>
      <c r="E6" s="37">
        <f>HYPERLINK("https://drive.google.com/file/d/1vx2gy4TweCACMsjHOHIBJhV7xVMkFfDb/view","▶  Watch")</f>
        <v/>
      </c>
      <c r="F6" s="31" t="inlineStr">
        <is>
          <t>Sun 7 Sep 7-17 PM - Intro to peds, hospitalized child, G and D, immunizations, practice questions</t>
        </is>
      </c>
      <c r="G6" s="38" t="inlineStr">
        <is>
          <t>481 MB, in the NUR 235 folder. Module 1 topics with practice questions. Speech index hears LSC exam prep. Also on the LSC exam prep tab</t>
        </is>
      </c>
    </row>
    <row r="7">
      <c r="A7" s="41" t="inlineStr">
        <is>
          <t>Sun 7 Sep, 7:57 PM</t>
        </is>
      </c>
      <c r="B7" s="41" t="inlineStr">
        <is>
          <t>Chrome</t>
        </is>
      </c>
      <c r="C7" s="43" t="inlineStr">
        <is>
          <t>NUR258</t>
        </is>
      </c>
      <c r="D7" s="43" t="inlineStr">
        <is>
          <t>Simmons</t>
        </is>
      </c>
      <c r="E7" s="45">
        <f>HYPERLINK("https://drive.google.com/file/d/1l_giGND--xWFLRqBk6zLGcL0eMAXcHX-/view","▶  Watch")</f>
        <v/>
      </c>
      <c r="F7" s="43" t="inlineStr">
        <is>
          <t>Sun 7 Sep 7-57 PM - Sensory eye and ear, burns, HIV, sepsis, diabetes overview</t>
        </is>
      </c>
      <c r="G7" s="48" t="inlineStr">
        <is>
          <t>277 MB, in the NUR 258 folder. Caroline confirmed Simmons. Also on the Simmons tab (Week 1 Day 3)</t>
        </is>
      </c>
    </row>
    <row r="8">
      <c r="A8" s="30" t="inlineStr">
        <is>
          <t>Sun 7 Sep, 8:31 PM</t>
        </is>
      </c>
      <c r="B8" s="30" t="inlineStr">
        <is>
          <t>Chrome</t>
        </is>
      </c>
      <c r="C8" s="31" t="inlineStr">
        <is>
          <t>NUR198 (guess)</t>
        </is>
      </c>
      <c r="D8" s="31" t="inlineStr">
        <is>
          <t>Exam prep?</t>
        </is>
      </c>
      <c r="E8" s="37">
        <f>HYPERLINK("https://drive.google.com/file/d/1VwqGuxefxFmGgoQn9wZR_ctHpEO4qaSI/view","▶  Watch")</f>
        <v/>
      </c>
      <c r="F8" s="31" t="inlineStr">
        <is>
          <t>Sun 7 Sep 8-31 PM - Adult health ATI practice review part 1 - shock, dialysis, asthma, electrolytes</t>
        </is>
      </c>
      <c r="G8" s="51" t="inlineStr">
        <is>
          <t>206 MB, in the NUR 198 folder. ATI style practice questions. Could be NUR 258 instead</t>
        </is>
      </c>
    </row>
    <row r="9">
      <c r="A9" s="41" t="inlineStr">
        <is>
          <t>Sun 7 Sep, 11:14 PM</t>
        </is>
      </c>
      <c r="B9" s="41" t="inlineStr">
        <is>
          <t>Chrome</t>
        </is>
      </c>
      <c r="C9" s="43" t="inlineStr">
        <is>
          <t>NUR235</t>
        </is>
      </c>
      <c r="D9" s="43" t="inlineStr">
        <is>
          <t>Exam prep (no name heard)</t>
        </is>
      </c>
      <c r="E9" s="45">
        <f>HYPERLINK("https://drive.google.com/file/d/1JwaR3f16rJ4pRerDYTyBWV3275ec2DCK/view","▶  Watch")</f>
        <v/>
      </c>
      <c r="F9" s="43" t="inlineStr">
        <is>
          <t>Sun 7 Sep 11-14 PM - Peds exam prep - growth and development, medication, pain, practice questions</t>
        </is>
      </c>
      <c r="G9" s="48" t="inlineStr">
        <is>
          <t>314 MB, now in the NUR 235 folder. Speech index hears pediatric, growth and development, medication, pain, exam, practice questions - no lecturer name. Also on the Exam Reviews tab</t>
        </is>
      </c>
    </row>
    <row r="10">
      <c r="A10" s="30" t="inlineStr">
        <is>
          <t>Mon 8 Sep, 2:08 AM</t>
        </is>
      </c>
      <c r="B10" s="30" t="inlineStr">
        <is>
          <t>Chrome</t>
        </is>
      </c>
      <c r="C10" s="31" t="inlineStr">
        <is>
          <t>NUR235</t>
        </is>
      </c>
      <c r="D10" s="31" t="inlineStr">
        <is>
          <t>LSC exam prep</t>
        </is>
      </c>
      <c r="E10" s="37">
        <f>HYPERLINK("https://drive.google.com/file/d/1xlH3LNS4jnxUKkNFj0rgTvrMmIFk6tG1/view","▶  Watch")</f>
        <v/>
      </c>
      <c r="F10" s="31" t="inlineStr">
        <is>
          <t>Mon 8 Sep 2-08 AM - Infant and toddler G and D, immunizations, fever</t>
        </is>
      </c>
      <c r="G10" s="38" t="inlineStr">
        <is>
          <t>271 MB, in the NUR 235 folder. Speech index hears LSC exam prep. Also on the LSC exam prep tab</t>
        </is>
      </c>
    </row>
    <row r="11">
      <c r="A11" s="41" t="inlineStr">
        <is>
          <t>Mon 8 Sep, 2:30 AM</t>
        </is>
      </c>
      <c r="B11" s="41" t="inlineStr">
        <is>
          <t>Chrome</t>
        </is>
      </c>
      <c r="C11" s="43" t="inlineStr">
        <is>
          <t>NUR198 (guess)</t>
        </is>
      </c>
      <c r="D11" s="43" t="inlineStr">
        <is>
          <t>Exam prep?</t>
        </is>
      </c>
      <c r="E11" s="45">
        <f>HYPERLINK("https://drive.google.com/file/d/17FEOKc4ndrct33Uz5cCzC3WgQ5ff-5Tl/view","▶  Watch")</f>
        <v/>
      </c>
      <c r="F11" s="43" t="inlineStr">
        <is>
          <t>Mon 8 Sep 2-30 AM - Adult health ATI practice review part 2 - electrolytes, respiratory</t>
        </is>
      </c>
      <c r="G11" s="57" t="inlineStr">
        <is>
          <t>105 MB, in the NUR 198 folder. Looks like part 2 of the 8:31 PM session</t>
        </is>
      </c>
    </row>
    <row r="12">
      <c r="A12" s="30" t="inlineStr">
        <is>
          <t>Sat 5 Sep, 11:15 PM</t>
        </is>
      </c>
      <c r="B12" s="30" t="inlineStr">
        <is>
          <t>Chrome</t>
        </is>
      </c>
      <c r="C12" s="31" t="inlineStr">
        <is>
          <t>NUR234</t>
        </is>
      </c>
      <c r="D12" s="31" t="inlineStr">
        <is>
          <t>Buhler</t>
        </is>
      </c>
      <c r="E12" s="37">
        <f>HYPERLINK("https://drive.google.com/file/d/1auXBO6SGQD3ddonB8jS6nvetJR04kXe5/view","▶  Watch")</f>
        <v/>
      </c>
      <c r="F12" s="31" t="inlineStr">
        <is>
          <t>NUR234_Fall2026_Buhler_Wk01_Day2_Lecture.mp4</t>
        </is>
      </c>
      <c r="G12" s="51" t="inlineStr">
        <is>
          <t>Was an exact copy of Buhler Week 1 Day 2 (Buhler tab). Extra copy is in the Drive trash</t>
        </is>
      </c>
    </row>
    <row r="13">
      <c r="A13" s="41" t="inlineStr">
        <is>
          <t>Sun 7 Sep, 9:37 PM</t>
        </is>
      </c>
      <c r="B13" s="41" t="inlineStr">
        <is>
          <t>Messenger</t>
        </is>
      </c>
      <c r="C13" s="43" t="inlineStr">
        <is>
          <t>?</t>
        </is>
      </c>
      <c r="D13" s="43" t="inlineStr">
        <is>
          <t>?</t>
        </is>
      </c>
      <c r="E13" s="59" t="inlineStr">
        <is>
          <t>gone</t>
        </is>
      </c>
      <c r="F13" s="43" t="inlineStr">
        <is>
          <t>Screen_Recording_20260907_213701_Messenger.mp4</t>
        </is>
      </c>
      <c r="G13" s="57" t="inlineStr">
        <is>
          <t>303 MB. No longer in Drive - did you delete it? Re-share from the phone if you want it</t>
        </is>
      </c>
    </row>
    <row r="14">
      <c r="A14" s="60" t="n"/>
      <c r="B14" s="60" t="n"/>
      <c r="C14" s="61" t="n"/>
      <c r="D14" s="61" t="n"/>
      <c r="E14" s="61" t="n"/>
      <c r="F14" s="61" t="n"/>
      <c r="G14" s="61" t="n"/>
    </row>
    <row r="15">
      <c r="A15" s="60" t="n"/>
      <c r="B15" s="60" t="n"/>
      <c r="C15" s="61" t="n"/>
      <c r="D15" s="61" t="n"/>
      <c r="E15" s="61" t="n"/>
      <c r="F15" s="61" t="n"/>
      <c r="G15" s="61" t="n"/>
    </row>
    <row r="16">
      <c r="A16" s="60" t="n"/>
      <c r="B16" s="60" t="n"/>
      <c r="C16" s="61" t="n"/>
      <c r="D16" s="61" t="n"/>
      <c r="E16" s="61" t="n"/>
      <c r="F16" s="61" t="n"/>
      <c r="G16" s="61" t="n"/>
    </row>
    <row r="17">
      <c r="A17" s="60" t="n"/>
      <c r="B17" s="60" t="n"/>
      <c r="C17" s="61" t="n"/>
      <c r="D17" s="61" t="n"/>
      <c r="E17" s="61" t="n"/>
      <c r="F17" s="61" t="n"/>
      <c r="G17" s="61"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1">
      <c r="A21" s="5" t="n"/>
      <c r="B21" s="5" t="n"/>
      <c r="C21" s="5" t="n"/>
      <c r="D21" s="5" t="n"/>
      <c r="E21" s="5" t="n"/>
      <c r="F21" s="5" t="n"/>
      <c r="G21" s="5" t="n"/>
    </row>
    <row r="22" ht="15.75" customHeight="1" s="111">
      <c r="A22" s="5" t="n"/>
      <c r="B22" s="5" t="n"/>
      <c r="C22" s="5" t="n"/>
      <c r="D22" s="5" t="n"/>
      <c r="E22" s="5" t="n"/>
      <c r="F22" s="5" t="n"/>
      <c r="G22" s="5" t="n"/>
    </row>
    <row r="23" ht="15.75" customHeight="1" s="111">
      <c r="A23" s="5" t="n"/>
      <c r="B23" s="5" t="n"/>
      <c r="C23" s="5" t="n"/>
      <c r="D23" s="5" t="n"/>
      <c r="E23" s="5" t="n"/>
      <c r="F23" s="5" t="n"/>
      <c r="G23" s="5" t="n"/>
    </row>
    <row r="24" ht="15.75" customHeight="1" s="111">
      <c r="A24" s="5" t="n"/>
      <c r="B24" s="5" t="n"/>
      <c r="C24" s="5" t="n"/>
      <c r="D24" s="5" t="n"/>
      <c r="E24" s="5" t="n"/>
      <c r="F24" s="5" t="n"/>
      <c r="G24" s="5" t="n"/>
    </row>
    <row r="25" ht="15.75" customHeight="1" s="111">
      <c r="A25" s="5" t="n"/>
      <c r="B25" s="5" t="n"/>
      <c r="C25" s="5" t="n"/>
      <c r="D25" s="5" t="n"/>
      <c r="E25" s="5" t="n"/>
      <c r="F25" s="5" t="n"/>
      <c r="G25" s="5"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2">
    <mergeCell ref="A3:G3"/>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xl/worksheets/sheet3.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Kaiser</t>
        </is>
      </c>
    </row>
    <row r="2">
      <c r="A2" s="8" t="inlineStr">
        <is>
          <t>NUR234</t>
        </is>
      </c>
      <c r="B2" s="10" t="inlineStr">
        <is>
          <t>NUR235</t>
        </is>
      </c>
      <c r="C2" s="10" t="inlineStr">
        <is>
          <t>NUR258</t>
        </is>
      </c>
      <c r="D2" s="14" t="inlineStr">
        <is>
          <t>🏠 START HERE</t>
        </is>
      </c>
      <c r="E2" s="18" t="inlineStr">
        <is>
          <t>📥 Sort me</t>
        </is>
      </c>
      <c r="F2" s="17" t="n"/>
      <c r="G2" s="17" t="n"/>
    </row>
    <row r="3">
      <c r="A3" s="20" t="inlineStr">
        <is>
          <t>Kaiser</t>
        </is>
      </c>
      <c r="B3" s="22"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Spring 2026</t>
        </is>
      </c>
      <c r="D6" s="35" t="inlineStr">
        <is>
          <t>Kaiser</t>
        </is>
      </c>
      <c r="E6" s="42">
        <f>HYPERLINK("https://drive.google.com/open?id=1cFM6BCb3NZQF3oZ4pDuu8clij33-8Z0U&amp;usp=drive_fs"," ▶  Watch")</f>
        <v/>
      </c>
      <c r="F6" s="35" t="n"/>
      <c r="G6" s="35" t="n"/>
    </row>
    <row r="7">
      <c r="A7" s="34" t="inlineStr">
        <is>
          <t>Module 1</t>
        </is>
      </c>
      <c r="B7" s="34" t="inlineStr">
        <is>
          <t>Day 1</t>
        </is>
      </c>
      <c r="C7" s="35" t="inlineStr">
        <is>
          <t>Fall 2026</t>
        </is>
      </c>
      <c r="D7" s="35" t="inlineStr">
        <is>
          <t>Kaiser</t>
        </is>
      </c>
      <c r="E7" s="46">
        <f>HYPERLINK("https://drive.google.com/file/d/1cFM6BCb3NZQF3oZ4pDuu8clij33-8Z0U/view?usp=drive_link"," ▶  Watch")</f>
        <v/>
      </c>
      <c r="F7" s="35" t="n"/>
      <c r="G7" s="35" t="n"/>
    </row>
    <row r="8">
      <c r="A8" s="34" t="inlineStr">
        <is>
          <t>Module 1</t>
        </is>
      </c>
      <c r="B8" s="34" t="inlineStr">
        <is>
          <t>Day 2</t>
        </is>
      </c>
      <c r="C8" s="35" t="inlineStr">
        <is>
          <t>Spring 2026</t>
        </is>
      </c>
      <c r="D8" s="35" t="inlineStr">
        <is>
          <t>Kaiser</t>
        </is>
      </c>
      <c r="E8" s="46">
        <f>HYPERLINK("https://drive.google.com/file/d/1BZlKg-lf2367FCwM5kMaH-zKj9hZ53ff/view","▶  Watch")</f>
        <v/>
      </c>
      <c r="F8" s="35" t="inlineStr">
        <is>
          <t>NUR234 M1d2.mp4</t>
        </is>
      </c>
      <c r="G8" s="35" t="n"/>
    </row>
    <row r="9">
      <c r="A9" s="34" t="inlineStr">
        <is>
          <t>Module 1</t>
        </is>
      </c>
      <c r="B9" s="34" t="inlineStr">
        <is>
          <t>Day 2</t>
        </is>
      </c>
      <c r="C9" s="35" t="inlineStr">
        <is>
          <t>Fall 2026</t>
        </is>
      </c>
      <c r="D9" s="35" t="inlineStr">
        <is>
          <t>Kaiser</t>
        </is>
      </c>
      <c r="E9" s="46">
        <f>HYPERLINK("https://drive.google.com/file/d/1BZlKg-lf2367FCwM5kMaH-zKj9hZ53ff/view?usp=drive_link","▶  Watch")</f>
        <v/>
      </c>
      <c r="F9" s="35" t="n"/>
      <c r="G9" s="35" t="n"/>
    </row>
    <row r="10">
      <c r="A10" s="53" t="inlineStr">
        <is>
          <t>Module 2</t>
        </is>
      </c>
      <c r="B10" s="53" t="inlineStr">
        <is>
          <t>Day 1</t>
        </is>
      </c>
      <c r="C10" s="35" t="inlineStr">
        <is>
          <t>Spring 2026</t>
        </is>
      </c>
      <c r="D10" s="55" t="inlineStr">
        <is>
          <t>Kaiser</t>
        </is>
      </c>
      <c r="E10" s="56">
        <f>HYPERLINK("https://drive.google.com/file/d/1aCpDDZvcw-_vKduldvfGzF82bcs3P9hY/view","▶  Watch")</f>
        <v/>
      </c>
      <c r="F10" s="55" t="inlineStr">
        <is>
          <t>NUR234 M2d1.mp4</t>
        </is>
      </c>
      <c r="G10" s="55" t="n"/>
    </row>
    <row r="11">
      <c r="A11" s="34" t="inlineStr">
        <is>
          <t>Module 2</t>
        </is>
      </c>
      <c r="B11" s="34" t="inlineStr">
        <is>
          <t>Day 2</t>
        </is>
      </c>
      <c r="C11" s="35" t="inlineStr">
        <is>
          <t>Spring 2026</t>
        </is>
      </c>
      <c r="D11" s="35" t="inlineStr">
        <is>
          <t>Kaiser</t>
        </is>
      </c>
      <c r="E11" s="46">
        <f>HYPERLINK("https://drive.google.com/file/d/1e1xVb3-N2gEFMoK2t1NaL7Qj8NDE9kFD/view","▶  Watch")</f>
        <v/>
      </c>
      <c r="F11" s="35" t="inlineStr">
        <is>
          <t>NUR234 M2D2.mp4</t>
        </is>
      </c>
      <c r="G11" s="35" t="n"/>
    </row>
    <row r="12">
      <c r="A12" s="53" t="inlineStr">
        <is>
          <t>Module 3</t>
        </is>
      </c>
      <c r="B12" s="53" t="inlineStr">
        <is>
          <t>Day 1</t>
        </is>
      </c>
      <c r="C12" s="35" t="inlineStr">
        <is>
          <t>Spring 2026</t>
        </is>
      </c>
      <c r="D12" s="55" t="inlineStr">
        <is>
          <t>Kaiser</t>
        </is>
      </c>
      <c r="E12" s="56">
        <f>HYPERLINK("https://drive.google.com/file/d/1FBsNUnshlh4l-W3rNWVdSjbMPK53UmFM/view","▶  Watch")</f>
        <v/>
      </c>
      <c r="F12" s="55" t="inlineStr">
        <is>
          <t>NUR234 M3D1.mp4</t>
        </is>
      </c>
      <c r="G12" s="55" t="n"/>
    </row>
    <row r="13">
      <c r="A13" s="34" t="inlineStr">
        <is>
          <t>Module 3</t>
        </is>
      </c>
      <c r="B13" s="34" t="inlineStr">
        <is>
          <t>Day 2</t>
        </is>
      </c>
      <c r="C13" s="35" t="inlineStr">
        <is>
          <t>Spring 2026</t>
        </is>
      </c>
      <c r="D13" s="35" t="inlineStr">
        <is>
          <t>Kaiser</t>
        </is>
      </c>
      <c r="E13" s="46">
        <f>HYPERLINK("https://drive.google.com/file/d/1NN-2j7a6nheCGcHCHqUyBlAbHbGw_m4s/view","▶  Watch")</f>
        <v/>
      </c>
      <c r="F13" s="35" t="inlineStr">
        <is>
          <t>NUR234 M3D2.mp4</t>
        </is>
      </c>
      <c r="G13" s="35" t="n"/>
    </row>
    <row r="14">
      <c r="A14" s="53" t="inlineStr">
        <is>
          <t>Module 4</t>
        </is>
      </c>
      <c r="B14" s="53" t="inlineStr">
        <is>
          <t>Day 1</t>
        </is>
      </c>
      <c r="C14" s="35" t="inlineStr">
        <is>
          <t>Spring 2026</t>
        </is>
      </c>
      <c r="D14" s="55" t="inlineStr">
        <is>
          <t>Kaiser</t>
        </is>
      </c>
      <c r="E14" s="56">
        <f>HYPERLINK("https://drive.google.com/file/d/1vy0wZ5ijKEG57K1ibHH4ThIhHDTw_rt5/view","▶  Watch")</f>
        <v/>
      </c>
      <c r="F14" s="55" t="inlineStr">
        <is>
          <t>NUR234 M4D1.mp4</t>
        </is>
      </c>
      <c r="G14" s="55" t="n"/>
    </row>
    <row r="15">
      <c r="A15" s="34" t="inlineStr">
        <is>
          <t>Module 4</t>
        </is>
      </c>
      <c r="B15" s="34" t="inlineStr">
        <is>
          <t>Day 2</t>
        </is>
      </c>
      <c r="C15" s="35" t="inlineStr">
        <is>
          <t>Spring 2026</t>
        </is>
      </c>
      <c r="D15" s="35" t="inlineStr">
        <is>
          <t>Kaiser</t>
        </is>
      </c>
      <c r="E15" s="46">
        <f>HYPERLINK("https://drive.google.com/file/d/1rizN6FZCmazr35zFpzmy-m0cywYQ8w_6/view","▶  Watch")</f>
        <v/>
      </c>
      <c r="F15" s="35" t="inlineStr">
        <is>
          <t>NUR234 M4D2.mp4</t>
        </is>
      </c>
      <c r="G15" s="35" t="n"/>
    </row>
    <row r="16">
      <c r="A16" s="53" t="inlineStr">
        <is>
          <t>Module 5</t>
        </is>
      </c>
      <c r="B16" s="53" t="inlineStr">
        <is>
          <t>Day 1</t>
        </is>
      </c>
      <c r="C16" s="35" t="inlineStr">
        <is>
          <t>Spring 2026</t>
        </is>
      </c>
      <c r="D16" s="55" t="inlineStr">
        <is>
          <t>Kaiser</t>
        </is>
      </c>
      <c r="E16" s="56">
        <f>HYPERLINK("https://drive.google.com/file/d/1ypHWfABT1zSPWs_I_QvKnRKTbF7a5Y7I/view","▶  Watch")</f>
        <v/>
      </c>
      <c r="F16" s="55" t="inlineStr">
        <is>
          <t>NUR234 M5d1.mp4</t>
        </is>
      </c>
      <c r="G16" s="55" t="n"/>
    </row>
    <row r="17">
      <c r="A17" s="34" t="inlineStr">
        <is>
          <t>Module 5</t>
        </is>
      </c>
      <c r="B17" s="34" t="inlineStr">
        <is>
          <t>Day 2</t>
        </is>
      </c>
      <c r="C17" s="35" t="inlineStr">
        <is>
          <t>Spring 2026</t>
        </is>
      </c>
      <c r="D17" s="35" t="inlineStr">
        <is>
          <t>Kaiser</t>
        </is>
      </c>
      <c r="E17" s="46">
        <f>HYPERLINK("https://drive.google.com/file/d/1qDF2FexZhZu5L5cqrEi6WVHwZ2-S1cBp/view","▶  Watch")</f>
        <v/>
      </c>
      <c r="F17" s="35" t="inlineStr">
        <is>
          <t>NUR234 M5d2.mp4</t>
        </is>
      </c>
      <c r="G17" s="35" t="n"/>
    </row>
    <row r="18">
      <c r="A18" s="53" t="inlineStr">
        <is>
          <t>Module 6</t>
        </is>
      </c>
      <c r="B18" s="53" t="inlineStr">
        <is>
          <t>Day 1</t>
        </is>
      </c>
      <c r="C18" s="35" t="inlineStr">
        <is>
          <t>Spring 2026</t>
        </is>
      </c>
      <c r="D18" s="55" t="inlineStr">
        <is>
          <t>Kaiser</t>
        </is>
      </c>
      <c r="E18" s="56">
        <f>HYPERLINK("https://drive.google.com/file/d/1eG4tIMbxzIUTYlgc_SHD8twJNPRZh8CF/view","▶  Watch")</f>
        <v/>
      </c>
      <c r="F18" s="55" t="inlineStr">
        <is>
          <t>NUR234 M6d1.mp4</t>
        </is>
      </c>
      <c r="G18" s="55" t="n"/>
    </row>
    <row r="19">
      <c r="A19" s="34" t="inlineStr">
        <is>
          <t>Module 6</t>
        </is>
      </c>
      <c r="B19" s="34" t="inlineStr">
        <is>
          <t>Day 2</t>
        </is>
      </c>
      <c r="C19" s="35" t="inlineStr">
        <is>
          <t>Spring 2026</t>
        </is>
      </c>
      <c r="D19" s="35" t="inlineStr">
        <is>
          <t>Kaiser</t>
        </is>
      </c>
      <c r="E19" s="46">
        <f>HYPERLINK("https://drive.google.com/file/d/1fYIx3Eng0YHVpJs7xrgFvRD5j4Kf225D/view","▶  Watch")</f>
        <v/>
      </c>
      <c r="F19" s="35" t="inlineStr">
        <is>
          <t>NUR234 M6d2.mp4</t>
        </is>
      </c>
      <c r="G19" s="35" t="n"/>
    </row>
    <row r="20">
      <c r="A20" s="53" t="inlineStr">
        <is>
          <t>Module 7</t>
        </is>
      </c>
      <c r="B20" s="53" t="inlineStr">
        <is>
          <t>Day 1</t>
        </is>
      </c>
      <c r="C20" s="35" t="inlineStr">
        <is>
          <t>Spring 2026</t>
        </is>
      </c>
      <c r="D20" s="55" t="inlineStr">
        <is>
          <t>Kaiser</t>
        </is>
      </c>
      <c r="E20" s="56">
        <f>HYPERLINK("https://drive.google.com/file/d/114LZzONCBRZUWeE3_g8tfpMOmWZTn_B3/view","▶  Watch")</f>
        <v/>
      </c>
      <c r="F20" s="55" t="inlineStr">
        <is>
          <t>NUR234 M7d1.mp4</t>
        </is>
      </c>
      <c r="G20" s="55" t="n"/>
    </row>
    <row r="21" ht="15.75" customHeight="1" s="111">
      <c r="A21" s="34" t="inlineStr">
        <is>
          <t>Module 7</t>
        </is>
      </c>
      <c r="B21" s="34" t="inlineStr">
        <is>
          <t>Day 2</t>
        </is>
      </c>
      <c r="C21" s="35" t="inlineStr">
        <is>
          <t>Spring 2026</t>
        </is>
      </c>
      <c r="D21" s="35" t="inlineStr">
        <is>
          <t>Kaiser</t>
        </is>
      </c>
      <c r="E21" s="46">
        <f>HYPERLINK("https://drive.google.com/file/d/1gq2xvEUDy8TmFcK6gQepoJCr9GG3G0Ne/view","▶  Watch")</f>
        <v/>
      </c>
      <c r="F21" s="35" t="inlineStr">
        <is>
          <t>NUR234 M7d2.mp4</t>
        </is>
      </c>
      <c r="G21" s="35" t="n"/>
    </row>
    <row r="22" ht="15.75" customHeight="1" s="111">
      <c r="A22" s="53" t="inlineStr">
        <is>
          <t>Module 8</t>
        </is>
      </c>
      <c r="B22" s="53" t="inlineStr">
        <is>
          <t>Day 1</t>
        </is>
      </c>
      <c r="C22" s="35" t="inlineStr">
        <is>
          <t>Spring 2026</t>
        </is>
      </c>
      <c r="D22" s="55" t="inlineStr">
        <is>
          <t>Kaiser</t>
        </is>
      </c>
      <c r="E22" s="56">
        <f>HYPERLINK("https://drive.google.com/file/d/1CyyT2iUwn9hK8FH8kx-7n1ZZsrlj5Jxx/view?usp=drive_link","▶  Watch")</f>
        <v/>
      </c>
      <c r="F22" s="55" t="n"/>
      <c r="G22" s="55" t="n"/>
    </row>
    <row r="23" ht="15.75" customHeight="1" s="111">
      <c r="A23" s="53" t="inlineStr">
        <is>
          <t>Module 8</t>
        </is>
      </c>
      <c r="B23" s="53" t="inlineStr">
        <is>
          <t>Day 2</t>
        </is>
      </c>
      <c r="C23" s="35" t="inlineStr">
        <is>
          <t>Spring 2026</t>
        </is>
      </c>
      <c r="D23" s="55" t="inlineStr">
        <is>
          <t>Kaiser</t>
        </is>
      </c>
      <c r="E23" s="56">
        <f>HYPERLINK("https://drive.google.com/file/d/1IooFZSZA_lB5jNCR6Xic7enhbams239R/view?usp=drive_link","▶  Watch")</f>
        <v/>
      </c>
      <c r="F23" s="55" t="n"/>
      <c r="G23" s="55" t="n"/>
    </row>
    <row r="24" ht="15.75" customHeight="1" s="111">
      <c r="A24" s="53" t="inlineStr">
        <is>
          <t>Module 9</t>
        </is>
      </c>
      <c r="B24" s="53" t="inlineStr">
        <is>
          <t>Day 1</t>
        </is>
      </c>
      <c r="C24" s="35" t="inlineStr">
        <is>
          <t>Spring 2026</t>
        </is>
      </c>
      <c r="D24" s="55" t="inlineStr">
        <is>
          <t>Kaiser</t>
        </is>
      </c>
      <c r="E24" s="56">
        <f>HYPERLINK("https://drive.google.com/file/d/1PHu1Y0-LeptoeNuwhGqxFA10nvLuYDRn/view","▶  Watch")</f>
        <v/>
      </c>
      <c r="F24" s="55" t="inlineStr">
        <is>
          <t>NUR234 M9d1.mp4</t>
        </is>
      </c>
      <c r="G24" s="55" t="n"/>
    </row>
    <row r="25" ht="15.75" customHeight="1" s="111">
      <c r="A25" s="34" t="inlineStr">
        <is>
          <t>Module 9</t>
        </is>
      </c>
      <c r="B25" s="34" t="inlineStr">
        <is>
          <t>Day 2</t>
        </is>
      </c>
      <c r="C25" s="35" t="inlineStr">
        <is>
          <t>Spring 2026</t>
        </is>
      </c>
      <c r="D25" s="35" t="inlineStr">
        <is>
          <t>Kaiser</t>
        </is>
      </c>
      <c r="E25" s="46">
        <f>HYPERLINK("https://drive.google.com/file/d/1ztT_Xq_DZviGrXv_kqODzN0mdrAsvLGz/view","▶  Watch")</f>
        <v/>
      </c>
      <c r="F25" s="35" t="inlineStr">
        <is>
          <t>NUR234 M9d2.mp4</t>
        </is>
      </c>
      <c r="G25" s="35" t="n"/>
    </row>
    <row r="26" ht="15.75" customHeight="1" s="111">
      <c r="A26" s="53" t="inlineStr">
        <is>
          <t>Module 10</t>
        </is>
      </c>
      <c r="B26" s="53" t="inlineStr">
        <is>
          <t>Day 1</t>
        </is>
      </c>
      <c r="C26" s="35" t="inlineStr">
        <is>
          <t>Spring 2026</t>
        </is>
      </c>
      <c r="D26" s="55" t="inlineStr">
        <is>
          <t>Kaiser</t>
        </is>
      </c>
      <c r="E26" s="56">
        <f>HYPERLINK("https://drive.google.com/file/d/1aO52FeQSOyKWi1eae-uwq9kUR72kaCIh/view","▶  Watch")</f>
        <v/>
      </c>
      <c r="F26" s="55" t="inlineStr">
        <is>
          <t>NUR234 M10d1.mp4</t>
        </is>
      </c>
      <c r="G26" s="55" t="n"/>
    </row>
    <row r="27" ht="15.75" customHeight="1" s="111">
      <c r="A27" s="34" t="inlineStr">
        <is>
          <t>Module 10</t>
        </is>
      </c>
      <c r="B27" s="34" t="inlineStr">
        <is>
          <t>Day 2</t>
        </is>
      </c>
      <c r="C27" s="35" t="inlineStr">
        <is>
          <t>Spring 2026</t>
        </is>
      </c>
      <c r="D27" s="35" t="inlineStr">
        <is>
          <t>Kaiser</t>
        </is>
      </c>
      <c r="E27" s="46">
        <f>HYPERLINK("https://drive.google.com/file/d/1ZiJMzo4QipYed89-Vivr-c8vq60a2H6x/view","▶  Watch")</f>
        <v/>
      </c>
      <c r="F27" s="35" t="inlineStr">
        <is>
          <t>NUR234 M10d2.mp4</t>
        </is>
      </c>
      <c r="G27" s="35" t="n"/>
    </row>
    <row r="28" ht="15.75" customHeight="1" s="111">
      <c r="A28" s="53" t="inlineStr">
        <is>
          <t>Module 11</t>
        </is>
      </c>
      <c r="B28" s="53" t="inlineStr">
        <is>
          <t>Day 1</t>
        </is>
      </c>
      <c r="C28" s="35" t="inlineStr">
        <is>
          <t>Spring 2026</t>
        </is>
      </c>
      <c r="D28" s="55" t="inlineStr">
        <is>
          <t>Kaiser</t>
        </is>
      </c>
      <c r="E28" s="56">
        <f>HYPERLINK("https://drive.google.com/file/d/1uI7Bnu09YgneDcYKGm2t5FXwliTSsLAt/view","▶  Watch")</f>
        <v/>
      </c>
      <c r="F28" s="55" t="inlineStr">
        <is>
          <t>NUR234 M11d1.mp4</t>
        </is>
      </c>
      <c r="G28" s="55" t="n"/>
    </row>
    <row r="29" ht="15.75" customHeight="1" s="111">
      <c r="A29" s="34" t="inlineStr">
        <is>
          <t>Module 11</t>
        </is>
      </c>
      <c r="B29" s="34" t="inlineStr">
        <is>
          <t>Day 2</t>
        </is>
      </c>
      <c r="C29" s="35" t="inlineStr">
        <is>
          <t>Spring 2026</t>
        </is>
      </c>
      <c r="D29" s="35" t="inlineStr">
        <is>
          <t>Kaiser</t>
        </is>
      </c>
      <c r="E29" s="46">
        <f>HYPERLINK("https://drive.google.com/file/d/1J9BeWya6ezWD15zmUgnZUF3R2Qlm-hhm/view","▶  Watch")</f>
        <v/>
      </c>
      <c r="F29" s="35" t="inlineStr">
        <is>
          <t>NUR234 M11d2.mp4</t>
        </is>
      </c>
      <c r="G29" s="35" t="n"/>
    </row>
    <row r="30" ht="15.75" customHeight="1" s="111">
      <c r="A30" s="53" t="inlineStr">
        <is>
          <t>Module 12</t>
        </is>
      </c>
      <c r="B30" s="53" t="inlineStr">
        <is>
          <t>Day 1</t>
        </is>
      </c>
      <c r="C30" s="35" t="inlineStr">
        <is>
          <t>Spring 2026</t>
        </is>
      </c>
      <c r="D30" s="55" t="inlineStr">
        <is>
          <t>Kaiser</t>
        </is>
      </c>
      <c r="E30" s="56">
        <f>HYPERLINK("https://drive.google.com/file/d/1qcNw_OIsuyrFzVlLbAIgaGH_lb9RVNe0/view","▶  Watch")</f>
        <v/>
      </c>
      <c r="F30" s="55" t="inlineStr">
        <is>
          <t>NUR234 M12d1.mp4</t>
        </is>
      </c>
      <c r="G30" s="55" t="n"/>
    </row>
    <row r="31" ht="15.75" customHeight="1" s="111">
      <c r="A31" s="34" t="inlineStr">
        <is>
          <t>Module 12</t>
        </is>
      </c>
      <c r="B31" s="34" t="inlineStr">
        <is>
          <t>Day 2</t>
        </is>
      </c>
      <c r="C31" s="35" t="inlineStr">
        <is>
          <t>Spring 2026</t>
        </is>
      </c>
      <c r="D31" s="35" t="inlineStr">
        <is>
          <t>Kaiser</t>
        </is>
      </c>
      <c r="E31" s="46">
        <f>HYPERLINK("https://drive.google.com/file/d/1cu1ZuTYOyk2XjUeDljRL8sh--WKvu7J-/view","▶  Watch")</f>
        <v/>
      </c>
      <c r="F31" s="35" t="inlineStr">
        <is>
          <t>NUR234 M12d2.mp4</t>
        </is>
      </c>
      <c r="G31" s="35" t="n"/>
    </row>
    <row r="32" ht="15.75" customHeight="1" s="111">
      <c r="A32" s="53" t="inlineStr">
        <is>
          <t>Module 13</t>
        </is>
      </c>
      <c r="B32" s="53" t="inlineStr">
        <is>
          <t>Day 1</t>
        </is>
      </c>
      <c r="C32" s="35" t="inlineStr">
        <is>
          <t>Spring 2026</t>
        </is>
      </c>
      <c r="D32" s="55" t="inlineStr">
        <is>
          <t>Kaiser</t>
        </is>
      </c>
      <c r="E32" s="56">
        <f>HYPERLINK("https://drive.google.com/file/d/1HtFwGZg8qK_fQ8Tu9T7sHkXBWlLRVKaI/view","▶  Watch")</f>
        <v/>
      </c>
      <c r="F32" s="55" t="inlineStr">
        <is>
          <t>NUR234 M13D1.mp4</t>
        </is>
      </c>
      <c r="G32" s="55" t="n"/>
    </row>
    <row r="33" ht="15.75" customHeight="1" s="111">
      <c r="A33" s="34" t="inlineStr">
        <is>
          <t>Module 13</t>
        </is>
      </c>
      <c r="B33" s="34" t="inlineStr">
        <is>
          <t>Day 2</t>
        </is>
      </c>
      <c r="C33" s="35" t="inlineStr">
        <is>
          <t>Spring 2026</t>
        </is>
      </c>
      <c r="D33" s="35" t="inlineStr">
        <is>
          <t>Kaiser</t>
        </is>
      </c>
      <c r="E33" s="46">
        <f>HYPERLINK("https://drive.google.com/file/d/1SIAOBsm4zGlMHs4Z5BAy__E3gjkbf5yI/view","▶  Watch")</f>
        <v/>
      </c>
      <c r="F33" s="35" t="inlineStr">
        <is>
          <t>NUR234 M13D2.mp4</t>
        </is>
      </c>
      <c r="G33" s="35" t="n"/>
    </row>
    <row r="34" ht="15.75" customHeight="1" s="111">
      <c r="A34" s="34" t="inlineStr">
        <is>
          <t>Module 14</t>
        </is>
      </c>
      <c r="B34" s="34" t="inlineStr">
        <is>
          <t>Day 1</t>
        </is>
      </c>
      <c r="C34" s="35" t="inlineStr">
        <is>
          <t>Spring 2026</t>
        </is>
      </c>
      <c r="D34" s="35" t="inlineStr">
        <is>
          <t>Kaiser</t>
        </is>
      </c>
      <c r="E34" s="46">
        <f>HYPERLINK("https://drive.google.com/file/d/1IVUURpnc9Fvq64m_3K7sPNWRKkcmnfjK/view?usp=drive_link","▶  Watch")</f>
        <v/>
      </c>
      <c r="F34" s="35" t="n"/>
      <c r="G34" s="35" t="n"/>
    </row>
    <row r="35" ht="15.75" customHeight="1" s="111">
      <c r="A35" s="34" t="inlineStr">
        <is>
          <t>Module 14</t>
        </is>
      </c>
      <c r="B35" s="34" t="inlineStr">
        <is>
          <t>Day 2</t>
        </is>
      </c>
      <c r="C35" s="35" t="inlineStr">
        <is>
          <t>Spring 2026</t>
        </is>
      </c>
      <c r="D35" s="35" t="inlineStr">
        <is>
          <t>Kaiser</t>
        </is>
      </c>
      <c r="E35" s="46">
        <f>HYPERLINK("https://drive.google.com/file/d/12LFXOcOPwZ40P442l0KmmsbYb3MRnrff/view?usp=drive_link","▶  Watch")</f>
        <v/>
      </c>
      <c r="F35" s="35" t="n"/>
      <c r="G35" s="35"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67" t="n"/>
      <c r="B40" s="67" t="n"/>
      <c r="C40" s="67" t="n"/>
      <c r="D40" s="67" t="n"/>
      <c r="E40" s="67" t="n"/>
      <c r="F40" s="67" t="n"/>
      <c r="G40" s="67" t="n"/>
    </row>
    <row r="41" ht="15.75" customHeight="1" s="111">
      <c r="A41" s="67" t="n"/>
      <c r="B41" s="67" t="n"/>
      <c r="C41" s="67" t="n"/>
      <c r="D41" s="67" t="n"/>
      <c r="E41" s="67" t="n"/>
      <c r="F41" s="67" t="n"/>
      <c r="G41" s="67"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1"/>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4.43" defaultRowHeight="15" customHeight="1"/>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Buhler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44" t="inlineStr">
        <is>
          <t>Module 1</t>
        </is>
      </c>
      <c r="B6" s="44" t="inlineStr">
        <is>
          <t>Day 1</t>
        </is>
      </c>
      <c r="C6" s="47" t="inlineStr">
        <is>
          <t>Fall 2026</t>
        </is>
      </c>
      <c r="D6" s="47" t="inlineStr">
        <is>
          <t>Buhler</t>
        </is>
      </c>
      <c r="E6" s="50">
        <f>HYPERLINK("https://drive.google.com/open?id=1u4dmz5cUxg1cKSpzK5QEigVqQdw7ZAgV&amp;usp=drive_fs","▶  Watch")</f>
        <v/>
      </c>
      <c r="F6" s="58" t="inlineStr">
        <is>
          <t>NUR234_Buhler_Wk1_D1.mp4</t>
        </is>
      </c>
      <c r="G6" s="35" t="inlineStr">
        <is>
          <t>Chapter 6</t>
        </is>
      </c>
    </row>
    <row r="7">
      <c r="A7" s="34" t="inlineStr">
        <is>
          <t>Module 1</t>
        </is>
      </c>
      <c r="B7" s="34" t="inlineStr">
        <is>
          <t>Day 2</t>
        </is>
      </c>
      <c r="C7" s="35" t="inlineStr">
        <is>
          <t>Fall 2026</t>
        </is>
      </c>
      <c r="D7" s="35" t="inlineStr">
        <is>
          <t>Buhler</t>
        </is>
      </c>
      <c r="E7" s="46">
        <f>HYPERLINK("https://drive.google.com/file/d/1CnuSelmTyZAZC85GA3VHMHZZQq5ZtB-S/view","▶  Watch")</f>
        <v/>
      </c>
      <c r="F7" s="35" t="inlineStr">
        <is>
          <t>NUR234_Buhler_Wk1_D2.mp4</t>
        </is>
      </c>
      <c r="G7" s="35" t="n"/>
    </row>
    <row r="8">
      <c r="A8" s="53" t="inlineStr">
        <is>
          <t>Module 2</t>
        </is>
      </c>
      <c r="B8" s="53" t="inlineStr">
        <is>
          <t>Day 1</t>
        </is>
      </c>
      <c r="C8" s="35" t="inlineStr">
        <is>
          <t>Fall 2026</t>
        </is>
      </c>
      <c r="D8" s="55" t="inlineStr">
        <is>
          <t>Buhler</t>
        </is>
      </c>
      <c r="E8" s="56">
        <f>HYPERLINK("https://drive.google.com/file/d/17VZ8oHKVfrKNkHLMkfalKuIqLrMv_okM/view","▶  Watch")</f>
        <v/>
      </c>
      <c r="F8" s="55" t="inlineStr">
        <is>
          <t>NUR234_Chapter_9_(Source).mp4</t>
        </is>
      </c>
      <c r="G8" s="55" t="inlineStr">
        <is>
          <t>Chapter 9 - placed by chapter order, move the row if it belongs elsewhere</t>
        </is>
      </c>
    </row>
    <row r="9">
      <c r="A9" s="34" t="inlineStr">
        <is>
          <t>Module 2</t>
        </is>
      </c>
      <c r="B9" s="34" t="inlineStr">
        <is>
          <t>Day 2</t>
        </is>
      </c>
      <c r="C9" s="35" t="inlineStr">
        <is>
          <t>Fall 2026</t>
        </is>
      </c>
      <c r="D9" s="35" t="inlineStr">
        <is>
          <t>Buhler</t>
        </is>
      </c>
      <c r="E9" s="65" t="n"/>
      <c r="F9" s="35" t="n"/>
      <c r="G9" s="35" t="n"/>
    </row>
    <row r="10">
      <c r="A10" s="53" t="inlineStr">
        <is>
          <t>Module 3</t>
        </is>
      </c>
      <c r="B10" s="53" t="inlineStr">
        <is>
          <t>Day 1</t>
        </is>
      </c>
      <c r="C10" s="35" t="inlineStr">
        <is>
          <t>Fall 2026</t>
        </is>
      </c>
      <c r="D10" s="55" t="inlineStr">
        <is>
          <t>Buhler</t>
        </is>
      </c>
      <c r="E10" s="66" t="n"/>
      <c r="F10" s="55" t="n"/>
      <c r="G10" s="55" t="n"/>
    </row>
    <row r="11">
      <c r="A11" s="34" t="inlineStr">
        <is>
          <t>Module 3</t>
        </is>
      </c>
      <c r="B11" s="34" t="inlineStr">
        <is>
          <t>Day 2</t>
        </is>
      </c>
      <c r="C11" s="35" t="inlineStr">
        <is>
          <t>Fall 2026</t>
        </is>
      </c>
      <c r="D11" s="35" t="inlineStr">
        <is>
          <t>Buhler</t>
        </is>
      </c>
      <c r="E11" s="65" t="n"/>
      <c r="F11" s="35" t="n"/>
      <c r="G11" s="35" t="n"/>
    </row>
    <row r="12">
      <c r="A12" s="53" t="inlineStr">
        <is>
          <t>Module 4</t>
        </is>
      </c>
      <c r="B12" s="53" t="inlineStr">
        <is>
          <t>Day 1</t>
        </is>
      </c>
      <c r="C12" s="35" t="inlineStr">
        <is>
          <t>Fall 2026</t>
        </is>
      </c>
      <c r="D12" s="55" t="inlineStr">
        <is>
          <t>Buhler</t>
        </is>
      </c>
      <c r="E12" s="66" t="n"/>
      <c r="F12" s="55" t="n"/>
      <c r="G12" s="55" t="n"/>
    </row>
    <row r="13">
      <c r="A13" s="34" t="inlineStr">
        <is>
          <t>Module 4</t>
        </is>
      </c>
      <c r="B13" s="34" t="inlineStr">
        <is>
          <t>Day 2</t>
        </is>
      </c>
      <c r="C13" s="35" t="inlineStr">
        <is>
          <t>Fall 2026</t>
        </is>
      </c>
      <c r="D13" s="35" t="inlineStr">
        <is>
          <t>Buhler</t>
        </is>
      </c>
      <c r="E13" s="65" t="n"/>
      <c r="F13" s="35" t="n"/>
      <c r="G13" s="35" t="n"/>
    </row>
    <row r="14">
      <c r="A14" s="53" t="inlineStr">
        <is>
          <t>Module 5</t>
        </is>
      </c>
      <c r="B14" s="53" t="inlineStr">
        <is>
          <t>Day 1</t>
        </is>
      </c>
      <c r="C14" s="35" t="inlineStr">
        <is>
          <t>Fall 2026</t>
        </is>
      </c>
      <c r="D14" s="55" t="inlineStr">
        <is>
          <t>Buhler</t>
        </is>
      </c>
      <c r="E14" s="66" t="n"/>
      <c r="F14" s="55" t="n"/>
      <c r="G14" s="55" t="n"/>
    </row>
    <row r="15">
      <c r="A15" s="34" t="inlineStr">
        <is>
          <t>Module 5</t>
        </is>
      </c>
      <c r="B15" s="34" t="inlineStr">
        <is>
          <t>Day 2</t>
        </is>
      </c>
      <c r="C15" s="35" t="inlineStr">
        <is>
          <t>Fall 2026</t>
        </is>
      </c>
      <c r="D15" s="35" t="inlineStr">
        <is>
          <t>Buhler</t>
        </is>
      </c>
      <c r="E15" s="65" t="n"/>
      <c r="F15" s="35" t="n"/>
      <c r="G15" s="35" t="n"/>
    </row>
    <row r="16">
      <c r="A16" s="53" t="inlineStr">
        <is>
          <t>Module 6</t>
        </is>
      </c>
      <c r="B16" s="53" t="inlineStr">
        <is>
          <t>Day 1</t>
        </is>
      </c>
      <c r="C16" s="35" t="inlineStr">
        <is>
          <t>Fall 2026</t>
        </is>
      </c>
      <c r="D16" s="55" t="inlineStr">
        <is>
          <t>Buhler</t>
        </is>
      </c>
      <c r="E16" s="66" t="n"/>
      <c r="F16" s="55" t="n"/>
      <c r="G16" s="55" t="n"/>
    </row>
    <row r="17">
      <c r="A17" s="34" t="inlineStr">
        <is>
          <t>Module 6</t>
        </is>
      </c>
      <c r="B17" s="34" t="inlineStr">
        <is>
          <t>Day 2</t>
        </is>
      </c>
      <c r="C17" s="35" t="inlineStr">
        <is>
          <t>Fall 2026</t>
        </is>
      </c>
      <c r="D17" s="35" t="inlineStr">
        <is>
          <t>Buhler</t>
        </is>
      </c>
      <c r="E17" s="65" t="n"/>
      <c r="F17" s="35" t="n"/>
      <c r="G17" s="35" t="n"/>
    </row>
    <row r="18">
      <c r="A18" s="53" t="inlineStr">
        <is>
          <t>Module 7</t>
        </is>
      </c>
      <c r="B18" s="53" t="inlineStr">
        <is>
          <t>Day 1</t>
        </is>
      </c>
      <c r="C18" s="35" t="inlineStr">
        <is>
          <t>Fall 2026</t>
        </is>
      </c>
      <c r="D18" s="55" t="inlineStr">
        <is>
          <t>Buhler</t>
        </is>
      </c>
      <c r="E18" s="66" t="n"/>
      <c r="F18" s="55" t="n"/>
      <c r="G18" s="55" t="n"/>
    </row>
    <row r="19">
      <c r="A19" s="34" t="inlineStr">
        <is>
          <t>Module 7</t>
        </is>
      </c>
      <c r="B19" s="34" t="inlineStr">
        <is>
          <t>Day 2</t>
        </is>
      </c>
      <c r="C19" s="35" t="inlineStr">
        <is>
          <t>Fall 2026</t>
        </is>
      </c>
      <c r="D19" s="35" t="inlineStr">
        <is>
          <t>Buhler</t>
        </is>
      </c>
      <c r="E19" s="65" t="n"/>
      <c r="F19" s="35" t="n"/>
      <c r="G19" s="35" t="n"/>
    </row>
    <row r="20">
      <c r="A20" s="53" t="inlineStr">
        <is>
          <t>Module 8</t>
        </is>
      </c>
      <c r="B20" s="53" t="inlineStr">
        <is>
          <t>Day 1</t>
        </is>
      </c>
      <c r="C20" s="35" t="inlineStr">
        <is>
          <t>Fall 2026</t>
        </is>
      </c>
      <c r="D20" s="55" t="inlineStr">
        <is>
          <t>Buhler</t>
        </is>
      </c>
      <c r="E20" s="66" t="n"/>
      <c r="F20" s="55" t="n"/>
      <c r="G20" s="55" t="n"/>
    </row>
    <row r="21" ht="15.75" customHeight="1" s="111">
      <c r="A21" s="53" t="inlineStr">
        <is>
          <t>Module 8</t>
        </is>
      </c>
      <c r="B21" s="53" t="inlineStr">
        <is>
          <t>Day 2</t>
        </is>
      </c>
      <c r="C21" s="35" t="inlineStr">
        <is>
          <t>Fall 2026</t>
        </is>
      </c>
      <c r="D21" s="55" t="inlineStr">
        <is>
          <t>Buhler</t>
        </is>
      </c>
      <c r="E21" s="66" t="n"/>
      <c r="F21" s="55" t="n"/>
      <c r="G21" s="55" t="n"/>
    </row>
    <row r="22" ht="15.75" customHeight="1" s="111">
      <c r="A22" s="53" t="inlineStr">
        <is>
          <t>Module 9</t>
        </is>
      </c>
      <c r="B22" s="53" t="inlineStr">
        <is>
          <t>Day 1</t>
        </is>
      </c>
      <c r="C22" s="35" t="inlineStr">
        <is>
          <t>Fall 2026</t>
        </is>
      </c>
      <c r="D22" s="55" t="inlineStr">
        <is>
          <t>Buhler</t>
        </is>
      </c>
      <c r="E22" s="66" t="n"/>
      <c r="F22" s="55" t="n"/>
      <c r="G22" s="55" t="n"/>
    </row>
    <row r="23" ht="15.75" customHeight="1" s="111">
      <c r="A23" s="34" t="inlineStr">
        <is>
          <t>Module 9</t>
        </is>
      </c>
      <c r="B23" s="34" t="inlineStr">
        <is>
          <t>Day 2</t>
        </is>
      </c>
      <c r="C23" s="35" t="inlineStr">
        <is>
          <t>Fall 2026</t>
        </is>
      </c>
      <c r="D23" s="35" t="inlineStr">
        <is>
          <t>Buhler</t>
        </is>
      </c>
      <c r="E23" s="65" t="n"/>
      <c r="F23" s="35" t="n"/>
      <c r="G23" s="35" t="n"/>
    </row>
    <row r="24" ht="15.75" customHeight="1" s="111">
      <c r="A24" s="53" t="inlineStr">
        <is>
          <t>Module 10</t>
        </is>
      </c>
      <c r="B24" s="53" t="inlineStr">
        <is>
          <t>Day 1</t>
        </is>
      </c>
      <c r="C24" s="35" t="inlineStr">
        <is>
          <t>Fall 2026</t>
        </is>
      </c>
      <c r="D24" s="55" t="inlineStr">
        <is>
          <t>Buhler</t>
        </is>
      </c>
      <c r="E24" s="66" t="n"/>
      <c r="F24" s="55" t="n"/>
      <c r="G24" s="55" t="n"/>
    </row>
    <row r="25" ht="15.75" customHeight="1" s="111">
      <c r="A25" s="34" t="inlineStr">
        <is>
          <t>Module 10</t>
        </is>
      </c>
      <c r="B25" s="34" t="inlineStr">
        <is>
          <t>Day 2</t>
        </is>
      </c>
      <c r="C25" s="35" t="inlineStr">
        <is>
          <t>Fall 2026</t>
        </is>
      </c>
      <c r="D25" s="35" t="inlineStr">
        <is>
          <t>Buhler</t>
        </is>
      </c>
      <c r="E25" s="65" t="n"/>
      <c r="F25" s="35" t="n"/>
      <c r="G25" s="35" t="n"/>
    </row>
    <row r="26" ht="15.75" customHeight="1" s="111">
      <c r="A26" s="53" t="inlineStr">
        <is>
          <t>Module 11</t>
        </is>
      </c>
      <c r="B26" s="53" t="inlineStr">
        <is>
          <t>Day 1</t>
        </is>
      </c>
      <c r="C26" s="35" t="inlineStr">
        <is>
          <t>Fall 2026</t>
        </is>
      </c>
      <c r="D26" s="55" t="inlineStr">
        <is>
          <t>Buhler</t>
        </is>
      </c>
      <c r="E26" s="66" t="n"/>
      <c r="F26" s="55" t="n"/>
      <c r="G26" s="55" t="n"/>
    </row>
    <row r="27" ht="15.75" customHeight="1" s="111">
      <c r="A27" s="34" t="inlineStr">
        <is>
          <t>Module 11</t>
        </is>
      </c>
      <c r="B27" s="34" t="inlineStr">
        <is>
          <t>Day 2</t>
        </is>
      </c>
      <c r="C27" s="35" t="inlineStr">
        <is>
          <t>Fall 2026</t>
        </is>
      </c>
      <c r="D27" s="35" t="inlineStr">
        <is>
          <t>Buhler</t>
        </is>
      </c>
      <c r="E27" s="65" t="n"/>
      <c r="F27" s="35" t="n"/>
      <c r="G27" s="35" t="n"/>
    </row>
    <row r="28" ht="15.75" customHeight="1" s="111">
      <c r="A28" s="53" t="inlineStr">
        <is>
          <t>Module 12</t>
        </is>
      </c>
      <c r="B28" s="53" t="inlineStr">
        <is>
          <t>Day 1</t>
        </is>
      </c>
      <c r="C28" s="35" t="inlineStr">
        <is>
          <t>Fall 2026</t>
        </is>
      </c>
      <c r="D28" s="55" t="inlineStr">
        <is>
          <t>Buhler</t>
        </is>
      </c>
      <c r="E28" s="66" t="n"/>
      <c r="F28" s="55" t="n"/>
      <c r="G28" s="55" t="n"/>
    </row>
    <row r="29" ht="15.75" customHeight="1" s="111">
      <c r="A29" s="34" t="inlineStr">
        <is>
          <t>Module 12</t>
        </is>
      </c>
      <c r="B29" s="34" t="inlineStr">
        <is>
          <t>Day 2</t>
        </is>
      </c>
      <c r="C29" s="35" t="inlineStr">
        <is>
          <t>Fall 2026</t>
        </is>
      </c>
      <c r="D29" s="35" t="inlineStr">
        <is>
          <t>Buhler</t>
        </is>
      </c>
      <c r="E29" s="65" t="n"/>
      <c r="F29" s="35" t="n"/>
      <c r="G29" s="35" t="n"/>
    </row>
    <row r="30" ht="15.75" customHeight="1" s="111">
      <c r="A30" s="53" t="inlineStr">
        <is>
          <t>Module 13</t>
        </is>
      </c>
      <c r="B30" s="53" t="inlineStr">
        <is>
          <t>Day 1</t>
        </is>
      </c>
      <c r="C30" s="35" t="inlineStr">
        <is>
          <t>Fall 2026</t>
        </is>
      </c>
      <c r="D30" s="55" t="inlineStr">
        <is>
          <t>Buhler</t>
        </is>
      </c>
      <c r="E30" s="66" t="n"/>
      <c r="F30" s="55" t="n"/>
      <c r="G30" s="55" t="n"/>
    </row>
    <row r="31" ht="15.75" customHeight="1" s="111">
      <c r="A31" s="34" t="inlineStr">
        <is>
          <t>Module 13</t>
        </is>
      </c>
      <c r="B31" s="34" t="inlineStr">
        <is>
          <t>Day 2</t>
        </is>
      </c>
      <c r="C31" s="35" t="inlineStr">
        <is>
          <t>Fall 2026</t>
        </is>
      </c>
      <c r="D31" s="35" t="inlineStr">
        <is>
          <t>Buhler</t>
        </is>
      </c>
      <c r="E31" s="65" t="n"/>
      <c r="F31" s="35" t="n"/>
      <c r="G31" s="35" t="n"/>
    </row>
    <row r="32" ht="15.75" customHeight="1" s="111">
      <c r="A32" s="34" t="inlineStr">
        <is>
          <t>Module 14</t>
        </is>
      </c>
      <c r="B32" s="34" t="inlineStr">
        <is>
          <t>Day 1</t>
        </is>
      </c>
      <c r="C32" s="35" t="inlineStr">
        <is>
          <t>Fall 2026</t>
        </is>
      </c>
      <c r="D32" s="35" t="inlineStr">
        <is>
          <t>Buhler</t>
        </is>
      </c>
      <c r="E32" s="65" t="n"/>
      <c r="F32" s="35" t="n"/>
      <c r="G32" s="35" t="n"/>
    </row>
    <row r="33" ht="15.75" customHeight="1" s="111">
      <c r="A33" s="34" t="inlineStr">
        <is>
          <t>Module 14</t>
        </is>
      </c>
      <c r="B33" s="34" t="inlineStr">
        <is>
          <t>Day 2</t>
        </is>
      </c>
      <c r="C33" s="35" t="inlineStr">
        <is>
          <t>Fall 2026</t>
        </is>
      </c>
      <c r="D33" s="35" t="inlineStr">
        <is>
          <t>Buhler</t>
        </is>
      </c>
      <c r="E33" s="65" t="n"/>
      <c r="F33" s="35" t="n"/>
      <c r="G33" s="3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Glesner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Fall 2026</t>
        </is>
      </c>
      <c r="D6" s="35" t="inlineStr">
        <is>
          <t>Glesner</t>
        </is>
      </c>
      <c r="E6" s="65" t="n"/>
      <c r="F6" s="35" t="n"/>
      <c r="G6" s="35" t="n"/>
    </row>
    <row r="7">
      <c r="A7" s="53" t="inlineStr">
        <is>
          <t>Module 1</t>
        </is>
      </c>
      <c r="B7" s="53" t="inlineStr">
        <is>
          <t>Day 2</t>
        </is>
      </c>
      <c r="C7" s="55" t="inlineStr">
        <is>
          <t>Fall 2026</t>
        </is>
      </c>
      <c r="D7" s="55" t="inlineStr">
        <is>
          <t>Glesner</t>
        </is>
      </c>
      <c r="E7" s="66" t="n"/>
      <c r="F7" s="55" t="n"/>
      <c r="G7" s="55" t="n"/>
    </row>
    <row r="8">
      <c r="A8" s="34" t="inlineStr">
        <is>
          <t>Module 2</t>
        </is>
      </c>
      <c r="B8" s="34" t="inlineStr">
        <is>
          <t>Day 1</t>
        </is>
      </c>
      <c r="C8" s="35" t="inlineStr">
        <is>
          <t>Fall 2026</t>
        </is>
      </c>
      <c r="D8" s="35" t="inlineStr">
        <is>
          <t>Glesner</t>
        </is>
      </c>
      <c r="E8" s="65" t="n"/>
      <c r="F8" s="35" t="n"/>
      <c r="G8" s="35" t="n"/>
    </row>
    <row r="9">
      <c r="A9" s="53" t="inlineStr">
        <is>
          <t>Module 2</t>
        </is>
      </c>
      <c r="B9" s="53" t="inlineStr">
        <is>
          <t>Day 2</t>
        </is>
      </c>
      <c r="C9" s="55" t="inlineStr">
        <is>
          <t>Fall 2026</t>
        </is>
      </c>
      <c r="D9" s="55" t="inlineStr">
        <is>
          <t>Glesner</t>
        </is>
      </c>
      <c r="E9" s="66" t="n"/>
      <c r="F9" s="55" t="n"/>
      <c r="G9" s="55" t="n"/>
    </row>
    <row r="10">
      <c r="A10" s="34" t="inlineStr">
        <is>
          <t>Module 3</t>
        </is>
      </c>
      <c r="B10" s="34" t="inlineStr">
        <is>
          <t>Day 1</t>
        </is>
      </c>
      <c r="C10" s="35" t="inlineStr">
        <is>
          <t>Fall 2026</t>
        </is>
      </c>
      <c r="D10" s="35" t="inlineStr">
        <is>
          <t>Glesner</t>
        </is>
      </c>
      <c r="E10" s="65" t="n"/>
      <c r="F10" s="35" t="n"/>
      <c r="G10" s="35" t="n"/>
    </row>
    <row r="11">
      <c r="A11" s="53" t="inlineStr">
        <is>
          <t>Module 3</t>
        </is>
      </c>
      <c r="B11" s="53" t="inlineStr">
        <is>
          <t>Day 2</t>
        </is>
      </c>
      <c r="C11" s="55" t="inlineStr">
        <is>
          <t>Fall 2026</t>
        </is>
      </c>
      <c r="D11" s="55" t="inlineStr">
        <is>
          <t>Glesner</t>
        </is>
      </c>
      <c r="E11" s="66" t="n"/>
      <c r="F11" s="55" t="n"/>
      <c r="G11" s="55" t="n"/>
    </row>
    <row r="12">
      <c r="A12" s="34" t="inlineStr">
        <is>
          <t>Module 4</t>
        </is>
      </c>
      <c r="B12" s="34" t="inlineStr">
        <is>
          <t>Day 1</t>
        </is>
      </c>
      <c r="C12" s="35" t="inlineStr">
        <is>
          <t>Fall 2026</t>
        </is>
      </c>
      <c r="D12" s="35" t="inlineStr">
        <is>
          <t>Glesner</t>
        </is>
      </c>
      <c r="E12" s="65" t="n"/>
      <c r="F12" s="35" t="n"/>
      <c r="G12" s="35" t="n"/>
    </row>
    <row r="13">
      <c r="A13" s="53" t="inlineStr">
        <is>
          <t>Module 4</t>
        </is>
      </c>
      <c r="B13" s="53" t="inlineStr">
        <is>
          <t>Day 2</t>
        </is>
      </c>
      <c r="C13" s="55" t="inlineStr">
        <is>
          <t>Fall 2026</t>
        </is>
      </c>
      <c r="D13" s="55" t="inlineStr">
        <is>
          <t>Glesner</t>
        </is>
      </c>
      <c r="E13" s="66" t="n"/>
      <c r="F13" s="55" t="n"/>
      <c r="G13" s="55" t="n"/>
    </row>
    <row r="14">
      <c r="A14" s="34" t="inlineStr">
        <is>
          <t>Module 5</t>
        </is>
      </c>
      <c r="B14" s="34" t="inlineStr">
        <is>
          <t>Day 1</t>
        </is>
      </c>
      <c r="C14" s="35" t="inlineStr">
        <is>
          <t>Fall 2026</t>
        </is>
      </c>
      <c r="D14" s="35" t="inlineStr">
        <is>
          <t>Glesner</t>
        </is>
      </c>
      <c r="E14" s="65" t="n"/>
      <c r="F14" s="35" t="n"/>
      <c r="G14" s="35" t="n"/>
    </row>
    <row r="15">
      <c r="A15" s="53" t="inlineStr">
        <is>
          <t>Module 5</t>
        </is>
      </c>
      <c r="B15" s="53" t="inlineStr">
        <is>
          <t>Day 2</t>
        </is>
      </c>
      <c r="C15" s="55" t="inlineStr">
        <is>
          <t>Fall 2026</t>
        </is>
      </c>
      <c r="D15" s="55" t="inlineStr">
        <is>
          <t>Glesner</t>
        </is>
      </c>
      <c r="E15" s="66" t="n"/>
      <c r="F15" s="55" t="n"/>
      <c r="G15" s="55" t="n"/>
    </row>
    <row r="16">
      <c r="A16" s="34" t="inlineStr">
        <is>
          <t>Module 6</t>
        </is>
      </c>
      <c r="B16" s="34" t="inlineStr">
        <is>
          <t>Day 1</t>
        </is>
      </c>
      <c r="C16" s="35" t="inlineStr">
        <is>
          <t>Fall 2026</t>
        </is>
      </c>
      <c r="D16" s="35" t="inlineStr">
        <is>
          <t>Glesner</t>
        </is>
      </c>
      <c r="E16" s="65" t="n"/>
      <c r="F16" s="35" t="n"/>
      <c r="G16" s="35" t="n"/>
    </row>
    <row r="17">
      <c r="A17" s="53" t="inlineStr">
        <is>
          <t>Module 6</t>
        </is>
      </c>
      <c r="B17" s="53" t="inlineStr">
        <is>
          <t>Day 2</t>
        </is>
      </c>
      <c r="C17" s="55" t="inlineStr">
        <is>
          <t>Fall 2026</t>
        </is>
      </c>
      <c r="D17" s="55" t="inlineStr">
        <is>
          <t>Glesner</t>
        </is>
      </c>
      <c r="E17" s="66" t="n"/>
      <c r="F17" s="55" t="n"/>
      <c r="G17" s="55" t="n"/>
    </row>
    <row r="18">
      <c r="A18" s="34" t="inlineStr">
        <is>
          <t>Module 7</t>
        </is>
      </c>
      <c r="B18" s="34" t="inlineStr">
        <is>
          <t>Day 1</t>
        </is>
      </c>
      <c r="C18" s="35" t="inlineStr">
        <is>
          <t>Fall 2026</t>
        </is>
      </c>
      <c r="D18" s="35" t="inlineStr">
        <is>
          <t>Glesner</t>
        </is>
      </c>
      <c r="E18" s="65" t="n"/>
      <c r="F18" s="35" t="n"/>
      <c r="G18" s="35" t="n"/>
    </row>
    <row r="19">
      <c r="A19" s="53" t="inlineStr">
        <is>
          <t>Module 7</t>
        </is>
      </c>
      <c r="B19" s="53" t="inlineStr">
        <is>
          <t>Day 2</t>
        </is>
      </c>
      <c r="C19" s="55" t="inlineStr">
        <is>
          <t>Fall 2026</t>
        </is>
      </c>
      <c r="D19" s="55" t="inlineStr">
        <is>
          <t>Glesner</t>
        </is>
      </c>
      <c r="E19" s="66" t="n"/>
      <c r="F19" s="55" t="n"/>
      <c r="G19" s="55" t="n"/>
    </row>
    <row r="20">
      <c r="A20" s="34" t="inlineStr">
        <is>
          <t>Module 8</t>
        </is>
      </c>
      <c r="B20" s="34" t="inlineStr">
        <is>
          <t>Day 1</t>
        </is>
      </c>
      <c r="C20" s="35" t="inlineStr">
        <is>
          <t>Fall 2026</t>
        </is>
      </c>
      <c r="D20" s="35" t="inlineStr">
        <is>
          <t>Glesner</t>
        </is>
      </c>
      <c r="E20" s="65" t="n"/>
      <c r="F20" s="35" t="n"/>
      <c r="G20" s="35" t="n"/>
    </row>
    <row r="21" ht="15.75" customHeight="1" s="111">
      <c r="A21" s="53" t="inlineStr">
        <is>
          <t>Module 8</t>
        </is>
      </c>
      <c r="B21" s="53" t="inlineStr">
        <is>
          <t>Day 2</t>
        </is>
      </c>
      <c r="C21" s="55" t="inlineStr">
        <is>
          <t>Fall 2026</t>
        </is>
      </c>
      <c r="D21" s="55" t="inlineStr">
        <is>
          <t>Glesner</t>
        </is>
      </c>
      <c r="E21" s="66" t="n"/>
      <c r="F21" s="55" t="n"/>
      <c r="G21" s="55" t="n"/>
    </row>
    <row r="22" ht="15.75" customHeight="1" s="111">
      <c r="A22" s="34" t="inlineStr">
        <is>
          <t>Module 9</t>
        </is>
      </c>
      <c r="B22" s="34" t="inlineStr">
        <is>
          <t>Day 1</t>
        </is>
      </c>
      <c r="C22" s="35" t="inlineStr">
        <is>
          <t>Fall 2026</t>
        </is>
      </c>
      <c r="D22" s="35" t="inlineStr">
        <is>
          <t>Glesner</t>
        </is>
      </c>
      <c r="E22" s="65" t="n"/>
      <c r="F22" s="35" t="n"/>
      <c r="G22" s="35" t="n"/>
    </row>
    <row r="23" ht="15.75" customHeight="1" s="111">
      <c r="A23" s="53" t="inlineStr">
        <is>
          <t>Module 9</t>
        </is>
      </c>
      <c r="B23" s="53" t="inlineStr">
        <is>
          <t>Day 2</t>
        </is>
      </c>
      <c r="C23" s="55" t="inlineStr">
        <is>
          <t>Fall 2026</t>
        </is>
      </c>
      <c r="D23" s="55" t="inlineStr">
        <is>
          <t>Glesner</t>
        </is>
      </c>
      <c r="E23" s="66" t="n"/>
      <c r="F23" s="55" t="n"/>
      <c r="G23" s="55" t="n"/>
    </row>
    <row r="24" ht="15.75" customHeight="1" s="111">
      <c r="A24" s="34" t="inlineStr">
        <is>
          <t>Module 10</t>
        </is>
      </c>
      <c r="B24" s="34" t="inlineStr">
        <is>
          <t>Day 1</t>
        </is>
      </c>
      <c r="C24" s="35" t="inlineStr">
        <is>
          <t>Fall 2026</t>
        </is>
      </c>
      <c r="D24" s="35" t="inlineStr">
        <is>
          <t>Glesner</t>
        </is>
      </c>
      <c r="E24" s="65" t="n"/>
      <c r="F24" s="35" t="n"/>
      <c r="G24" s="35" t="n"/>
    </row>
    <row r="25" ht="15.75" customHeight="1" s="111">
      <c r="A25" s="53" t="inlineStr">
        <is>
          <t>Module 10</t>
        </is>
      </c>
      <c r="B25" s="53" t="inlineStr">
        <is>
          <t>Day 2</t>
        </is>
      </c>
      <c r="C25" s="55" t="inlineStr">
        <is>
          <t>Fall 2026</t>
        </is>
      </c>
      <c r="D25" s="55" t="inlineStr">
        <is>
          <t>Glesner</t>
        </is>
      </c>
      <c r="E25" s="66" t="n"/>
      <c r="F25" s="55" t="n"/>
      <c r="G25" s="55" t="n"/>
    </row>
    <row r="26" ht="15.75" customHeight="1" s="111">
      <c r="A26" s="34" t="inlineStr">
        <is>
          <t>Module 11</t>
        </is>
      </c>
      <c r="B26" s="34" t="inlineStr">
        <is>
          <t>Day 1</t>
        </is>
      </c>
      <c r="C26" s="35" t="inlineStr">
        <is>
          <t>Fall 2026</t>
        </is>
      </c>
      <c r="D26" s="35" t="inlineStr">
        <is>
          <t>Glesner</t>
        </is>
      </c>
      <c r="E26" s="65" t="n"/>
      <c r="F26" s="35" t="n"/>
      <c r="G26" s="35" t="n"/>
    </row>
    <row r="27" ht="15.75" customHeight="1" s="111">
      <c r="A27" s="53" t="inlineStr">
        <is>
          <t>Module 11</t>
        </is>
      </c>
      <c r="B27" s="53" t="inlineStr">
        <is>
          <t>Day 2</t>
        </is>
      </c>
      <c r="C27" s="55" t="inlineStr">
        <is>
          <t>Fall 2026</t>
        </is>
      </c>
      <c r="D27" s="55" t="inlineStr">
        <is>
          <t>Glesner</t>
        </is>
      </c>
      <c r="E27" s="66" t="n"/>
      <c r="F27" s="55" t="n"/>
      <c r="G27" s="55" t="n"/>
    </row>
    <row r="28" ht="15.75" customHeight="1" s="111">
      <c r="A28" s="34" t="inlineStr">
        <is>
          <t>Module 12</t>
        </is>
      </c>
      <c r="B28" s="34" t="inlineStr">
        <is>
          <t>Day 1</t>
        </is>
      </c>
      <c r="C28" s="35" t="inlineStr">
        <is>
          <t>Fall 2026</t>
        </is>
      </c>
      <c r="D28" s="35" t="inlineStr">
        <is>
          <t>Glesner</t>
        </is>
      </c>
      <c r="E28" s="65" t="n"/>
      <c r="F28" s="35" t="n"/>
      <c r="G28" s="35" t="n"/>
    </row>
    <row r="29" ht="15.75" customHeight="1" s="111">
      <c r="A29" s="53" t="inlineStr">
        <is>
          <t>Module 12</t>
        </is>
      </c>
      <c r="B29" s="53" t="inlineStr">
        <is>
          <t>Day 2</t>
        </is>
      </c>
      <c r="C29" s="55" t="inlineStr">
        <is>
          <t>Fall 2026</t>
        </is>
      </c>
      <c r="D29" s="55" t="inlineStr">
        <is>
          <t>Glesner</t>
        </is>
      </c>
      <c r="E29" s="66" t="n"/>
      <c r="F29" s="55" t="n"/>
      <c r="G29" s="55" t="n"/>
    </row>
    <row r="30" ht="15.75" customHeight="1" s="111">
      <c r="A30" s="34" t="inlineStr">
        <is>
          <t>Module 13</t>
        </is>
      </c>
      <c r="B30" s="34" t="inlineStr">
        <is>
          <t>Day 1</t>
        </is>
      </c>
      <c r="C30" s="35" t="inlineStr">
        <is>
          <t>Fall 2026</t>
        </is>
      </c>
      <c r="D30" s="35" t="inlineStr">
        <is>
          <t>Glesner</t>
        </is>
      </c>
      <c r="E30" s="65" t="n"/>
      <c r="F30" s="35" t="n"/>
      <c r="G30" s="35" t="n"/>
    </row>
    <row r="31" ht="15.75" customHeight="1" s="111">
      <c r="A31" s="53" t="inlineStr">
        <is>
          <t>Module 13</t>
        </is>
      </c>
      <c r="B31" s="53" t="inlineStr">
        <is>
          <t>Day 2</t>
        </is>
      </c>
      <c r="C31" s="55" t="inlineStr">
        <is>
          <t>Fall 2026</t>
        </is>
      </c>
      <c r="D31" s="55" t="inlineStr">
        <is>
          <t>Glesner</t>
        </is>
      </c>
      <c r="E31" s="66" t="n"/>
      <c r="F31" s="55" t="n"/>
      <c r="G31" s="55" t="n"/>
    </row>
    <row r="32" ht="15.75" customHeight="1" s="111">
      <c r="A32" s="34" t="inlineStr">
        <is>
          <t>Module 14</t>
        </is>
      </c>
      <c r="B32" s="34" t="inlineStr">
        <is>
          <t>Day 1</t>
        </is>
      </c>
      <c r="C32" s="35" t="inlineStr">
        <is>
          <t>Fall 2026</t>
        </is>
      </c>
      <c r="D32" s="35" t="inlineStr">
        <is>
          <t>Glesner</t>
        </is>
      </c>
      <c r="E32" s="65" t="n"/>
      <c r="F32" s="35" t="n"/>
      <c r="G32" s="35" t="n"/>
    </row>
    <row r="33" ht="15.75" customHeight="1" s="111">
      <c r="A33" s="53" t="inlineStr">
        <is>
          <t>Module 14</t>
        </is>
      </c>
      <c r="B33" s="53" t="inlineStr">
        <is>
          <t>Day 2</t>
        </is>
      </c>
      <c r="C33" s="55" t="inlineStr">
        <is>
          <t>Fall 2026</t>
        </is>
      </c>
      <c r="D33" s="55" t="inlineStr">
        <is>
          <t>Glesner</t>
        </is>
      </c>
      <c r="E33" s="66" t="n"/>
      <c r="F33" s="55" t="n"/>
      <c r="G33" s="5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68.29000000000001" customWidth="1" style="111" min="3" max="3"/>
    <col width="16" customWidth="1" style="111" min="4" max="4"/>
    <col width="18" customWidth="1" style="111" min="5" max="5"/>
    <col width="20" customWidth="1" style="111" min="6" max="6"/>
    <col width="58.57" customWidth="1" style="111" min="7" max="7"/>
  </cols>
  <sheetData>
    <row r="1">
      <c r="A1" s="3" t="inlineStr">
        <is>
          <t>NUR234  ·  Exam Reviews</t>
        </is>
      </c>
    </row>
    <row r="2">
      <c r="A2" s="9" t="inlineStr">
        <is>
          <t>NUR234</t>
        </is>
      </c>
      <c r="B2" s="7" t="inlineStr">
        <is>
          <t>NUR235</t>
        </is>
      </c>
      <c r="C2" s="7" t="inlineStr">
        <is>
          <t>NUR258</t>
        </is>
      </c>
      <c r="D2" s="12" t="inlineStr">
        <is>
          <t>🏠 START HERE</t>
        </is>
      </c>
      <c r="E2" s="18" t="inlineStr">
        <is>
          <t>📥 Sort me</t>
        </is>
      </c>
      <c r="F2" s="17" t="n"/>
      <c r="G2" s="17" t="n"/>
    </row>
    <row r="3">
      <c r="A3" s="22" t="inlineStr">
        <is>
          <t>Kaiser</t>
        </is>
      </c>
      <c r="B3" s="22" t="inlineStr">
        <is>
          <t>Buhler</t>
        </is>
      </c>
      <c r="C3" s="22" t="inlineStr">
        <is>
          <t>Glesner</t>
        </is>
      </c>
      <c r="D3" s="68" t="inlineStr">
        <is>
          <t>Exams</t>
        </is>
      </c>
      <c r="E3" s="27" t="n"/>
      <c r="F3" s="17" t="n"/>
      <c r="G3" s="17" t="n"/>
    </row>
    <row r="4">
      <c r="A4" s="17" t="n"/>
      <c r="B4" s="17" t="n"/>
      <c r="C4" s="17" t="n"/>
      <c r="D4" s="17" t="n"/>
      <c r="E4" s="17" t="n"/>
      <c r="F4" s="17" t="n"/>
      <c r="G4" s="17" t="n"/>
    </row>
    <row r="5">
      <c r="A5" s="69" t="inlineStr">
        <is>
          <t>Exam</t>
        </is>
      </c>
      <c r="B5" s="69" t="inlineStr">
        <is>
          <t>Date</t>
        </is>
      </c>
      <c r="C5" s="69" t="inlineStr">
        <is>
          <t>Item</t>
        </is>
      </c>
      <c r="D5" s="69" t="inlineStr">
        <is>
          <t>Lecturer</t>
        </is>
      </c>
      <c r="E5" s="69" t="inlineStr">
        <is>
          <t>Type</t>
        </is>
      </c>
      <c r="F5" s="69" t="inlineStr">
        <is>
          <t>Link</t>
        </is>
      </c>
      <c r="G5" s="69" t="inlineStr">
        <is>
          <t>Notes</t>
        </is>
      </c>
    </row>
    <row r="6">
      <c r="A6" s="53" t="inlineStr">
        <is>
          <t>Exam 1</t>
        </is>
      </c>
      <c r="B6" s="53" t="n"/>
      <c r="C6" s="55" t="inlineStr">
        <is>
          <t>Study guide</t>
        </is>
      </c>
      <c r="D6" s="55" t="inlineStr">
        <is>
          <t>Course handout</t>
        </is>
      </c>
      <c r="E6" s="55" t="inlineStr">
        <is>
          <t>PDF</t>
        </is>
      </c>
      <c r="F6" s="70">
        <f>HYPERLINK("https://drive.google.com/file/d/1G-isAusr4xSiEajdswjxRKPg2ZXah-E9/view","🔗  Open")</f>
        <v/>
      </c>
      <c r="G6" s="55" t="inlineStr">
        <is>
          <t>Maternal study guide</t>
        </is>
      </c>
    </row>
    <row r="7">
      <c r="A7" s="34" t="inlineStr">
        <is>
          <t>Exam 1</t>
        </is>
      </c>
      <c r="B7" s="34" t="n"/>
      <c r="C7" s="35" t="inlineStr">
        <is>
          <t>Practice questions</t>
        </is>
      </c>
      <c r="D7" s="35" t="inlineStr">
        <is>
          <t>Dr. Renee Hansen</t>
        </is>
      </c>
      <c r="E7" s="35" t="inlineStr">
        <is>
          <t>PDF</t>
        </is>
      </c>
      <c r="F7" s="72">
        <f>HYPERLINK("https://drive.google.com/file/d/18sXhH2IZ8qhFlQThhjENr3rB-P8La9BX/view","🔗  Open")</f>
        <v/>
      </c>
      <c r="G7" s="35" t="inlineStr">
        <is>
          <t>Exam prep sessions hosted by Hansen (Student Success Coach)</t>
        </is>
      </c>
    </row>
    <row r="8">
      <c r="A8" s="53" t="inlineStr">
        <is>
          <t>Exam 1</t>
        </is>
      </c>
      <c r="B8" s="53" t="n"/>
      <c r="C8" s="55" t="inlineStr">
        <is>
          <t>Module 1 - Reproductive Life Planning</t>
        </is>
      </c>
      <c r="D8" s="55" t="inlineStr">
        <is>
          <t>LSC exam prep</t>
        </is>
      </c>
      <c r="E8" s="55" t="n"/>
      <c r="F8" s="70">
        <f>HYPERLINK("https://drive.google.com/file/d/1BzJX0H7asjyK1qzOoVAj85MSXLDimJYx/view","Module 1 - Reproductive Life Planning")</f>
        <v/>
      </c>
      <c r="G8" s="55" t="n"/>
    </row>
    <row r="9">
      <c r="A9" s="34" t="inlineStr">
        <is>
          <t>Exam 1</t>
        </is>
      </c>
      <c r="B9" s="34" t="n"/>
      <c r="C9" s="35" t="inlineStr">
        <is>
          <t>Module 2 - Normal Pregnancy and Care of the Growing Fetus</t>
        </is>
      </c>
      <c r="D9" s="35" t="inlineStr">
        <is>
          <t>LSC exam prep</t>
        </is>
      </c>
      <c r="E9" s="35" t="n"/>
      <c r="F9" s="72">
        <f>HYPERLINK("https://drive.google.com/file/d/1Bk0lxp-seYQORXcarpIuO88Viox4fuOZ/view","Module 2 - Normal Pregnancy and Care of the Growing Fetus")</f>
        <v/>
      </c>
      <c r="G9" s="35" t="n"/>
    </row>
    <row r="10">
      <c r="A10" s="53" t="inlineStr">
        <is>
          <t>Exam 1</t>
        </is>
      </c>
      <c r="B10" s="53" t="n"/>
      <c r="C10" s="55" t="inlineStr">
        <is>
          <t>Module 3 - Physiologic Changes of Pregnancy</t>
        </is>
      </c>
      <c r="D10" s="55" t="inlineStr">
        <is>
          <t>LSC exam prep</t>
        </is>
      </c>
      <c r="E10" s="55" t="n"/>
      <c r="F10" s="70">
        <f>HYPERLINK("https://drive.google.com/file/d/1B4wu9ddK2huKEVy10lawIK1_YhYzO6bS/view","Module 3 - Physiologic Changes of Pregnancy")</f>
        <v/>
      </c>
      <c r="G10" s="55" t="n"/>
    </row>
    <row r="11">
      <c r="A11" s="34" t="inlineStr">
        <is>
          <t>Exam 1</t>
        </is>
      </c>
      <c r="B11" s="34" t="n"/>
      <c r="C11" s="35" t="inlineStr">
        <is>
          <t>Module 3 - Psychological Changes of Pregnancy</t>
        </is>
      </c>
      <c r="D11" s="35" t="inlineStr">
        <is>
          <t>LSC exam prep</t>
        </is>
      </c>
      <c r="E11" s="35" t="n"/>
      <c r="F11" s="72">
        <f>HYPERLINK("https://drive.google.com/file/d/15AJVaRpwi7uCi97zYj2Cd01PrGjJ5xTs/view","Module 3 - Psychological Changes of Pregnancy")</f>
        <v/>
      </c>
      <c r="G11" s="35" t="n"/>
    </row>
    <row r="12">
      <c r="A12" s="53" t="inlineStr">
        <is>
          <t>Exam 1</t>
        </is>
      </c>
      <c r="B12" s="53" t="n"/>
      <c r="C12" s="55" t="inlineStr">
        <is>
          <t>Module 4 - Assessment of a Pregnant Family</t>
        </is>
      </c>
      <c r="D12" s="55" t="inlineStr">
        <is>
          <t>LSC exam prep</t>
        </is>
      </c>
      <c r="E12" s="55" t="n"/>
      <c r="F12" s="70">
        <f>HYPERLINK("https://drive.google.com/file/d/1IQCgJ3dr5ipTv2VGO7t_8Vd16_cwFRKK/view","Module 4 - Assessment of a Pregnant Family")</f>
        <v/>
      </c>
      <c r="G12" s="55" t="n"/>
    </row>
    <row r="13">
      <c r="A13" s="34" t="inlineStr">
        <is>
          <t>Exam 2</t>
        </is>
      </c>
      <c r="B13" s="34" t="n"/>
      <c r="C13" s="35" t="inlineStr">
        <is>
          <t>Module 5 - Prenatal</t>
        </is>
      </c>
      <c r="D13" s="35" t="inlineStr">
        <is>
          <t>LSC exam prep</t>
        </is>
      </c>
      <c r="E13" s="35" t="n"/>
      <c r="F13" s="35">
        <f>HYPERLINK("https://drive.google.com/file/d/1C00mJ7cLrMjmrEFDRQPwrgq8w56Bjj3_/view","Module 5 - Prenatal")</f>
        <v/>
      </c>
      <c r="G13" s="35" t="inlineStr">
        <is>
          <t>NUR234_Fall2026_LSC_Wk05_DayNA_Prenatal.mp4</t>
        </is>
      </c>
    </row>
    <row r="14">
      <c r="A14" s="53" t="inlineStr">
        <is>
          <t>Exam 2</t>
        </is>
      </c>
      <c r="B14" s="53" t="n"/>
      <c r="C14" s="55" t="inlineStr">
        <is>
          <t>Module 5 - Promoting Maternal Health</t>
        </is>
      </c>
      <c r="D14" s="55" t="inlineStr">
        <is>
          <t>LSC exam prep</t>
        </is>
      </c>
      <c r="E14" s="55" t="n"/>
      <c r="F14" s="70">
        <f>HYPERLINK("https://drive.google.com/file/d/1LCdbszibb4W0yRbF9nLhKKKFeIHTmtug/view","Module 5 - Promoting Maternal Health")</f>
        <v/>
      </c>
      <c r="G14" s="55" t="inlineStr">
        <is>
          <t>NUR234_Fall2026_LSC_Wk05_DayNA_Promoting Maternal Health.mp4</t>
        </is>
      </c>
    </row>
    <row r="15">
      <c r="A15" s="53" t="inlineStr">
        <is>
          <t>Exam 2</t>
        </is>
      </c>
      <c r="B15" s="53" t="n"/>
      <c r="C15" s="55" t="inlineStr">
        <is>
          <t>Module 5 - Promoting Fetal Health</t>
        </is>
      </c>
      <c r="D15" s="55" t="inlineStr">
        <is>
          <t>LSC exam prep</t>
        </is>
      </c>
      <c r="E15" s="55" t="n"/>
      <c r="F15" s="70">
        <f>HYPERLINK("https://drive.google.com/file/d/1ZizDdJyPX2SIYbCaVpnN9ncjhNtft7ii/view","Module 5 - Promoting Fetal Health")</f>
        <v/>
      </c>
      <c r="G15" s="55" t="inlineStr">
        <is>
          <t>NUR234_Fall2026_LSC_Wk05_DayNA_Promoting Fetal Health.mp4</t>
        </is>
      </c>
    </row>
    <row r="16">
      <c r="A16" s="53" t="inlineStr">
        <is>
          <t>Exam 3</t>
        </is>
      </c>
      <c r="B16" s="53" t="n"/>
      <c r="C16" s="55" t="n"/>
      <c r="D16" s="55" t="n"/>
      <c r="E16" s="55" t="n"/>
      <c r="F16" s="55" t="n"/>
      <c r="G16" s="55" t="n"/>
    </row>
    <row r="17">
      <c r="A17" s="34" t="inlineStr">
        <is>
          <t>Exam 3</t>
        </is>
      </c>
      <c r="B17" s="34" t="n"/>
      <c r="C17" s="35" t="n"/>
      <c r="D17" s="35" t="n"/>
      <c r="E17" s="35" t="n"/>
      <c r="F17" s="35" t="n"/>
      <c r="G17" s="35" t="n"/>
    </row>
    <row r="18">
      <c r="A18" s="53" t="inlineStr">
        <is>
          <t>Exam 3</t>
        </is>
      </c>
      <c r="B18" s="53" t="n"/>
      <c r="C18" s="55" t="n"/>
      <c r="D18" s="55" t="n"/>
      <c r="E18" s="55" t="n"/>
      <c r="F18" s="55" t="n"/>
      <c r="G18" s="55" t="n"/>
    </row>
    <row r="19">
      <c r="A19" s="34" t="inlineStr">
        <is>
          <t>Exam 3</t>
        </is>
      </c>
      <c r="B19" s="34" t="n"/>
      <c r="C19" s="35" t="n"/>
      <c r="D19" s="35" t="n"/>
      <c r="E19" s="35" t="n"/>
      <c r="F19" s="35" t="n"/>
      <c r="G19" s="35" t="n"/>
    </row>
    <row r="20" ht="15.75" customHeight="1" s="111">
      <c r="A20" s="53" t="inlineStr">
        <is>
          <t>FINAL</t>
        </is>
      </c>
      <c r="B20" s="53" t="n"/>
      <c r="C20" s="55" t="n"/>
      <c r="D20" s="55" t="n"/>
      <c r="E20" s="55" t="n"/>
      <c r="F20" s="55" t="n"/>
      <c r="G20" s="55" t="n"/>
    </row>
    <row r="21" ht="15.75" customHeight="1" s="111">
      <c r="A21" s="34" t="inlineStr">
        <is>
          <t>FINAL</t>
        </is>
      </c>
      <c r="B21" s="34" t="n"/>
      <c r="C21" s="35" t="n"/>
      <c r="D21" s="35" t="n"/>
      <c r="E21" s="35" t="n"/>
      <c r="F21" s="35" t="n"/>
      <c r="G21" s="35" t="n"/>
    </row>
    <row r="22" ht="15.75" customHeight="1" s="111">
      <c r="A22" s="53" t="inlineStr">
        <is>
          <t>FINAL</t>
        </is>
      </c>
      <c r="B22" s="53" t="n"/>
      <c r="C22" s="55" t="n"/>
      <c r="D22" s="55" t="inlineStr">
        <is>
          <t>Kaiser</t>
        </is>
      </c>
      <c r="E22" s="55" t="inlineStr">
        <is>
          <t>Video</t>
        </is>
      </c>
      <c r="F22" s="56">
        <f>HYPERLINK("https://drive.google.com/file/d/1osViOBDNkX1DvBYY87Q6e9YPmC2yXvWZ/view","🔗  Open")</f>
        <v/>
      </c>
      <c r="G22" s="55" t="inlineStr">
        <is>
          <t>Kaiser final review.mp4</t>
        </is>
      </c>
    </row>
    <row r="23" ht="15.75" customHeight="1" s="111">
      <c r="A23" s="34" t="inlineStr">
        <is>
          <t>FINAL</t>
        </is>
      </c>
      <c r="B23" s="34" t="n"/>
      <c r="C23" s="35" t="n"/>
      <c r="D23" s="35" t="inlineStr">
        <is>
          <t>Kaiser</t>
        </is>
      </c>
      <c r="E23" s="35" t="inlineStr">
        <is>
          <t>Video</t>
        </is>
      </c>
      <c r="F23" s="46">
        <f>HYPERLINK("https://drive.google.com/file/d/1o5rlqxPFoHyGm38nNnVlNWZFdmCAcwJg/view","🔗  Open")</f>
        <v/>
      </c>
      <c r="G23" s="35" t="inlineStr">
        <is>
          <t>Kaiser final review 2.mp4</t>
        </is>
      </c>
    </row>
    <row r="24" ht="15.75" customHeight="1" s="111">
      <c r="A24" s="53" t="inlineStr">
        <is>
          <t>FINAL</t>
        </is>
      </c>
      <c r="B24" s="55" t="inlineStr">
        <is>
          <t>Summer 2026</t>
        </is>
      </c>
      <c r="C24" s="55" t="inlineStr">
        <is>
          <t>Kaiser Final Review 1 (second recording, 28 Aug)</t>
        </is>
      </c>
      <c r="D24" s="55" t="inlineStr">
        <is>
          <t>Kaiser</t>
        </is>
      </c>
      <c r="E24" s="55" t="inlineStr">
        <is>
          <t>Video</t>
        </is>
      </c>
      <c r="F24" s="56">
        <f>HYPERLINK("https://drive.google.com/file/d/1Hvmu7OUcu6SiYkAQl-7CSUP8aGpLRP_2/view","🔗  Open")</f>
        <v/>
      </c>
      <c r="G24" s="55" t="inlineStr">
        <is>
          <t>Different from the final review above - 190 MB</t>
        </is>
      </c>
    </row>
    <row r="25" ht="15.75" customHeight="1" s="111">
      <c r="A25" s="34" t="inlineStr">
        <is>
          <t>FINAL</t>
        </is>
      </c>
      <c r="B25" s="35" t="inlineStr">
        <is>
          <t>Summer 2026</t>
        </is>
      </c>
      <c r="C25" s="35" t="inlineStr">
        <is>
          <t>Kaiser Final Review 2 (second recording, 28 Aug)</t>
        </is>
      </c>
      <c r="D25" s="35" t="inlineStr">
        <is>
          <t>Kaiser</t>
        </is>
      </c>
      <c r="E25" s="35" t="inlineStr">
        <is>
          <t>Video</t>
        </is>
      </c>
      <c r="F25" s="46">
        <f>HYPERLINK("https://drive.google.com/file/d/1I5SqOtY8opWDexyUBaWoTlfuy4oR_kSV/view","🔗  Open")</f>
        <v/>
      </c>
      <c r="G25" s="35" t="inlineStr">
        <is>
          <t>Different from final review 2 above - 237 MB</t>
        </is>
      </c>
    </row>
    <row r="26" ht="15.75" customHeight="1" s="111">
      <c r="A26" s="67" t="n"/>
      <c r="B26" s="67" t="n"/>
      <c r="C26" s="67" t="n"/>
      <c r="D26" s="67" t="n"/>
      <c r="E26" s="67" t="n"/>
      <c r="F26" s="67" t="n"/>
      <c r="G26" s="67" t="n"/>
    </row>
    <row r="27" ht="15.75" customHeight="1" s="111">
      <c r="A27" s="67" t="n"/>
      <c r="B27" s="67" t="n"/>
      <c r="C27" s="67" t="n"/>
      <c r="D27" s="67" t="n"/>
      <c r="E27" s="67" t="n"/>
      <c r="F27" s="67" t="n"/>
      <c r="G27" s="67" t="n"/>
    </row>
    <row r="28" ht="15.75" customHeight="1" s="111">
      <c r="A28" s="67" t="n"/>
      <c r="B28" s="67" t="n"/>
      <c r="C28" s="67" t="n"/>
      <c r="D28" s="67" t="n"/>
      <c r="E28" s="67" t="n"/>
      <c r="F28" s="67" t="n"/>
      <c r="G28" s="67" t="n"/>
    </row>
    <row r="29" ht="15.75" customHeight="1" s="111">
      <c r="A29" s="67" t="n"/>
      <c r="B29" s="67" t="n"/>
      <c r="C29" s="67" t="n"/>
      <c r="D29" s="67" t="n"/>
      <c r="E29" s="67" t="n"/>
      <c r="F29" s="67" t="n"/>
      <c r="G29" s="67" t="n"/>
    </row>
    <row r="30" ht="15.75" customHeight="1" s="111">
      <c r="A30" s="67" t="n"/>
      <c r="B30" s="67" t="n"/>
      <c r="C30" s="67" t="n"/>
      <c r="D30" s="67" t="n"/>
      <c r="E30" s="67" t="n"/>
      <c r="F30" s="67" t="n"/>
      <c r="G30" s="67" t="n"/>
    </row>
    <row r="31" ht="15.75" customHeight="1" s="111">
      <c r="A31" s="67" t="n"/>
      <c r="B31" s="67" t="n"/>
      <c r="C31" s="67" t="n"/>
      <c r="D31" s="67" t="n"/>
      <c r="E31" s="67" t="n"/>
      <c r="F31" s="67" t="n"/>
      <c r="G31" s="67"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sheetData>
  <autoFilter ref="$A$5:$G$2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8.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Fadell</t>
        </is>
      </c>
    </row>
    <row r="2">
      <c r="A2" s="7" t="inlineStr">
        <is>
          <t>NUR234</t>
        </is>
      </c>
      <c r="B2" s="11" t="inlineStr">
        <is>
          <t>NUR235</t>
        </is>
      </c>
      <c r="C2" s="7" t="inlineStr">
        <is>
          <t>NUR258</t>
        </is>
      </c>
      <c r="D2" s="12" t="inlineStr">
        <is>
          <t>🏠 START HERE</t>
        </is>
      </c>
      <c r="E2" s="18" t="inlineStr">
        <is>
          <t>📥 Sort me</t>
        </is>
      </c>
      <c r="F2" s="17" t="n"/>
      <c r="G2" s="17" t="n"/>
    </row>
    <row r="3">
      <c r="A3" s="73" t="inlineStr">
        <is>
          <t>Fadell</t>
        </is>
      </c>
      <c r="B3" s="22" t="inlineStr">
        <is>
          <t>Fuller</t>
        </is>
      </c>
      <c r="C3" s="22"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Spring 2026</t>
        </is>
      </c>
      <c r="D6" s="76" t="inlineStr">
        <is>
          <t>Fadell</t>
        </is>
      </c>
      <c r="E6" s="77">
        <f>HYPERLINK("https://drive.google.com/file/d/1pdrIxvRlTvmP6KratKznradt22HLDzo1/view","▶  Watch")</f>
        <v/>
      </c>
      <c r="F6" s="76" t="inlineStr">
        <is>
          <t>NUR235 M1d1.mp4</t>
        </is>
      </c>
      <c r="G6" s="76" t="n"/>
    </row>
    <row r="7">
      <c r="A7" s="78" t="inlineStr">
        <is>
          <t>Module 1</t>
        </is>
      </c>
      <c r="B7" s="78" t="inlineStr">
        <is>
          <t>Day 2</t>
        </is>
      </c>
      <c r="C7" s="76" t="inlineStr">
        <is>
          <t>Spring 2026</t>
        </is>
      </c>
      <c r="D7" s="79" t="inlineStr">
        <is>
          <t>Fadell</t>
        </is>
      </c>
      <c r="E7" s="80">
        <f>HYPERLINK("https://drive.google.com/file/d/16CuSniyXHzQ9ZFqCLcKE3p5Q4Q5oeyxS/view","▶  Watch")</f>
        <v/>
      </c>
      <c r="F7" s="79" t="inlineStr">
        <is>
          <t>NUR235 M1d2.mp4</t>
        </is>
      </c>
      <c r="G7" s="79" t="n"/>
    </row>
    <row r="8">
      <c r="A8" s="75" t="inlineStr">
        <is>
          <t>Module 2</t>
        </is>
      </c>
      <c r="B8" s="75" t="inlineStr">
        <is>
          <t>Day 1</t>
        </is>
      </c>
      <c r="C8" s="76" t="inlineStr">
        <is>
          <t>Spring 2026</t>
        </is>
      </c>
      <c r="D8" s="76" t="inlineStr">
        <is>
          <t>Fadell</t>
        </is>
      </c>
      <c r="E8" s="77">
        <f>HYPERLINK("https://drive.google.com/file/d/1Q5517-Mrq2k7R3wP0PxYutd5G6FPN9cx/view","▶  Watch")</f>
        <v/>
      </c>
      <c r="F8" s="76" t="inlineStr">
        <is>
          <t>NUR235 M2d1.mp4</t>
        </is>
      </c>
      <c r="G8" s="81" t="n"/>
    </row>
    <row r="9">
      <c r="A9" s="78" t="inlineStr">
        <is>
          <t>Module 2</t>
        </is>
      </c>
      <c r="B9" s="78" t="inlineStr">
        <is>
          <t>Day 2</t>
        </is>
      </c>
      <c r="C9" s="76" t="inlineStr">
        <is>
          <t>Spring 2026</t>
        </is>
      </c>
      <c r="D9" s="79" t="inlineStr">
        <is>
          <t>Fadell</t>
        </is>
      </c>
      <c r="E9" s="80">
        <f>HYPERLINK("https://drive.google.com/file/d/1QGoHeK_bKBeYzZq4vorX8dX8ZWt03EUh/view","▶  Watch")</f>
        <v/>
      </c>
      <c r="F9" s="79" t="inlineStr">
        <is>
          <t>NUR235 M2d2.mp4</t>
        </is>
      </c>
      <c r="G9" s="79" t="n"/>
    </row>
    <row r="10">
      <c r="A10" s="75" t="inlineStr">
        <is>
          <t>Module 3</t>
        </is>
      </c>
      <c r="B10" s="75" t="inlineStr">
        <is>
          <t>Day 1</t>
        </is>
      </c>
      <c r="C10" s="76" t="inlineStr">
        <is>
          <t>Spring 2026</t>
        </is>
      </c>
      <c r="D10" s="76" t="inlineStr">
        <is>
          <t>Fadell</t>
        </is>
      </c>
      <c r="E10" s="77">
        <f>HYPERLINK("https://drive.google.com/file/d/14JFpgO_aAbyd7-U8h2MQg0daKpNZ76Zo/view","▶  Watch")</f>
        <v/>
      </c>
      <c r="F10" s="76" t="inlineStr">
        <is>
          <t>NUR235 M3d1.mp4</t>
        </is>
      </c>
      <c r="G10" s="76" t="n"/>
    </row>
    <row r="11">
      <c r="A11" s="78" t="inlineStr">
        <is>
          <t>Module 3</t>
        </is>
      </c>
      <c r="B11" s="78" t="inlineStr">
        <is>
          <t>Day 2</t>
        </is>
      </c>
      <c r="C11" s="76" t="inlineStr">
        <is>
          <t>Spring 2026</t>
        </is>
      </c>
      <c r="D11" s="79" t="inlineStr">
        <is>
          <t>Fadell</t>
        </is>
      </c>
      <c r="E11" s="80">
        <f>HYPERLINK("https://drive.google.com/file/d/1k1EZ2L6NQIZhAcEQWpdLBFOIhAzVUMuV/view","▶  Watch")</f>
        <v/>
      </c>
      <c r="F11" s="79" t="inlineStr">
        <is>
          <t>NUR235 M3d2.mp4</t>
        </is>
      </c>
      <c r="G11" s="79" t="n"/>
    </row>
    <row r="12">
      <c r="A12" s="75" t="inlineStr">
        <is>
          <t>Module 4</t>
        </is>
      </c>
      <c r="B12" s="75" t="inlineStr">
        <is>
          <t>Day 1</t>
        </is>
      </c>
      <c r="C12" s="76" t="inlineStr">
        <is>
          <t>Spring 2026</t>
        </is>
      </c>
      <c r="D12" s="76" t="inlineStr">
        <is>
          <t>Fadell</t>
        </is>
      </c>
      <c r="E12" s="77">
        <f>HYPERLINK("https://drive.google.com/file/d/1b5bege6Dfibd8Ep1josxjnccr0sqen9l/view","▶  Watch")</f>
        <v/>
      </c>
      <c r="F12" s="76" t="inlineStr">
        <is>
          <t>NUR235 M4d1.mp4</t>
        </is>
      </c>
      <c r="G12" s="76" t="n"/>
    </row>
    <row r="13">
      <c r="A13" s="78" t="inlineStr">
        <is>
          <t>Module 4</t>
        </is>
      </c>
      <c r="B13" s="78" t="inlineStr">
        <is>
          <t>Day 2</t>
        </is>
      </c>
      <c r="C13" s="76" t="inlineStr">
        <is>
          <t>Spring 2026</t>
        </is>
      </c>
      <c r="D13" s="79" t="inlineStr">
        <is>
          <t>Fadell</t>
        </is>
      </c>
      <c r="E13" s="80">
        <f>HYPERLINK("https://drive.google.com/file/d/1pbfj4UN1PY9frn9xIKc394A_wJkYLkgq/view","▶  Watch")</f>
        <v/>
      </c>
      <c r="F13" s="79" t="inlineStr">
        <is>
          <t>NUR235 M4d2.mp4</t>
        </is>
      </c>
      <c r="G13" s="79" t="n"/>
    </row>
    <row r="14">
      <c r="A14" s="75" t="inlineStr">
        <is>
          <t>Module 5</t>
        </is>
      </c>
      <c r="B14" s="75" t="inlineStr">
        <is>
          <t>Day 1</t>
        </is>
      </c>
      <c r="C14" s="76" t="inlineStr">
        <is>
          <t>Spring 2026</t>
        </is>
      </c>
      <c r="D14" s="76" t="inlineStr">
        <is>
          <t>Fadell</t>
        </is>
      </c>
      <c r="E14" s="77">
        <f>HYPERLINK("https://drive.google.com/file/d/1kwB7srewINjZ8iX9yoFK8dBuH3_n41Qz/view","▶  Watch")</f>
        <v/>
      </c>
      <c r="F14" s="76" t="inlineStr">
        <is>
          <t>NUR235 M5d1.mp4</t>
        </is>
      </c>
      <c r="G14" s="76" t="n"/>
    </row>
    <row r="15">
      <c r="A15" s="78" t="inlineStr">
        <is>
          <t>Module 5</t>
        </is>
      </c>
      <c r="B15" s="78" t="inlineStr">
        <is>
          <t>Day 2</t>
        </is>
      </c>
      <c r="C15" s="76" t="inlineStr">
        <is>
          <t>Spring 2026</t>
        </is>
      </c>
      <c r="D15" s="79" t="inlineStr">
        <is>
          <t>Fadell</t>
        </is>
      </c>
      <c r="E15" s="80">
        <f>HYPERLINK("https://drive.google.com/file/d/1Gm7nRAm5aRuW3FfYXVDtq8acaYaeaadN/view","▶  Watch")</f>
        <v/>
      </c>
      <c r="F15" s="79" t="inlineStr">
        <is>
          <t>NUR235 M5d2.mp4</t>
        </is>
      </c>
      <c r="G15" s="79" t="n"/>
    </row>
    <row r="16">
      <c r="A16" s="75" t="inlineStr">
        <is>
          <t>Module 6</t>
        </is>
      </c>
      <c r="B16" s="75" t="inlineStr">
        <is>
          <t>Day 1</t>
        </is>
      </c>
      <c r="C16" s="76" t="inlineStr">
        <is>
          <t>Spring 2026</t>
        </is>
      </c>
      <c r="D16" s="76" t="inlineStr">
        <is>
          <t>Fadell</t>
        </is>
      </c>
      <c r="E16" s="77">
        <f>HYPERLINK("https://drive.google.com/file/d/1oBOb2A9oL_AyWlu27fJovaWgvJ2uh8BP/view","▶  Watch")</f>
        <v/>
      </c>
      <c r="F16" s="76" t="inlineStr">
        <is>
          <t>NUR235 M6d1.mp4</t>
        </is>
      </c>
      <c r="G16" s="76" t="n"/>
    </row>
    <row r="17">
      <c r="A17" s="78" t="inlineStr">
        <is>
          <t>Module 6</t>
        </is>
      </c>
      <c r="B17" s="78" t="inlineStr">
        <is>
          <t>Day 2</t>
        </is>
      </c>
      <c r="C17" s="76" t="inlineStr">
        <is>
          <t>Spring 2026</t>
        </is>
      </c>
      <c r="D17" s="79" t="inlineStr">
        <is>
          <t>Fadell</t>
        </is>
      </c>
      <c r="E17" s="80">
        <f>HYPERLINK("https://drive.google.com/file/d/1-cj742kGJJpy4aS0qcDwSAPrgN9b-EBi/view","▶  Watch")</f>
        <v/>
      </c>
      <c r="F17" s="79" t="inlineStr">
        <is>
          <t>NUR235 M6d2.mp4</t>
        </is>
      </c>
      <c r="G17" s="79" t="n"/>
    </row>
    <row r="18">
      <c r="A18" s="75" t="inlineStr">
        <is>
          <t>Module 7</t>
        </is>
      </c>
      <c r="B18" s="75" t="inlineStr">
        <is>
          <t>Day 1</t>
        </is>
      </c>
      <c r="C18" s="76" t="inlineStr">
        <is>
          <t>Spring 2026</t>
        </is>
      </c>
      <c r="D18" s="76" t="inlineStr">
        <is>
          <t>Fadell</t>
        </is>
      </c>
      <c r="E18" s="77">
        <f>HYPERLINK("https://drive.google.com/file/d/1qQMvemEiqmBOftgCnu0DbmTReiY9jQ6Z/view","▶  Watch")</f>
        <v/>
      </c>
      <c r="F18" s="76" t="inlineStr">
        <is>
          <t>NUR235 M7d1.mp4</t>
        </is>
      </c>
      <c r="G18" s="76" t="n"/>
    </row>
    <row r="19">
      <c r="A19" s="78" t="inlineStr">
        <is>
          <t>Module 7</t>
        </is>
      </c>
      <c r="B19" s="78" t="inlineStr">
        <is>
          <t>Day 2</t>
        </is>
      </c>
      <c r="C19" s="76" t="inlineStr">
        <is>
          <t>Spring 2026</t>
        </is>
      </c>
      <c r="D19" s="79" t="inlineStr">
        <is>
          <t>Fadell</t>
        </is>
      </c>
      <c r="E19" s="80">
        <f>HYPERLINK("https://drive.google.com/file/d/1MyPdbWpWRub7BfbX4l2laIuFgfTbkU1A/view","▶  Watch")</f>
        <v/>
      </c>
      <c r="F19" s="79" t="inlineStr">
        <is>
          <t>NUR235 M7d2.mp4</t>
        </is>
      </c>
      <c r="G19" s="79" t="n"/>
    </row>
    <row r="20">
      <c r="A20" s="75" t="inlineStr">
        <is>
          <t>Module 8</t>
        </is>
      </c>
      <c r="B20" s="75" t="inlineStr">
        <is>
          <t>Day 1</t>
        </is>
      </c>
      <c r="C20" s="76" t="inlineStr">
        <is>
          <t>Spring 2026</t>
        </is>
      </c>
      <c r="D20" s="76" t="inlineStr">
        <is>
          <t>Fadell</t>
        </is>
      </c>
      <c r="E20" s="77">
        <f>HYPERLINK("https://drive.google.com/file/d/1r6A_uGiCKxkRitxZHuHmA6zLzKanD4ir/view","▶  Watch")</f>
        <v/>
      </c>
      <c r="F20" s="76" t="inlineStr">
        <is>
          <t>NUR235 M8d1.mp4</t>
        </is>
      </c>
      <c r="G20" s="76" t="n"/>
    </row>
    <row r="21" ht="15.75" customHeight="1" s="111">
      <c r="A21" s="78" t="inlineStr">
        <is>
          <t>Module 8</t>
        </is>
      </c>
      <c r="B21" s="78" t="inlineStr">
        <is>
          <t>Day 2</t>
        </is>
      </c>
      <c r="C21" s="76" t="inlineStr">
        <is>
          <t>Spring 2026</t>
        </is>
      </c>
      <c r="D21" s="79" t="inlineStr">
        <is>
          <t>Fadell</t>
        </is>
      </c>
      <c r="E21" s="80">
        <f>HYPERLINK("https://drive.google.com/file/d/1wg2iUowJw1j_3I6HhBUtsWiOp0nEpRfl/view","▶  Watch")</f>
        <v/>
      </c>
      <c r="F21" s="79" t="inlineStr">
        <is>
          <t>NUR235 M8d2.mp4</t>
        </is>
      </c>
      <c r="G21" s="79" t="n"/>
    </row>
    <row r="22" ht="15.75" customHeight="1" s="111">
      <c r="A22" s="75" t="inlineStr">
        <is>
          <t>Module 9</t>
        </is>
      </c>
      <c r="B22" s="75" t="inlineStr">
        <is>
          <t>Day 1</t>
        </is>
      </c>
      <c r="C22" s="76" t="inlineStr">
        <is>
          <t>Spring 2026</t>
        </is>
      </c>
      <c r="D22" s="76" t="inlineStr">
        <is>
          <t>Fadell</t>
        </is>
      </c>
      <c r="E22" s="77">
        <f>HYPERLINK("https://drive.google.com/file/d/1tf4BrUHxHQhTZhu8Vf8l4IvIt1PjQvJw/view","▶  Watch")</f>
        <v/>
      </c>
      <c r="F22" s="76" t="inlineStr">
        <is>
          <t>NUR235 M9d1.mp4</t>
        </is>
      </c>
      <c r="G22" s="76" t="n"/>
    </row>
    <row r="23" ht="15.75" customHeight="1" s="111">
      <c r="A23" s="78" t="inlineStr">
        <is>
          <t>Module 9</t>
        </is>
      </c>
      <c r="B23" s="78" t="inlineStr">
        <is>
          <t>Day 2</t>
        </is>
      </c>
      <c r="C23" s="76" t="inlineStr">
        <is>
          <t>Spring 2026</t>
        </is>
      </c>
      <c r="D23" s="79" t="inlineStr">
        <is>
          <t>Fadell</t>
        </is>
      </c>
      <c r="E23" s="80">
        <f>HYPERLINK("https://drive.google.com/file/d/1_mWuyKEdd8H2uFXBB6wKuMxXVY_XWxKL/view","▶  Watch")</f>
        <v/>
      </c>
      <c r="F23" s="79" t="inlineStr">
        <is>
          <t>NUR235 M9d2.mp4</t>
        </is>
      </c>
      <c r="G23" s="79" t="n"/>
    </row>
    <row r="24" ht="15.75" customHeight="1" s="111">
      <c r="A24" s="75" t="inlineStr">
        <is>
          <t>Module 10</t>
        </is>
      </c>
      <c r="B24" s="75" t="inlineStr">
        <is>
          <t>Day 1</t>
        </is>
      </c>
      <c r="C24" s="76" t="inlineStr">
        <is>
          <t>Spring 2026</t>
        </is>
      </c>
      <c r="D24" s="76" t="inlineStr">
        <is>
          <t>Fadell</t>
        </is>
      </c>
      <c r="E24" s="77">
        <f>HYPERLINK("https://drive.google.com/file/d/1qNKdQOx07nNIYi8b7Xa5Jq-WQHM1m9Dv/view","▶  Watch")</f>
        <v/>
      </c>
      <c r="F24" s="76" t="inlineStr">
        <is>
          <t>NUR235 M10d1.mp4</t>
        </is>
      </c>
      <c r="G24" s="76" t="n"/>
    </row>
    <row r="25" ht="15.75" customHeight="1" s="111">
      <c r="A25" s="78" t="inlineStr">
        <is>
          <t>Module 10</t>
        </is>
      </c>
      <c r="B25" s="78" t="inlineStr">
        <is>
          <t>Day 2</t>
        </is>
      </c>
      <c r="C25" s="76" t="inlineStr">
        <is>
          <t>Spring 2026</t>
        </is>
      </c>
      <c r="D25" s="79" t="inlineStr">
        <is>
          <t>Fadell</t>
        </is>
      </c>
      <c r="E25" s="80">
        <f>HYPERLINK("https://drive.google.com/file/d/1rp_QqODgVYxyyc0oRtgYWHDEw_WbZVXp/view","▶  Watch")</f>
        <v/>
      </c>
      <c r="F25" s="79" t="inlineStr">
        <is>
          <t>NUR235 M10d2.mp4</t>
        </is>
      </c>
      <c r="G25" s="79" t="n"/>
    </row>
    <row r="26" ht="15.75" customHeight="1" s="111">
      <c r="A26" s="75" t="inlineStr">
        <is>
          <t>Module 11</t>
        </is>
      </c>
      <c r="B26" s="75" t="inlineStr">
        <is>
          <t>Day 1</t>
        </is>
      </c>
      <c r="C26" s="76" t="inlineStr">
        <is>
          <t>Spring 2026</t>
        </is>
      </c>
      <c r="D26" s="76" t="inlineStr">
        <is>
          <t>Fadell</t>
        </is>
      </c>
      <c r="E26" s="77">
        <f>HYPERLINK("https://drive.google.com/file/d/1nNvAV6DNOEi-TYkpk6W6YMbNMdhEThQG/view","▶  Watch")</f>
        <v/>
      </c>
      <c r="F26" s="76" t="inlineStr">
        <is>
          <t>NUR235 M11d1.mp4</t>
        </is>
      </c>
      <c r="G26" s="76" t="n"/>
    </row>
    <row r="27" ht="15.75" customHeight="1" s="111">
      <c r="A27" s="78" t="inlineStr">
        <is>
          <t>Module 11</t>
        </is>
      </c>
      <c r="B27" s="78" t="inlineStr">
        <is>
          <t>Day 2</t>
        </is>
      </c>
      <c r="C27" s="76" t="inlineStr">
        <is>
          <t>Spring 2026</t>
        </is>
      </c>
      <c r="D27" s="79" t="inlineStr">
        <is>
          <t>Fadell</t>
        </is>
      </c>
      <c r="E27" s="80">
        <f>HYPERLINK("https://drive.google.com/file/d/1EHnsY3ZF-i5_2B2iQwCfhMnBr9e57G4X/view","▶  Watch")</f>
        <v/>
      </c>
      <c r="F27" s="79" t="inlineStr">
        <is>
          <t>NUR235 M11d2.mp4</t>
        </is>
      </c>
      <c r="G27" s="79" t="n"/>
    </row>
    <row r="28" ht="15.75" customHeight="1" s="111">
      <c r="A28" s="75" t="inlineStr">
        <is>
          <t>Module 12</t>
        </is>
      </c>
      <c r="B28" s="75" t="inlineStr">
        <is>
          <t>Day 1</t>
        </is>
      </c>
      <c r="C28" s="76" t="inlineStr">
        <is>
          <t>Spring 2026</t>
        </is>
      </c>
      <c r="D28" s="76" t="inlineStr">
        <is>
          <t>Fadell</t>
        </is>
      </c>
      <c r="E28" s="77">
        <f>HYPERLINK("https://drive.google.com/file/d/1AEBfWcK7bCeZpj11ndmTYUdt9P_0AiuP/view","▶  Watch")</f>
        <v/>
      </c>
      <c r="F28" s="76" t="inlineStr">
        <is>
          <t>NUR235 M12d1.mp4</t>
        </is>
      </c>
      <c r="G28" s="76" t="n"/>
    </row>
    <row r="29" ht="15.75" customHeight="1" s="111">
      <c r="A29" s="78" t="inlineStr">
        <is>
          <t>Module 12</t>
        </is>
      </c>
      <c r="B29" s="78" t="inlineStr">
        <is>
          <t>Day 2</t>
        </is>
      </c>
      <c r="C29" s="76" t="inlineStr">
        <is>
          <t>Spring 2026</t>
        </is>
      </c>
      <c r="D29" s="79" t="inlineStr">
        <is>
          <t>Fadell</t>
        </is>
      </c>
      <c r="E29" s="80">
        <f>HYPERLINK("https://drive.google.com/file/d/1gotI7xgoH5xvWNyZfCTLevKg4FZ29tDH/view","▶  Watch")</f>
        <v/>
      </c>
      <c r="F29" s="79" t="inlineStr">
        <is>
          <t>NUR235 M12d2.mp4</t>
        </is>
      </c>
      <c r="G29" s="79" t="n"/>
    </row>
    <row r="30" ht="15.75" customHeight="1" s="111">
      <c r="A30" s="75" t="inlineStr">
        <is>
          <t>Module 13</t>
        </is>
      </c>
      <c r="B30" s="75" t="inlineStr">
        <is>
          <t>Day 1</t>
        </is>
      </c>
      <c r="C30" s="76" t="inlineStr">
        <is>
          <t>Spring 2026</t>
        </is>
      </c>
      <c r="D30" s="76" t="inlineStr">
        <is>
          <t>Fadell</t>
        </is>
      </c>
      <c r="E30" s="77">
        <f>HYPERLINK("https://drive.google.com/file/d/1rhpS77OIMEqr6sA63U0xa-HomMkKMa-V/view","▶  Watch")</f>
        <v/>
      </c>
      <c r="F30" s="76" t="inlineStr">
        <is>
          <t>NUR235 M13d1.mp4</t>
        </is>
      </c>
      <c r="G30" s="76" t="n"/>
    </row>
    <row r="31" ht="15.75" customHeight="1" s="111">
      <c r="A31" s="78" t="inlineStr">
        <is>
          <t>Module 13</t>
        </is>
      </c>
      <c r="B31" s="78" t="inlineStr">
        <is>
          <t>Day 2</t>
        </is>
      </c>
      <c r="C31" s="76" t="inlineStr">
        <is>
          <t>Spring 2026</t>
        </is>
      </c>
      <c r="D31" s="79" t="inlineStr">
        <is>
          <t>Fadell</t>
        </is>
      </c>
      <c r="E31" s="80">
        <f>HYPERLINK("https://drive.google.com/file/d/11NU0OBr1x-oT03jwejIFgD4mUQ7KhmtM/view","▶  Watch")</f>
        <v/>
      </c>
      <c r="F31" s="79" t="inlineStr">
        <is>
          <t>NUR235 M13d2.mp4</t>
        </is>
      </c>
      <c r="G31" s="79" t="n"/>
    </row>
    <row r="32" ht="15.75" customHeight="1" s="111">
      <c r="A32" s="78" t="inlineStr">
        <is>
          <t>Module 14</t>
        </is>
      </c>
      <c r="B32" s="78" t="inlineStr">
        <is>
          <t>Day 1</t>
        </is>
      </c>
      <c r="C32" s="76" t="inlineStr">
        <is>
          <t>Spring 2026</t>
        </is>
      </c>
      <c r="D32" s="79" t="inlineStr">
        <is>
          <t>Fadell</t>
        </is>
      </c>
      <c r="E32" s="80">
        <f>HYPERLINK("https://drive.google.com/file/d/1Xd7riWCGJ-FYd7Jt2c7Q50Hz92ww5hpw/view","▶  Watch")</f>
        <v/>
      </c>
      <c r="F32" s="79" t="n"/>
      <c r="G32" s="79" t="n"/>
    </row>
    <row r="33" ht="15.75" customHeight="1" s="111">
      <c r="A33" s="78" t="inlineStr">
        <is>
          <t>Module 14</t>
        </is>
      </c>
      <c r="B33" s="78" t="inlineStr">
        <is>
          <t>Day 2</t>
        </is>
      </c>
      <c r="C33" s="76" t="inlineStr">
        <is>
          <t>Spring 2026</t>
        </is>
      </c>
      <c r="D33" s="79" t="inlineStr">
        <is>
          <t>Fadell</t>
        </is>
      </c>
      <c r="E33" s="79"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9.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Fuller</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73" t="inlineStr">
        <is>
          <t>Fuller</t>
        </is>
      </c>
      <c r="C3" s="22" t="inlineStr">
        <is>
          <t>LSC exam prep</t>
        </is>
      </c>
      <c r="D3" s="27" t="inlineStr">
        <is>
          <t>Exams</t>
        </is>
      </c>
      <c r="E3" s="27" t="n"/>
      <c r="F3" s="17" t="n"/>
      <c r="G3" s="17" t="inlineStr">
        <is>
          <t>Fuller runs one lecture a week, so this tab has one row per module</t>
        </is>
      </c>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Weekly lecture</t>
        </is>
      </c>
      <c r="C6" s="76" t="inlineStr">
        <is>
          <t>Fall 2026</t>
        </is>
      </c>
      <c r="D6" s="76" t="inlineStr">
        <is>
          <t>Fuller</t>
        </is>
      </c>
      <c r="E6" s="77">
        <f>HYPERLINK("https://drive.google.com/file/d/1GlaHvD23YFvTD18u35eRDP7UPtDT4rzC/view","▶  Watch")</f>
        <v/>
      </c>
      <c r="F6" s="76" t="inlineStr">
        <is>
          <t>Fuller M1.mp4</t>
        </is>
      </c>
      <c r="G6" s="82" t="inlineStr">
        <is>
          <t>Intro to pediatric nursing. Also filed as NUR235_Fall2026_Fuller_Wk01 in the NUR 235 videos folder</t>
        </is>
      </c>
    </row>
    <row r="7">
      <c r="A7" s="78" t="inlineStr">
        <is>
          <t>Module 2</t>
        </is>
      </c>
      <c r="B7" s="78" t="inlineStr">
        <is>
          <t>Weekly lecture</t>
        </is>
      </c>
      <c r="C7" s="79" t="inlineStr">
        <is>
          <t>Fall 2026</t>
        </is>
      </c>
      <c r="D7" s="79" t="inlineStr">
        <is>
          <t>Fuller</t>
        </is>
      </c>
      <c r="E7" s="80">
        <f>HYPERLINK("https://drive.google.com/file/d/1yRquegiEz7A7eN-ms2smuTgrVaeivjoE/view","▶  Watch")</f>
        <v/>
      </c>
      <c r="F7" s="79" t="inlineStr">
        <is>
          <t>Nur235_Fuller_Wk2.mp4</t>
        </is>
      </c>
      <c r="G7" s="83" t="inlineStr">
        <is>
          <t>The infant. Also filed as NUR235_Fall2026_Fuller_Wk02 in the NUR 235 videos folder</t>
        </is>
      </c>
    </row>
    <row r="8">
      <c r="A8" s="75" t="inlineStr">
        <is>
          <t>Module 3</t>
        </is>
      </c>
      <c r="B8" s="75" t="inlineStr">
        <is>
          <t>Weekly lecture</t>
        </is>
      </c>
      <c r="C8" s="76" t="inlineStr">
        <is>
          <t>Fall 2026</t>
        </is>
      </c>
      <c r="D8" s="76" t="inlineStr">
        <is>
          <t>Fuller</t>
        </is>
      </c>
      <c r="E8" s="84" t="n"/>
      <c r="F8" s="76" t="n"/>
      <c r="G8" s="82" t="n"/>
    </row>
    <row r="9">
      <c r="A9" s="78" t="inlineStr">
        <is>
          <t>Module 4</t>
        </is>
      </c>
      <c r="B9" s="78" t="inlineStr">
        <is>
          <t>Weekly lecture</t>
        </is>
      </c>
      <c r="C9" s="79" t="inlineStr">
        <is>
          <t>Fall 2026</t>
        </is>
      </c>
      <c r="D9" s="79" t="inlineStr">
        <is>
          <t>Fuller</t>
        </is>
      </c>
      <c r="E9" s="85" t="n"/>
      <c r="F9" s="79" t="n"/>
      <c r="G9" s="83" t="n"/>
    </row>
    <row r="10">
      <c r="A10" s="75" t="inlineStr">
        <is>
          <t>Module 5</t>
        </is>
      </c>
      <c r="B10" s="75" t="inlineStr">
        <is>
          <t>Weekly lecture</t>
        </is>
      </c>
      <c r="C10" s="76" t="inlineStr">
        <is>
          <t>Fall 2026</t>
        </is>
      </c>
      <c r="D10" s="76" t="inlineStr">
        <is>
          <t>Fuller</t>
        </is>
      </c>
      <c r="E10" s="84" t="n"/>
      <c r="F10" s="76" t="n"/>
      <c r="G10" s="82" t="n"/>
    </row>
    <row r="11">
      <c r="A11" s="78" t="inlineStr">
        <is>
          <t>Module 6</t>
        </is>
      </c>
      <c r="B11" s="78" t="inlineStr">
        <is>
          <t>Weekly lecture</t>
        </is>
      </c>
      <c r="C11" s="79" t="inlineStr">
        <is>
          <t>Fall 2026</t>
        </is>
      </c>
      <c r="D11" s="79" t="inlineStr">
        <is>
          <t>Fuller</t>
        </is>
      </c>
      <c r="E11" s="85" t="n"/>
      <c r="F11" s="79" t="n"/>
      <c r="G11" s="83" t="n"/>
    </row>
    <row r="12">
      <c r="A12" s="75" t="inlineStr">
        <is>
          <t>Module 7</t>
        </is>
      </c>
      <c r="B12" s="75" t="inlineStr">
        <is>
          <t>Weekly lecture</t>
        </is>
      </c>
      <c r="C12" s="76" t="inlineStr">
        <is>
          <t>Fall 2026</t>
        </is>
      </c>
      <c r="D12" s="76" t="inlineStr">
        <is>
          <t>Fuller</t>
        </is>
      </c>
      <c r="E12" s="84" t="n"/>
      <c r="F12" s="76" t="n"/>
      <c r="G12" s="82" t="n"/>
    </row>
    <row r="13">
      <c r="A13" s="78" t="inlineStr">
        <is>
          <t>Module 8</t>
        </is>
      </c>
      <c r="B13" s="78" t="inlineStr">
        <is>
          <t>Weekly lecture</t>
        </is>
      </c>
      <c r="C13" s="79" t="inlineStr">
        <is>
          <t>Fall 2026</t>
        </is>
      </c>
      <c r="D13" s="79" t="inlineStr">
        <is>
          <t>Fuller</t>
        </is>
      </c>
      <c r="E13" s="85" t="n"/>
      <c r="F13" s="79" t="n"/>
      <c r="G13" s="83" t="n"/>
    </row>
    <row r="14">
      <c r="A14" s="75" t="inlineStr">
        <is>
          <t>Module 9</t>
        </is>
      </c>
      <c r="B14" s="75" t="inlineStr">
        <is>
          <t>Weekly lecture</t>
        </is>
      </c>
      <c r="C14" s="76" t="inlineStr">
        <is>
          <t>Fall 2026</t>
        </is>
      </c>
      <c r="D14" s="76" t="inlineStr">
        <is>
          <t>Fuller</t>
        </is>
      </c>
      <c r="E14" s="84" t="n"/>
      <c r="F14" s="76" t="n"/>
      <c r="G14" s="82" t="n"/>
    </row>
    <row r="15">
      <c r="A15" s="78" t="inlineStr">
        <is>
          <t>Module 10</t>
        </is>
      </c>
      <c r="B15" s="78" t="inlineStr">
        <is>
          <t>Weekly lecture</t>
        </is>
      </c>
      <c r="C15" s="79" t="inlineStr">
        <is>
          <t>Fall 2026</t>
        </is>
      </c>
      <c r="D15" s="79" t="inlineStr">
        <is>
          <t>Fuller</t>
        </is>
      </c>
      <c r="E15" s="85" t="n"/>
      <c r="F15" s="79" t="n"/>
      <c r="G15" s="83" t="n"/>
    </row>
    <row r="16">
      <c r="A16" s="75" t="inlineStr">
        <is>
          <t>Module 11</t>
        </is>
      </c>
      <c r="B16" s="75" t="inlineStr">
        <is>
          <t>Weekly lecture</t>
        </is>
      </c>
      <c r="C16" s="76" t="inlineStr">
        <is>
          <t>Fall 2026</t>
        </is>
      </c>
      <c r="D16" s="76" t="inlineStr">
        <is>
          <t>Fuller</t>
        </is>
      </c>
      <c r="E16" s="84" t="n"/>
      <c r="F16" s="76" t="n"/>
      <c r="G16" s="82" t="n"/>
    </row>
    <row r="17">
      <c r="A17" s="78" t="inlineStr">
        <is>
          <t>Module 12</t>
        </is>
      </c>
      <c r="B17" s="78" t="inlineStr">
        <is>
          <t>Weekly lecture</t>
        </is>
      </c>
      <c r="C17" s="79" t="inlineStr">
        <is>
          <t>Fall 2026</t>
        </is>
      </c>
      <c r="D17" s="79" t="inlineStr">
        <is>
          <t>Fuller</t>
        </is>
      </c>
      <c r="E17" s="85" t="n"/>
      <c r="F17" s="79" t="n"/>
      <c r="G17" s="83" t="n"/>
    </row>
    <row r="18">
      <c r="A18" s="75" t="inlineStr">
        <is>
          <t>Module 13</t>
        </is>
      </c>
      <c r="B18" s="75" t="inlineStr">
        <is>
          <t>Weekly lecture</t>
        </is>
      </c>
      <c r="C18" s="76" t="inlineStr">
        <is>
          <t>Fall 2026</t>
        </is>
      </c>
      <c r="D18" s="76" t="inlineStr">
        <is>
          <t>Fuller</t>
        </is>
      </c>
      <c r="E18" s="84" t="n"/>
      <c r="F18" s="76" t="n"/>
      <c r="G18" s="82" t="n"/>
    </row>
    <row r="19">
      <c r="A19" s="78" t="inlineStr">
        <is>
          <t>Module 14</t>
        </is>
      </c>
      <c r="B19" s="78" t="inlineStr">
        <is>
          <t>Weekly lecture</t>
        </is>
      </c>
      <c r="C19" s="79" t="inlineStr">
        <is>
          <t>Fall 2026</t>
        </is>
      </c>
      <c r="D19" s="79" t="inlineStr">
        <is>
          <t>Fuller</t>
        </is>
      </c>
      <c r="E19" s="85" t="n"/>
      <c r="F19" s="79" t="n"/>
      <c r="G19" s="83" t="n"/>
    </row>
    <row r="20">
      <c r="A20" s="86" t="n"/>
      <c r="B20" s="86" t="n"/>
      <c r="C20" s="86" t="n"/>
      <c r="D20" s="86" t="n"/>
      <c r="E20" s="86" t="n"/>
      <c r="F20" s="86" t="n"/>
      <c r="G20" s="86" t="n"/>
    </row>
    <row r="21" ht="15.75" customHeight="1" s="111">
      <c r="A21" s="86" t="n"/>
      <c r="B21" s="86" t="n"/>
      <c r="C21" s="86" t="n"/>
      <c r="D21" s="86" t="n"/>
      <c r="E21" s="86" t="n"/>
      <c r="F21" s="86" t="n"/>
      <c r="G21" s="86" t="n"/>
    </row>
    <row r="22" ht="15.75" customHeight="1" s="111">
      <c r="A22" s="86" t="n"/>
      <c r="B22" s="86" t="n"/>
      <c r="C22" s="86" t="n"/>
      <c r="D22" s="86" t="n"/>
      <c r="E22" s="86" t="n"/>
      <c r="F22" s="86" t="n"/>
      <c r="G22" s="86" t="n"/>
    </row>
    <row r="23" ht="15.75" customHeight="1" s="111">
      <c r="A23" s="86" t="n"/>
      <c r="B23" s="86" t="n"/>
      <c r="C23" s="86" t="n"/>
      <c r="D23" s="86" t="n"/>
      <c r="E23" s="86" t="n"/>
      <c r="F23" s="86" t="n"/>
      <c r="G23" s="86" t="n"/>
    </row>
    <row r="24" ht="15.75" customHeight="1" s="111">
      <c r="A24" s="86" t="n"/>
      <c r="B24" s="86" t="n"/>
      <c r="C24" s="86" t="n"/>
      <c r="D24" s="86" t="n"/>
      <c r="E24" s="86" t="n"/>
      <c r="F24" s="86" t="n"/>
      <c r="G24" s="86" t="n"/>
    </row>
    <row r="25" ht="15.75" customHeight="1" s="111">
      <c r="A25" s="86" t="n"/>
      <c r="B25" s="86" t="n"/>
      <c r="C25" s="86" t="n"/>
      <c r="D25" s="86" t="n"/>
      <c r="E25" s="86" t="n"/>
      <c r="F25" s="86" t="n"/>
      <c r="G25" s="86"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0.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LSC exam prep</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22" t="inlineStr">
        <is>
          <t>Fuller</t>
        </is>
      </c>
      <c r="C3" s="73"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Fall 2026</t>
        </is>
      </c>
      <c r="D6" s="76" t="inlineStr">
        <is>
          <t>LSC exam prep</t>
        </is>
      </c>
      <c r="E6" s="77">
        <f>HYPERLINK("https://drive.google.com/file/d/1vx2gy4TweCACMsjHOHIBJhV7xVMkFfDb/view","▶  Watch")</f>
        <v/>
      </c>
      <c r="F6" s="76" t="inlineStr">
        <is>
          <t>Sun 7 Sep 7-17 PM - Intro to peds, hospitalized child, G and D, immunizations, practice questions.mp4</t>
        </is>
      </c>
      <c r="G6" s="81" t="inlineStr">
        <is>
          <t>Screen recording, Sun 7 Sep 7:17 PM. Google's speech index hears 'LSC exam prep' in this one, so the lecturer is confirmed as far as the index can tell</t>
        </is>
      </c>
    </row>
    <row r="7">
      <c r="A7" s="78" t="inlineStr">
        <is>
          <t>Module 1</t>
        </is>
      </c>
      <c r="B7" s="78" t="inlineStr">
        <is>
          <t>Day 2</t>
        </is>
      </c>
      <c r="C7" s="79" t="inlineStr">
        <is>
          <t>Fall 2026</t>
        </is>
      </c>
      <c r="D7" s="79" t="inlineStr">
        <is>
          <t>LSC exam prep</t>
        </is>
      </c>
      <c r="E7" s="85" t="n"/>
      <c r="F7" s="79" t="n"/>
      <c r="G7" s="79" t="n"/>
    </row>
    <row r="8">
      <c r="A8" s="75" t="inlineStr">
        <is>
          <t>Module 2</t>
        </is>
      </c>
      <c r="B8" s="75" t="inlineStr">
        <is>
          <t>Day 1</t>
        </is>
      </c>
      <c r="C8" s="76" t="inlineStr">
        <is>
          <t>Fall 2026</t>
        </is>
      </c>
      <c r="D8" s="76" t="inlineStr">
        <is>
          <t>LSC exam prep</t>
        </is>
      </c>
      <c r="E8" s="77">
        <f>HYPERLINK("https://drive.google.com/file/d/1xlH3LNS4jnxUKkNFj0rgTvrMmIFk6tG1/view","▶  Watch")</f>
        <v/>
      </c>
      <c r="F8" s="76" t="inlineStr">
        <is>
          <t>Mon 8 Sep 2-08 AM - Infant and toddler G and D, immunizations, fever.mp4</t>
        </is>
      </c>
      <c r="G8" s="81" t="inlineStr">
        <is>
          <t>Screen recording, Mon 8 Sep 2:08 AM. Google's speech index hears 'LSC exam prep' in this one too</t>
        </is>
      </c>
    </row>
    <row r="9">
      <c r="A9" s="78" t="inlineStr">
        <is>
          <t>Module 2</t>
        </is>
      </c>
      <c r="B9" s="78" t="inlineStr">
        <is>
          <t>Day 1</t>
        </is>
      </c>
      <c r="C9" s="79" t="inlineStr">
        <is>
          <t>Fall 2026</t>
        </is>
      </c>
      <c r="D9" s="79" t="inlineStr">
        <is>
          <t>LSC exam prep</t>
        </is>
      </c>
      <c r="E9" s="80">
        <f>HYPERLINK("https://drive.google.com/file/d/1rnhbgdN-mt_4c7fwFVRgm2TXVjH6JVBY/view","Module 2 - Nursing Care of the Infant")</f>
        <v/>
      </c>
      <c r="F9" s="79" t="inlineStr">
        <is>
          <t>Module 2 - Nursing Care of the Infant</t>
        </is>
      </c>
      <c r="G9" s="79" t="inlineStr">
        <is>
          <t>LSC exam prep, 70:38</t>
        </is>
      </c>
    </row>
    <row r="10">
      <c r="A10" s="75" t="inlineStr">
        <is>
          <t>Module 3</t>
        </is>
      </c>
      <c r="B10" s="75" t="inlineStr">
        <is>
          <t>Day 1</t>
        </is>
      </c>
      <c r="C10" s="76" t="inlineStr">
        <is>
          <t>Fall 2026</t>
        </is>
      </c>
      <c r="D10" s="76" t="inlineStr">
        <is>
          <t>LSC exam prep</t>
        </is>
      </c>
      <c r="E10" s="77">
        <f>HYPERLINK("https://drive.google.com/file/d/1gor8Pva0hBizoWHTNGP6BUK0gag7HrY2/view","Module 3 - Nursing Care of the Toddler")</f>
        <v/>
      </c>
      <c r="F10" s="76" t="inlineStr">
        <is>
          <t>Module 3 - Nursing Care of the Toddler</t>
        </is>
      </c>
      <c r="G10" s="81" t="inlineStr">
        <is>
          <t>LSC exam prep, 35:02</t>
        </is>
      </c>
    </row>
    <row r="11">
      <c r="A11" s="78" t="inlineStr">
        <is>
          <t>Module 3</t>
        </is>
      </c>
      <c r="B11" s="78" t="inlineStr">
        <is>
          <t>Day 2</t>
        </is>
      </c>
      <c r="C11" s="79" t="inlineStr">
        <is>
          <t>Fall 2026</t>
        </is>
      </c>
      <c r="D11" s="79" t="inlineStr">
        <is>
          <t>LSC exam prep</t>
        </is>
      </c>
      <c r="E11" s="80">
        <f>HYPERLINK("https://drive.google.com/file/d/1rk1Ok5HDNRH6esJ__Z6BV1wZ5MEYUu1f/view","Module 3 - Nursing Care of the Preschooler")</f>
        <v/>
      </c>
      <c r="F11" s="79" t="inlineStr">
        <is>
          <t>Module 3 - Nursing Care of the Preschooler</t>
        </is>
      </c>
      <c r="G11" s="79" t="inlineStr">
        <is>
          <t>LSC exam prep. A second capture of this one also exists</t>
        </is>
      </c>
    </row>
    <row r="12">
      <c r="A12" s="75" t="inlineStr">
        <is>
          <t>Module 4</t>
        </is>
      </c>
      <c r="B12" s="75" t="inlineStr">
        <is>
          <t>Day 1</t>
        </is>
      </c>
      <c r="C12" s="76" t="inlineStr">
        <is>
          <t>Fall 2026</t>
        </is>
      </c>
      <c r="D12" s="76" t="inlineStr">
        <is>
          <t>LSC exam prep</t>
        </is>
      </c>
      <c r="E12" s="77">
        <f>HYPERLINK("https://drive.google.com/file/d/1izfDnsJoLDnQhf55vmUe85stCusSDfP-/view","Module 4 - Nursing Care of the School-Age Child")</f>
        <v/>
      </c>
      <c r="F12" s="76" t="inlineStr">
        <is>
          <t>Module 4 - Nursing Care of the School-Age Child</t>
        </is>
      </c>
      <c r="G12" s="81" t="inlineStr">
        <is>
          <t>LSC exam prep, 35:04</t>
        </is>
      </c>
    </row>
    <row r="13">
      <c r="A13" s="78" t="inlineStr">
        <is>
          <t>Module 4</t>
        </is>
      </c>
      <c r="B13" s="78" t="inlineStr">
        <is>
          <t>Day 2</t>
        </is>
      </c>
      <c r="C13" s="79" t="inlineStr">
        <is>
          <t>Fall 2026</t>
        </is>
      </c>
      <c r="D13" s="79" t="inlineStr">
        <is>
          <t>LSC exam prep</t>
        </is>
      </c>
      <c r="E13" s="80">
        <f>HYPERLINK("https://drive.google.com/file/d/1EFH6k3BJu1rk1apemXXIl7p8HGaTZgoL/view","Module 4 - Nursing Care of the Adolescent")</f>
        <v/>
      </c>
      <c r="F13" s="79" t="inlineStr">
        <is>
          <t>Module 4 - Nursing Care of the Adolescent</t>
        </is>
      </c>
      <c r="G13" s="79" t="inlineStr">
        <is>
          <t>LSC exam prep, 27:26</t>
        </is>
      </c>
    </row>
    <row r="14">
      <c r="A14" s="78" t="inlineStr">
        <is>
          <t>Module 5</t>
        </is>
      </c>
      <c r="B14" s="78" t="inlineStr">
        <is>
          <t>Day 1</t>
        </is>
      </c>
      <c r="C14" s="79" t="inlineStr">
        <is>
          <t>Fall 2026</t>
        </is>
      </c>
      <c r="D14" s="79" t="inlineStr">
        <is>
          <t>LSC exam prep</t>
        </is>
      </c>
      <c r="E14" s="80">
        <f>HYPERLINK("https://drive.google.com/file/d/1TU_OEMhcr4Z9bKg7Zn7S0Y000iNNdGhI/view","Module 5 - Hematological Disorders")</f>
        <v/>
      </c>
      <c r="F14" s="79" t="inlineStr">
        <is>
          <t>Module 5 - Hematological Disorders</t>
        </is>
      </c>
      <c r="G14" s="79" t="inlineStr">
        <is>
          <t>LSC exam prep. NUR235_Fall2026_LSC_Wk05_DayNA_Hematological Disorders.mp4</t>
        </is>
      </c>
    </row>
    <row r="15">
      <c r="A15" s="78" t="inlineStr">
        <is>
          <t>Module 5</t>
        </is>
      </c>
      <c r="B15" s="78" t="inlineStr">
        <is>
          <t>Day 2</t>
        </is>
      </c>
      <c r="C15" s="79" t="inlineStr">
        <is>
          <t>Fall 2026</t>
        </is>
      </c>
      <c r="D15" s="79" t="inlineStr">
        <is>
          <t>LSC exam prep</t>
        </is>
      </c>
      <c r="E15" s="85" t="n"/>
      <c r="F15" s="79" t="n"/>
      <c r="G15" s="79" t="n"/>
    </row>
    <row r="16">
      <c r="A16" s="75" t="inlineStr">
        <is>
          <t>Module 6</t>
        </is>
      </c>
      <c r="B16" s="75" t="inlineStr">
        <is>
          <t>Day 1</t>
        </is>
      </c>
      <c r="C16" s="76" t="inlineStr">
        <is>
          <t>Fall 2026</t>
        </is>
      </c>
      <c r="D16" s="76" t="inlineStr">
        <is>
          <t>LSC exam prep</t>
        </is>
      </c>
      <c r="E16" s="84" t="n"/>
      <c r="F16" s="76" t="n"/>
      <c r="G16" s="76" t="n"/>
    </row>
    <row r="17">
      <c r="A17" s="78" t="inlineStr">
        <is>
          <t>Module 6</t>
        </is>
      </c>
      <c r="B17" s="78" t="inlineStr">
        <is>
          <t>Day 2</t>
        </is>
      </c>
      <c r="C17" s="79" t="inlineStr">
        <is>
          <t>Fall 2026</t>
        </is>
      </c>
      <c r="D17" s="79" t="inlineStr">
        <is>
          <t>LSC exam prep</t>
        </is>
      </c>
      <c r="E17" s="85" t="n"/>
      <c r="F17" s="79" t="n"/>
      <c r="G17" s="79" t="n"/>
    </row>
    <row r="18">
      <c r="A18" s="75" t="inlineStr">
        <is>
          <t>Module 7</t>
        </is>
      </c>
      <c r="B18" s="75" t="inlineStr">
        <is>
          <t>Day 1</t>
        </is>
      </c>
      <c r="C18" s="76" t="inlineStr">
        <is>
          <t>Fall 2026</t>
        </is>
      </c>
      <c r="D18" s="76" t="inlineStr">
        <is>
          <t>LSC exam prep</t>
        </is>
      </c>
      <c r="E18" s="84" t="n"/>
      <c r="F18" s="76" t="n"/>
      <c r="G18" s="76" t="n"/>
    </row>
    <row r="19">
      <c r="A19" s="78" t="inlineStr">
        <is>
          <t>Module 7</t>
        </is>
      </c>
      <c r="B19" s="78" t="inlineStr">
        <is>
          <t>Day 2</t>
        </is>
      </c>
      <c r="C19" s="79" t="inlineStr">
        <is>
          <t>Fall 2026</t>
        </is>
      </c>
      <c r="D19" s="79" t="inlineStr">
        <is>
          <t>LSC exam prep</t>
        </is>
      </c>
      <c r="E19" s="85" t="n"/>
      <c r="F19" s="79" t="n"/>
      <c r="G19" s="79" t="n"/>
    </row>
    <row r="20">
      <c r="A20" s="75" t="inlineStr">
        <is>
          <t>Module 8</t>
        </is>
      </c>
      <c r="B20" s="75" t="inlineStr">
        <is>
          <t>Day 1</t>
        </is>
      </c>
      <c r="C20" s="76" t="inlineStr">
        <is>
          <t>Fall 2026</t>
        </is>
      </c>
      <c r="D20" s="76" t="inlineStr">
        <is>
          <t>LSC exam prep</t>
        </is>
      </c>
      <c r="E20" s="84" t="n"/>
      <c r="F20" s="76" t="n"/>
      <c r="G20" s="76" t="n"/>
    </row>
    <row r="21" ht="15.75" customHeight="1" s="111">
      <c r="A21" s="78" t="inlineStr">
        <is>
          <t>Module 8</t>
        </is>
      </c>
      <c r="B21" s="78" t="inlineStr">
        <is>
          <t>Day 2</t>
        </is>
      </c>
      <c r="C21" s="79" t="inlineStr">
        <is>
          <t>Fall 2026</t>
        </is>
      </c>
      <c r="D21" s="79" t="inlineStr">
        <is>
          <t>LSC exam prep</t>
        </is>
      </c>
      <c r="E21" s="85" t="n"/>
      <c r="F21" s="79" t="n"/>
      <c r="G21" s="79" t="n"/>
    </row>
    <row r="22" ht="15.75" customHeight="1" s="111">
      <c r="A22" s="75" t="inlineStr">
        <is>
          <t>Module 9</t>
        </is>
      </c>
      <c r="B22" s="75" t="inlineStr">
        <is>
          <t>Day 1</t>
        </is>
      </c>
      <c r="C22" s="76" t="inlineStr">
        <is>
          <t>Fall 2026</t>
        </is>
      </c>
      <c r="D22" s="76" t="inlineStr">
        <is>
          <t>LSC exam prep</t>
        </is>
      </c>
      <c r="E22" s="84" t="n"/>
      <c r="F22" s="76" t="n"/>
      <c r="G22" s="76" t="n"/>
    </row>
    <row r="23" ht="15.75" customHeight="1" s="111">
      <c r="A23" s="78" t="inlineStr">
        <is>
          <t>Module 9</t>
        </is>
      </c>
      <c r="B23" s="78" t="inlineStr">
        <is>
          <t>Day 2</t>
        </is>
      </c>
      <c r="C23" s="79" t="inlineStr">
        <is>
          <t>Fall 2026</t>
        </is>
      </c>
      <c r="D23" s="79" t="inlineStr">
        <is>
          <t>LSC exam prep</t>
        </is>
      </c>
      <c r="E23" s="85" t="n"/>
      <c r="F23" s="79" t="n"/>
      <c r="G23" s="79" t="n"/>
    </row>
    <row r="24" ht="15.75" customHeight="1" s="111">
      <c r="A24" s="75" t="inlineStr">
        <is>
          <t>Module 10</t>
        </is>
      </c>
      <c r="B24" s="75" t="inlineStr">
        <is>
          <t>Day 1</t>
        </is>
      </c>
      <c r="C24" s="76" t="inlineStr">
        <is>
          <t>Fall 2026</t>
        </is>
      </c>
      <c r="D24" s="76" t="inlineStr">
        <is>
          <t>LSC exam prep</t>
        </is>
      </c>
      <c r="E24" s="84" t="n"/>
      <c r="F24" s="76" t="n"/>
      <c r="G24" s="76" t="n"/>
    </row>
    <row r="25" ht="15.75" customHeight="1" s="111">
      <c r="A25" s="78" t="inlineStr">
        <is>
          <t>Module 10</t>
        </is>
      </c>
      <c r="B25" s="78" t="inlineStr">
        <is>
          <t>Day 2</t>
        </is>
      </c>
      <c r="C25" s="79" t="inlineStr">
        <is>
          <t>Fall 2026</t>
        </is>
      </c>
      <c r="D25" s="79" t="inlineStr">
        <is>
          <t>LSC exam prep</t>
        </is>
      </c>
      <c r="E25" s="85" t="n"/>
      <c r="F25" s="79" t="n"/>
      <c r="G25" s="79" t="n"/>
    </row>
    <row r="26" ht="15.75" customHeight="1" s="111">
      <c r="A26" s="75" t="inlineStr">
        <is>
          <t>Module 11</t>
        </is>
      </c>
      <c r="B26" s="75" t="inlineStr">
        <is>
          <t>Day 1</t>
        </is>
      </c>
      <c r="C26" s="76" t="inlineStr">
        <is>
          <t>Fall 2026</t>
        </is>
      </c>
      <c r="D26" s="76" t="inlineStr">
        <is>
          <t>LSC exam prep</t>
        </is>
      </c>
      <c r="E26" s="84" t="n"/>
      <c r="F26" s="76" t="n"/>
      <c r="G26" s="76" t="n"/>
    </row>
    <row r="27" ht="15.75" customHeight="1" s="111">
      <c r="A27" s="78" t="inlineStr">
        <is>
          <t>Module 11</t>
        </is>
      </c>
      <c r="B27" s="78" t="inlineStr">
        <is>
          <t>Day 2</t>
        </is>
      </c>
      <c r="C27" s="79" t="inlineStr">
        <is>
          <t>Fall 2026</t>
        </is>
      </c>
      <c r="D27" s="79" t="inlineStr">
        <is>
          <t>LSC exam prep</t>
        </is>
      </c>
      <c r="E27" s="85" t="n"/>
      <c r="F27" s="79" t="n"/>
      <c r="G27" s="79" t="n"/>
    </row>
    <row r="28" ht="15.75" customHeight="1" s="111">
      <c r="A28" s="75" t="inlineStr">
        <is>
          <t>Module 12</t>
        </is>
      </c>
      <c r="B28" s="75" t="inlineStr">
        <is>
          <t>Day 1</t>
        </is>
      </c>
      <c r="C28" s="76" t="inlineStr">
        <is>
          <t>Fall 2026</t>
        </is>
      </c>
      <c r="D28" s="76" t="inlineStr">
        <is>
          <t>LSC exam prep</t>
        </is>
      </c>
      <c r="E28" s="84" t="n"/>
      <c r="F28" s="76" t="n"/>
      <c r="G28" s="76" t="n"/>
    </row>
    <row r="29" ht="15.75" customHeight="1" s="111">
      <c r="A29" s="78" t="inlineStr">
        <is>
          <t>Module 12</t>
        </is>
      </c>
      <c r="B29" s="78" t="inlineStr">
        <is>
          <t>Day 2</t>
        </is>
      </c>
      <c r="C29" s="79" t="inlineStr">
        <is>
          <t>Fall 2026</t>
        </is>
      </c>
      <c r="D29" s="79" t="inlineStr">
        <is>
          <t>LSC exam prep</t>
        </is>
      </c>
      <c r="E29" s="85" t="n"/>
      <c r="F29" s="79" t="n"/>
      <c r="G29" s="79" t="n"/>
    </row>
    <row r="30" ht="15.75" customHeight="1" s="111">
      <c r="A30" s="75" t="inlineStr">
        <is>
          <t>Module 13</t>
        </is>
      </c>
      <c r="B30" s="75" t="inlineStr">
        <is>
          <t>Day 1</t>
        </is>
      </c>
      <c r="C30" s="76" t="inlineStr">
        <is>
          <t>Fall 2026</t>
        </is>
      </c>
      <c r="D30" s="76" t="inlineStr">
        <is>
          <t>LSC exam prep</t>
        </is>
      </c>
      <c r="E30" s="84" t="n"/>
      <c r="F30" s="76" t="n"/>
      <c r="G30" s="76" t="n"/>
    </row>
    <row r="31" ht="15.75" customHeight="1" s="111">
      <c r="A31" s="78" t="inlineStr">
        <is>
          <t>Module 13</t>
        </is>
      </c>
      <c r="B31" s="78" t="inlineStr">
        <is>
          <t>Day 2</t>
        </is>
      </c>
      <c r="C31" s="79" t="inlineStr">
        <is>
          <t>Fall 2026</t>
        </is>
      </c>
      <c r="D31" s="79" t="inlineStr">
        <is>
          <t>LSC exam prep</t>
        </is>
      </c>
      <c r="E31" s="85" t="n"/>
      <c r="F31" s="79" t="n"/>
      <c r="G31" s="79" t="n"/>
    </row>
    <row r="32" ht="15.75" customHeight="1" s="111">
      <c r="A32" s="75" t="inlineStr">
        <is>
          <t>Module 14</t>
        </is>
      </c>
      <c r="B32" s="75" t="inlineStr">
        <is>
          <t>Day 1</t>
        </is>
      </c>
      <c r="C32" s="76" t="inlineStr">
        <is>
          <t>Fall 2026</t>
        </is>
      </c>
      <c r="D32" s="76" t="inlineStr">
        <is>
          <t>LSC exam prep</t>
        </is>
      </c>
      <c r="E32" s="84" t="n"/>
      <c r="F32" s="76" t="n"/>
      <c r="G32" s="76" t="n"/>
    </row>
    <row r="33" ht="15.75" customHeight="1" s="111">
      <c r="A33" s="78" t="inlineStr">
        <is>
          <t>Module 14</t>
        </is>
      </c>
      <c r="B33" s="78" t="inlineStr">
        <is>
          <t>Day 2</t>
        </is>
      </c>
      <c r="C33" s="79" t="inlineStr">
        <is>
          <t>Fall 2026</t>
        </is>
      </c>
      <c r="D33" s="79" t="inlineStr">
        <is>
          <t>LSC exam prep</t>
        </is>
      </c>
      <c r="E33" s="85"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1.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30" customWidth="1" style="111" min="3" max="3"/>
    <col width="20" customWidth="1" style="111" min="4" max="4"/>
    <col width="44" customWidth="1" style="111" min="5" max="5"/>
    <col width="14.43" customWidth="1" style="111" min="6" max="6"/>
  </cols>
  <sheetData>
    <row r="1">
      <c r="A1" s="71" t="inlineStr">
        <is>
          <t>NUR235  ·  Exam Reviews</t>
        </is>
      </c>
      <c r="F1" s="5" t="n"/>
      <c r="G1" s="5" t="n"/>
    </row>
    <row r="2">
      <c r="A2" s="7" t="inlineStr">
        <is>
          <t>NUR234</t>
        </is>
      </c>
      <c r="B2" s="11" t="inlineStr">
        <is>
          <t>NUR235</t>
        </is>
      </c>
      <c r="C2" s="7" t="inlineStr">
        <is>
          <t>NUR258</t>
        </is>
      </c>
      <c r="D2" s="12" t="inlineStr">
        <is>
          <t>🏠 START HERE</t>
        </is>
      </c>
      <c r="E2" s="18" t="inlineStr">
        <is>
          <t>📥 Sort me</t>
        </is>
      </c>
      <c r="F2" s="5" t="n"/>
      <c r="G2" s="5" t="n"/>
    </row>
    <row r="3">
      <c r="A3" s="22" t="inlineStr">
        <is>
          <t>Fadell</t>
        </is>
      </c>
      <c r="B3" s="22" t="inlineStr">
        <is>
          <t>Fuller</t>
        </is>
      </c>
      <c r="C3" s="22" t="inlineStr">
        <is>
          <t>LSC exam prep</t>
        </is>
      </c>
      <c r="D3" s="27" t="inlineStr">
        <is>
          <t>Exams</t>
        </is>
      </c>
      <c r="E3" s="27" t="n"/>
      <c r="F3" s="5" t="n"/>
      <c r="G3" s="5" t="n"/>
    </row>
    <row r="4">
      <c r="A4" s="17" t="n"/>
      <c r="B4" s="17" t="n"/>
      <c r="C4" s="17" t="n"/>
      <c r="D4" s="17" t="n"/>
      <c r="E4" s="17" t="n"/>
      <c r="F4" s="5" t="n"/>
      <c r="G4" s="5" t="n"/>
    </row>
    <row r="5">
      <c r="A5" s="74" t="inlineStr">
        <is>
          <t>Exam</t>
        </is>
      </c>
      <c r="B5" s="74" t="inlineStr">
        <is>
          <t>Date</t>
        </is>
      </c>
      <c r="C5" s="74" t="inlineStr">
        <is>
          <t>Item</t>
        </is>
      </c>
      <c r="D5" s="74" t="inlineStr">
        <is>
          <t>Link</t>
        </is>
      </c>
      <c r="E5" s="74" t="inlineStr">
        <is>
          <t>Notes</t>
        </is>
      </c>
      <c r="F5" s="5" t="n"/>
      <c r="G5" s="5" t="n"/>
    </row>
    <row r="6">
      <c r="A6" s="78" t="inlineStr">
        <is>
          <t>Exam 1</t>
        </is>
      </c>
      <c r="B6" s="78" t="n"/>
      <c r="C6" s="79" t="inlineStr">
        <is>
          <t>Practice questions</t>
        </is>
      </c>
      <c r="D6" s="80">
        <f>HYPERLINK("https://drive.google.com/file/d/1Yv94xKT8ZGHW1GnrXWKFS0_AD8U-WOqr/view","🔗  Open")</f>
        <v/>
      </c>
      <c r="E6" s="79" t="inlineStr">
        <is>
          <t>Exam prep sessions hosted by Hansen (Student Success Coach)</t>
        </is>
      </c>
      <c r="F6" s="5" t="n"/>
      <c r="G6" s="5" t="n"/>
    </row>
    <row r="7">
      <c r="A7" s="75" t="inlineStr">
        <is>
          <t>Exam 1</t>
        </is>
      </c>
      <c r="B7" s="75" t="inlineStr">
        <is>
          <t>Fall 2026</t>
        </is>
      </c>
      <c r="C7" s="77" t="inlineStr">
        <is>
          <t>Module 1 - Introduction to Nursing Care of the Child (41:48)</t>
        </is>
      </c>
      <c r="D7" s="77">
        <f>HYPERLINK("https://drive.google.com/file/d/1lqXPhN9o-ayC8BgLBvmGYn7pC1ZoGJDF/view?usp=drive_link","🔗  Open")</f>
        <v/>
      </c>
      <c r="E7" s="76" t="inlineStr">
        <is>
          <t>Exam prep session. Open = your Drive copy. Moved here from the NUR234 tab (it is a peds session)</t>
        </is>
      </c>
      <c r="F7" s="5" t="n"/>
      <c r="G7" s="5" t="n"/>
    </row>
    <row r="8">
      <c r="A8" s="78" t="inlineStr">
        <is>
          <t>Exam 1</t>
        </is>
      </c>
      <c r="B8" s="78" t="inlineStr">
        <is>
          <t>Fall 2026</t>
        </is>
      </c>
      <c r="C8" s="79" t="inlineStr">
        <is>
          <t>My materials - Safe medication dosing (screen recording)</t>
        </is>
      </c>
      <c r="D8" s="80">
        <f>HYPERLINK("https://drive.google.com/file/d/1m7ndwN9KgjnwxDNUhgTavtPSTIvYiiEv/view","🔗  Open")</f>
        <v/>
      </c>
      <c r="E8" s="79" t="inlineStr">
        <is>
          <t>NUR 235 Safe Medication Dosing.mp4 - recorded on your phone 1 Sep</t>
        </is>
      </c>
      <c r="F8" s="5" t="n"/>
      <c r="G8" s="5" t="n"/>
    </row>
    <row r="9">
      <c r="A9" s="78" t="inlineStr">
        <is>
          <t>Exam 1</t>
        </is>
      </c>
      <c r="B9" s="78" t="inlineStr">
        <is>
          <t>Fall 2026</t>
        </is>
      </c>
      <c r="C9" s="79" t="inlineStr">
        <is>
          <t>My materials - Sun 7 Sep 11:14 PM peds exam prep (screen recording)</t>
        </is>
      </c>
      <c r="D9" s="80">
        <f>HYPERLINK("https://drive.google.com/file/d/1JwaR3f16rJ4pRerDYTyBWV3275ec2DCK/view","🔗  Open")</f>
        <v/>
      </c>
      <c r="E9" s="79" t="inlineStr">
        <is>
          <t>Growth and development, medication, pain, practice questions - from the speech index. In the NUR 235 folder</t>
        </is>
      </c>
      <c r="F9" s="5" t="n"/>
      <c r="G9" s="5" t="n"/>
    </row>
    <row r="10">
      <c r="A10" s="75" t="inlineStr">
        <is>
          <t>Exam 2</t>
        </is>
      </c>
      <c r="B10" s="75" t="n"/>
      <c r="C10" s="76" t="n"/>
      <c r="D10" s="76" t="n"/>
      <c r="E10" s="76" t="n"/>
      <c r="F10" s="5" t="n"/>
      <c r="G10" s="5" t="n"/>
    </row>
    <row r="11">
      <c r="A11" s="78" t="inlineStr">
        <is>
          <t>Exam 2</t>
        </is>
      </c>
      <c r="B11" s="78" t="n"/>
      <c r="C11" s="79" t="n"/>
      <c r="D11" s="79" t="n"/>
      <c r="E11" s="79" t="n"/>
      <c r="F11" s="5" t="n"/>
      <c r="G11" s="5" t="n"/>
    </row>
    <row r="12">
      <c r="A12" s="75" t="inlineStr">
        <is>
          <t>Exam 2</t>
        </is>
      </c>
      <c r="B12" s="75" t="n"/>
      <c r="C12" s="76" t="n"/>
      <c r="D12" s="76" t="n"/>
      <c r="E12" s="76" t="n"/>
      <c r="F12" s="5" t="n"/>
      <c r="G12" s="5" t="n"/>
    </row>
    <row r="13">
      <c r="A13" s="78" t="inlineStr">
        <is>
          <t>Exam 2</t>
        </is>
      </c>
      <c r="B13" s="78" t="n"/>
      <c r="C13" s="79" t="n"/>
      <c r="D13" s="79" t="n"/>
      <c r="E13" s="79" t="n"/>
      <c r="F13" s="5" t="n"/>
      <c r="G13" s="5" t="n"/>
    </row>
    <row r="14">
      <c r="A14" s="75" t="inlineStr">
        <is>
          <t>Exam 3</t>
        </is>
      </c>
      <c r="B14" s="75" t="n"/>
      <c r="C14" s="76" t="n"/>
      <c r="D14" s="76" t="n"/>
      <c r="E14" s="76" t="n"/>
      <c r="F14" s="5" t="n"/>
      <c r="G14" s="5" t="n"/>
    </row>
    <row r="15">
      <c r="A15" s="78" t="inlineStr">
        <is>
          <t>Exam 3</t>
        </is>
      </c>
      <c r="B15" s="78" t="n"/>
      <c r="C15" s="79" t="n"/>
      <c r="D15" s="79" t="n"/>
      <c r="E15" s="79" t="n"/>
      <c r="F15" s="5" t="n"/>
      <c r="G15" s="5" t="n"/>
    </row>
    <row r="16">
      <c r="A16" s="75" t="inlineStr">
        <is>
          <t>Exam 3</t>
        </is>
      </c>
      <c r="B16" s="75" t="n"/>
      <c r="C16" s="76" t="n"/>
      <c r="D16" s="76" t="n"/>
      <c r="E16" s="76" t="n"/>
      <c r="F16" s="5" t="n"/>
      <c r="G16" s="5" t="n"/>
    </row>
    <row r="17">
      <c r="A17" s="78" t="inlineStr">
        <is>
          <t>Exam 3</t>
        </is>
      </c>
      <c r="B17" s="78" t="n"/>
      <c r="C17" s="79" t="n"/>
      <c r="D17" s="79" t="n"/>
      <c r="E17" s="79" t="n"/>
      <c r="F17" s="5" t="n"/>
      <c r="G17" s="5" t="n"/>
    </row>
    <row r="18">
      <c r="A18" s="75" t="inlineStr">
        <is>
          <t>FINAL</t>
        </is>
      </c>
      <c r="B18" s="75" t="n"/>
      <c r="C18" s="76" t="n"/>
      <c r="D18" s="76" t="n"/>
      <c r="E18" s="76" t="n"/>
      <c r="F18" s="5" t="n"/>
      <c r="G18" s="5" t="n"/>
    </row>
    <row r="19">
      <c r="A19" s="78" t="inlineStr">
        <is>
          <t>FINAL</t>
        </is>
      </c>
      <c r="B19" s="78" t="n"/>
      <c r="C19" s="79" t="n"/>
      <c r="D19" s="79" t="n"/>
      <c r="E19" s="79" t="n"/>
      <c r="F19" s="5" t="n"/>
      <c r="G19" s="5" t="n"/>
    </row>
    <row r="20" ht="15.75" customHeight="1" s="111">
      <c r="A20" s="75" t="inlineStr">
        <is>
          <t>FINAL</t>
        </is>
      </c>
      <c r="B20" s="75" t="n"/>
      <c r="C20" s="76" t="inlineStr">
        <is>
          <t>Review session recording</t>
        </is>
      </c>
      <c r="D20" s="77">
        <f>HYPERLINK("https://drive.google.com/file/d/1Xd7riWCGJ-FYd7Jt2c7Q50Hz92ww5hpw/view","🔗  Open")</f>
        <v/>
      </c>
      <c r="E20" s="76" t="inlineStr">
        <is>
          <t>NUR235 final review.mp4 - presenter not named in the file</t>
        </is>
      </c>
      <c r="F20" s="5" t="n"/>
      <c r="G20" s="5" t="n"/>
    </row>
    <row r="21" ht="15.75" customHeight="1" s="111">
      <c r="A21" s="78" t="inlineStr">
        <is>
          <t>FINAL</t>
        </is>
      </c>
      <c r="B21" s="78" t="n"/>
      <c r="C21" s="79" t="inlineStr">
        <is>
          <t>Other / my materials</t>
        </is>
      </c>
      <c r="D21" s="79" t="n"/>
      <c r="E21" s="79" t="n"/>
      <c r="F21" s="5" t="n"/>
      <c r="G21" s="5" t="n"/>
    </row>
    <row r="22" ht="15.75" customHeight="1" s="111">
      <c r="A22" s="86" t="n"/>
      <c r="B22" s="86" t="n"/>
      <c r="C22" s="86" t="n"/>
      <c r="D22" s="86" t="n"/>
      <c r="E22" s="86" t="n"/>
      <c r="F22" s="5" t="n"/>
      <c r="G22" s="5" t="n"/>
    </row>
    <row r="23" ht="15.75" customHeight="1" s="111">
      <c r="A23" s="86" t="n"/>
      <c r="B23" s="86" t="n"/>
      <c r="C23" s="86" t="n"/>
      <c r="D23" s="86" t="n"/>
      <c r="E23" s="86" t="n"/>
      <c r="F23" s="5" t="n"/>
      <c r="G23" s="5" t="n"/>
    </row>
    <row r="24" ht="15.75" customHeight="1" s="111">
      <c r="A24" s="86" t="n"/>
      <c r="B24" s="86" t="n"/>
      <c r="C24" s="86" t="n"/>
      <c r="D24" s="86" t="n"/>
      <c r="E24" s="86" t="n"/>
      <c r="F24" s="5" t="n"/>
      <c r="G24" s="5" t="n"/>
    </row>
    <row r="25" ht="15.75" customHeight="1" s="111">
      <c r="A25" s="86" t="n"/>
      <c r="B25" s="86" t="n"/>
      <c r="C25" s="86" t="n"/>
      <c r="D25" s="86" t="n"/>
      <c r="E25" s="86" t="n"/>
      <c r="F25" s="5" t="n"/>
      <c r="G25" s="5" t="n"/>
    </row>
    <row r="26" ht="15.75" customHeight="1" s="111">
      <c r="A26" s="86" t="n"/>
      <c r="B26" s="86" t="n"/>
      <c r="C26" s="86" t="n"/>
      <c r="D26" s="86" t="n"/>
      <c r="E26" s="86" t="n"/>
      <c r="F26" s="5" t="n"/>
      <c r="G26" s="5" t="n"/>
    </row>
    <row r="27" ht="15.75" customHeight="1" s="111">
      <c r="A27" s="86" t="n"/>
      <c r="B27" s="86" t="n"/>
      <c r="C27" s="86" t="n"/>
      <c r="D27" s="86" t="n"/>
      <c r="E27" s="86" t="n"/>
      <c r="F27" s="5" t="n"/>
      <c r="G27" s="5" t="n"/>
    </row>
    <row r="28" ht="15.75" customHeight="1" s="111">
      <c r="A28" s="86" t="n"/>
      <c r="B28" s="86" t="n"/>
      <c r="C28" s="86" t="n"/>
      <c r="D28" s="86" t="n"/>
      <c r="E28" s="86" t="n"/>
      <c r="F28" s="5" t="n"/>
      <c r="G28" s="5" t="n"/>
    </row>
    <row r="29" ht="15.75" customHeight="1" s="111">
      <c r="A29" s="86" t="n"/>
      <c r="B29" s="86" t="n"/>
      <c r="C29" s="86" t="n"/>
      <c r="D29" s="86" t="n"/>
      <c r="E29" s="86"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E$28"/>
  <mergeCells count="1">
    <mergeCell ref="A1:E1"/>
  </mergeCells>
  <hyperlinks>
    <hyperlink ref="A2" location="'NUR234 Kaiser'!A1" display="NUR234"/>
    <hyperlink ref="B2" location="'NUR235 Fadell'!A1" display="NUR235"/>
    <hyperlink ref="C2" location="'NUR258 Halecka'!A1" display="NUR258"/>
    <hyperlink ref="A3" location="'NUR235 Fadell'!A1" display="Fadell"/>
    <hyperlink ref="B3" location="'NUR235 Fuller'!A1" display="Fuller"/>
    <hyperlink ref="C3" location="'NUR235 LSC exam prep'!A1" display="LSC exam prep"/>
  </hyperlinks>
  <pageMargins left="0.75" right="0.75" top="1" bottom="1" header="0.5" footer="0.5"/>
</worksheet>
</file>

<file path=xl/worksheets/sheet12.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Halecka</t>
        </is>
      </c>
    </row>
    <row r="2">
      <c r="A2" s="7" t="inlineStr">
        <is>
          <t>NUR234</t>
        </is>
      </c>
      <c r="B2" s="7" t="inlineStr">
        <is>
          <t>NUR235</t>
        </is>
      </c>
      <c r="C2" s="13" t="inlineStr">
        <is>
          <t>NUR258</t>
        </is>
      </c>
      <c r="D2" s="12" t="inlineStr">
        <is>
          <t>🏠 START HERE</t>
        </is>
      </c>
      <c r="E2" s="18" t="inlineStr">
        <is>
          <t>📥 Sort me</t>
        </is>
      </c>
      <c r="F2" s="17" t="n"/>
      <c r="G2" s="17" t="n"/>
    </row>
    <row r="3">
      <c r="A3" s="88" t="inlineStr">
        <is>
          <t>Halecka</t>
        </is>
      </c>
      <c r="B3" s="22"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Day 1</t>
        </is>
      </c>
      <c r="C6" s="91" t="n"/>
      <c r="D6" s="91" t="inlineStr">
        <is>
          <t>Halecka</t>
        </is>
      </c>
      <c r="E6" s="92">
        <f>HYPERLINK("https://drive.google.com/file/d/1tPNIpDo5thT9xV08IoqnbNcp-83Oz_It/view","▶  Watch")</f>
        <v/>
      </c>
      <c r="F6" s="91" t="inlineStr">
        <is>
          <t>Halecka W1D1.mp4</t>
        </is>
      </c>
      <c r="G6" s="91" t="n"/>
    </row>
    <row r="7">
      <c r="A7" s="103" t="inlineStr">
        <is>
          <t>Week 1</t>
        </is>
      </c>
      <c r="B7" s="103" t="inlineStr">
        <is>
          <t>Day 1</t>
        </is>
      </c>
      <c r="C7" s="91" t="inlineStr">
        <is>
          <t>Fall 2026</t>
        </is>
      </c>
      <c r="D7" s="91" t="inlineStr">
        <is>
          <t>Halecka</t>
        </is>
      </c>
      <c r="E7" s="92">
        <f>HYPERLINK("https://drive.google.com/file/d/15LGIidwMDA6Izf9Yy9B0Ebfy2JaKL2ur/view?usp=drive_link","▶  Watch")</f>
        <v/>
      </c>
      <c r="F7" s="91" t="n"/>
      <c r="G7" s="91" t="n"/>
    </row>
    <row r="8">
      <c r="A8" s="93" t="inlineStr">
        <is>
          <t>Week 1</t>
        </is>
      </c>
      <c r="B8" s="93" t="inlineStr">
        <is>
          <t>Day 2</t>
        </is>
      </c>
      <c r="C8" s="94" t="n"/>
      <c r="D8" s="94" t="inlineStr">
        <is>
          <t>Halecka</t>
        </is>
      </c>
      <c r="E8" s="95">
        <f>HYPERLINK("https://drive.google.com/file/d/1kG0OZwXihOteY2lgZ56LaP7Po995puwx/view","▶  Watch")</f>
        <v/>
      </c>
      <c r="F8" s="94" t="inlineStr">
        <is>
          <t>Halecka W1D2.mp4</t>
        </is>
      </c>
      <c r="G8" s="94" t="n"/>
    </row>
    <row r="9">
      <c r="A9" s="93" t="inlineStr">
        <is>
          <t>Week 1</t>
        </is>
      </c>
      <c r="B9" s="93" t="inlineStr">
        <is>
          <t>Day 2</t>
        </is>
      </c>
      <c r="C9" s="94" t="inlineStr">
        <is>
          <t>Fall 2026</t>
        </is>
      </c>
      <c r="D9" s="94" t="inlineStr">
        <is>
          <t>Halecka</t>
        </is>
      </c>
      <c r="E9" s="95">
        <f>HYPERLINK("https://drive.google.com/file/d/16mAzKU1zMFeeDs-hOXANHHNywNeEfNv4/view","▶  Watch")</f>
        <v/>
      </c>
      <c r="F9" s="94" t="inlineStr">
        <is>
          <t>Screen_Recording_20260903_015842_Messenger.mp4</t>
        </is>
      </c>
      <c r="G9" s="94" t="inlineStr">
        <is>
          <t>Recorded 3 Sep on your phone - check it really is Day 2</t>
        </is>
      </c>
    </row>
    <row r="10">
      <c r="A10" s="103" t="inlineStr">
        <is>
          <t>Week 2</t>
        </is>
      </c>
      <c r="B10" s="103" t="inlineStr">
        <is>
          <t>Day 1</t>
        </is>
      </c>
      <c r="C10" s="91" t="n"/>
      <c r="D10" s="91" t="inlineStr">
        <is>
          <t>Halecka</t>
        </is>
      </c>
      <c r="E10" s="92">
        <f>HYPERLINK("https://drive.google.com/file/d/1eEW_OANxw5ZaN1RpmULhcfPWlx81jgVL/view","▶  Watch")</f>
        <v/>
      </c>
      <c r="F10" s="91" t="inlineStr">
        <is>
          <t>Halecka W2D1.mp4</t>
        </is>
      </c>
      <c r="G10" s="91" t="n"/>
    </row>
    <row r="11">
      <c r="A11" s="93" t="inlineStr">
        <is>
          <t>Week 2</t>
        </is>
      </c>
      <c r="B11" s="93" t="inlineStr">
        <is>
          <t>Day 2</t>
        </is>
      </c>
      <c r="C11" s="94" t="n"/>
      <c r="D11" s="94" t="inlineStr">
        <is>
          <t>Halecka</t>
        </is>
      </c>
      <c r="E11" s="95">
        <f>HYPERLINK("https://drive.google.com/file/d/1wztDegrV8RIypFru-l-A9D5pgmosW6kx/view","▶  Watch")</f>
        <v/>
      </c>
      <c r="F11" s="94" t="inlineStr">
        <is>
          <t>Halecka W2D2.mp4</t>
        </is>
      </c>
      <c r="G11" s="94" t="n"/>
    </row>
    <row r="12">
      <c r="A12" s="103" t="inlineStr">
        <is>
          <t>Week 3</t>
        </is>
      </c>
      <c r="B12" s="103" t="inlineStr">
        <is>
          <t>Day 1</t>
        </is>
      </c>
      <c r="C12" s="91" t="n"/>
      <c r="D12" s="91" t="inlineStr">
        <is>
          <t>Halecka</t>
        </is>
      </c>
      <c r="E12" s="92">
        <f>HYPERLINK("https://drive.google.com/file/d/12s1QL5nnwj9QhbN3ouHe5GQk6rkxv07O/view","▶  Watch")</f>
        <v/>
      </c>
      <c r="F12" s="91" t="inlineStr">
        <is>
          <t>Halecka W3 only day.mp4</t>
        </is>
      </c>
      <c r="G12" s="91" t="inlineStr">
        <is>
          <t>Only session that week</t>
        </is>
      </c>
    </row>
    <row r="13">
      <c r="A13" s="93" t="inlineStr">
        <is>
          <t>Week 3</t>
        </is>
      </c>
      <c r="B13" s="93" t="inlineStr">
        <is>
          <t>Day 2</t>
        </is>
      </c>
      <c r="C13" s="94" t="n"/>
      <c r="D13" s="94" t="inlineStr">
        <is>
          <t>Halecka</t>
        </is>
      </c>
      <c r="E13" s="94" t="n"/>
      <c r="F13" s="94" t="n"/>
      <c r="G13" s="94" t="n"/>
    </row>
    <row r="14">
      <c r="A14" s="103" t="inlineStr">
        <is>
          <t>Week 4</t>
        </is>
      </c>
      <c r="B14" s="103" t="inlineStr">
        <is>
          <t>Day 1</t>
        </is>
      </c>
      <c r="C14" s="91" t="n"/>
      <c r="D14" s="91" t="inlineStr">
        <is>
          <t>Halecka</t>
        </is>
      </c>
      <c r="E14" s="92">
        <f>HYPERLINK("https://drive.google.com/file/d/1MgsSYBfirqOZZQEARkWluIoUX2c7qI6s/view","▶  Watch")</f>
        <v/>
      </c>
      <c r="F14" s="91" t="inlineStr">
        <is>
          <t>Halecka W4d1.mp4</t>
        </is>
      </c>
      <c r="G14" s="91" t="n"/>
    </row>
    <row r="15">
      <c r="A15" s="93" t="inlineStr">
        <is>
          <t>Week 4</t>
        </is>
      </c>
      <c r="B15" s="93" t="inlineStr">
        <is>
          <t>Day 2</t>
        </is>
      </c>
      <c r="C15" s="94" t="n"/>
      <c r="D15" s="94" t="inlineStr">
        <is>
          <t>Halecka</t>
        </is>
      </c>
      <c r="E15" s="95">
        <f>HYPERLINK("https://drive.google.com/file/d/1UhvvqJX98mKkGjfFcUd2v2gPkK7Zb3nX/view","▶  Watch")</f>
        <v/>
      </c>
      <c r="F15" s="94" t="inlineStr">
        <is>
          <t>Halecka W4d2.mp4</t>
        </is>
      </c>
      <c r="G15" s="94" t="n"/>
    </row>
    <row r="16">
      <c r="A16" s="103" t="inlineStr">
        <is>
          <t>Week 5</t>
        </is>
      </c>
      <c r="B16" s="103" t="inlineStr">
        <is>
          <t>Day 1</t>
        </is>
      </c>
      <c r="C16" s="91" t="n"/>
      <c r="D16" s="91" t="inlineStr">
        <is>
          <t>Halecka</t>
        </is>
      </c>
      <c r="E16" s="92">
        <f>HYPERLINK("https://drive.google.com/file/d/1_VyUz4E-0B8mzqKzTJbzjFYLDpgENPJt/view","▶  Watch")</f>
        <v/>
      </c>
      <c r="F16" s="91" t="inlineStr">
        <is>
          <t>Halecka W5d1.mp4</t>
        </is>
      </c>
      <c r="G16" s="91" t="n"/>
    </row>
    <row r="17">
      <c r="A17" s="93" t="inlineStr">
        <is>
          <t>Week 5</t>
        </is>
      </c>
      <c r="B17" s="93" t="inlineStr">
        <is>
          <t>Day 2</t>
        </is>
      </c>
      <c r="C17" s="94" t="n"/>
      <c r="D17" s="94" t="inlineStr">
        <is>
          <t>Halecka</t>
        </is>
      </c>
      <c r="E17" s="95">
        <f>HYPERLINK("https://drive.google.com/file/d/1biuSi5a914MbS38zloMU6m57WXSiTQcS/view","▶  Watch")</f>
        <v/>
      </c>
      <c r="F17" s="94" t="inlineStr">
        <is>
          <t>Halecka W5d2.mp4</t>
        </is>
      </c>
      <c r="G17" s="94" t="n"/>
    </row>
    <row r="18">
      <c r="A18" s="103" t="inlineStr">
        <is>
          <t>Week 6</t>
        </is>
      </c>
      <c r="B18" s="103" t="inlineStr">
        <is>
          <t>Day 1</t>
        </is>
      </c>
      <c r="C18" s="91" t="n"/>
      <c r="D18" s="91" t="inlineStr">
        <is>
          <t>Halecka</t>
        </is>
      </c>
      <c r="E18" s="92">
        <f>HYPERLINK("https://drive.google.com/file/d/1N4A_VJbw2pfSuXHUDKJADPUa_i_Coj99/view","▶  Watch")</f>
        <v/>
      </c>
      <c r="F18" s="91" t="inlineStr">
        <is>
          <t>Halecka W6d1.mp4</t>
        </is>
      </c>
      <c r="G18" s="91" t="n"/>
    </row>
    <row r="19">
      <c r="A19" s="93" t="inlineStr">
        <is>
          <t>Week 6</t>
        </is>
      </c>
      <c r="B19" s="93" t="inlineStr">
        <is>
          <t>Day 2</t>
        </is>
      </c>
      <c r="C19" s="94" t="n"/>
      <c r="D19" s="94" t="inlineStr">
        <is>
          <t>Halecka</t>
        </is>
      </c>
      <c r="E19" s="95">
        <f>HYPERLINK("https://drive.google.com/file/d/1Co9ZVEXkP7XvnDHDk591bY_2TBco5nkb/view","▶  Watch")</f>
        <v/>
      </c>
      <c r="F19" s="94" t="inlineStr">
        <is>
          <t>Halecka W6d2.mp4</t>
        </is>
      </c>
      <c r="G19" s="94" t="n"/>
    </row>
    <row r="20">
      <c r="A20" s="103" t="inlineStr">
        <is>
          <t>Week 7</t>
        </is>
      </c>
      <c r="B20" s="103" t="inlineStr">
        <is>
          <t>Day 1</t>
        </is>
      </c>
      <c r="C20" s="91" t="n"/>
      <c r="D20" s="91" t="inlineStr">
        <is>
          <t>Halecka</t>
        </is>
      </c>
      <c r="E20" s="92">
        <f>HYPERLINK("https://drive.google.com/file/d/1L7ijGH3mp0GJ1IoHuV4JAdU99cq8Za8B/view","▶  Watch")</f>
        <v/>
      </c>
      <c r="F20" s="91" t="inlineStr">
        <is>
          <t>Halecka W7D1.mp4</t>
        </is>
      </c>
      <c r="G20" s="91" t="n"/>
    </row>
    <row r="21" ht="15.75" customHeight="1" s="111">
      <c r="A21" s="93" t="inlineStr">
        <is>
          <t>Week 7</t>
        </is>
      </c>
      <c r="B21" s="93" t="inlineStr">
        <is>
          <t>Day 2</t>
        </is>
      </c>
      <c r="C21" s="94" t="n"/>
      <c r="D21" s="94" t="inlineStr">
        <is>
          <t>Halecka</t>
        </is>
      </c>
      <c r="E21" s="95">
        <f>HYPERLINK("https://drive.google.com/file/d/1jwtY9AuiAQY8Odir88Y7iHajay988jZo/view","▶  Watch")</f>
        <v/>
      </c>
      <c r="F21" s="94" t="inlineStr">
        <is>
          <t>Halecka W7D2.mp4</t>
        </is>
      </c>
      <c r="G21" s="94" t="n"/>
    </row>
    <row r="22" ht="15.75" customHeight="1" s="111">
      <c r="A22" s="103" t="inlineStr">
        <is>
          <t>Week 8</t>
        </is>
      </c>
      <c r="B22" s="103" t="inlineStr">
        <is>
          <t>Day 1</t>
        </is>
      </c>
      <c r="C22" s="91" t="n"/>
      <c r="D22" s="91" t="inlineStr">
        <is>
          <t>Halecka</t>
        </is>
      </c>
      <c r="E22" s="92">
        <f>HYPERLINK("https://drive.google.com/file/d/1nJhuxvxXj5ORPnI8_aMnNFkD3BzQ368P/view","▶  Watch")</f>
        <v/>
      </c>
      <c r="F22" s="91" t="inlineStr">
        <is>
          <t>Halecka W8D1.mp4</t>
        </is>
      </c>
      <c r="G22" s="91" t="n"/>
    </row>
    <row r="23" ht="15.75" customHeight="1" s="111">
      <c r="A23" s="93" t="inlineStr">
        <is>
          <t>Week 8</t>
        </is>
      </c>
      <c r="B23" s="93" t="inlineStr">
        <is>
          <t>Day 2</t>
        </is>
      </c>
      <c r="C23" s="94" t="n"/>
      <c r="D23" s="94" t="inlineStr">
        <is>
          <t>Halecka</t>
        </is>
      </c>
      <c r="E23" s="95">
        <f>HYPERLINK("https://drive.google.com/file/d/1Z_ioeEJjFmq0TXZaGrsYRga7hfqLwfW8/view","▶  Watch")</f>
        <v/>
      </c>
      <c r="F23" s="94" t="inlineStr">
        <is>
          <t>Halecka W8D2.mp4</t>
        </is>
      </c>
      <c r="G23" s="94" t="n"/>
    </row>
    <row r="24" ht="15.75" customHeight="1" s="111">
      <c r="A24" s="103" t="inlineStr">
        <is>
          <t>Week 9</t>
        </is>
      </c>
      <c r="B24" s="103" t="inlineStr">
        <is>
          <t>Day 1</t>
        </is>
      </c>
      <c r="C24" s="91" t="n"/>
      <c r="D24" s="91" t="inlineStr">
        <is>
          <t>Halecka</t>
        </is>
      </c>
      <c r="E24" s="92">
        <f>HYPERLINK("https://drive.google.com/file/d/14DoxMb-Jl4KhSoqhubzcSXzzFDM1KiJe/view","▶  Watch")</f>
        <v/>
      </c>
      <c r="F24" s="91" t="inlineStr">
        <is>
          <t>Halecka W9D1.mp4</t>
        </is>
      </c>
      <c r="G24" s="91" t="n"/>
    </row>
    <row r="25" ht="15.75" customHeight="1" s="111">
      <c r="A25" s="93" t="inlineStr">
        <is>
          <t>Week 9</t>
        </is>
      </c>
      <c r="B25" s="93" t="inlineStr">
        <is>
          <t>Day 2</t>
        </is>
      </c>
      <c r="C25" s="94" t="n"/>
      <c r="D25" s="94" t="inlineStr">
        <is>
          <t>Halecka</t>
        </is>
      </c>
      <c r="E25" s="95">
        <f>HYPERLINK("https://drive.google.com/file/d/1MYhzhQmtnV3UFHR6ccvhANTss8KH_WAg/view","▶  Watch")</f>
        <v/>
      </c>
      <c r="F25" s="94" t="inlineStr">
        <is>
          <t>Halecka W9D2.mp4</t>
        </is>
      </c>
      <c r="G25" s="94" t="n"/>
    </row>
    <row r="26" ht="15.75" customHeight="1" s="111">
      <c r="A26" s="103" t="inlineStr">
        <is>
          <t>Week 10</t>
        </is>
      </c>
      <c r="B26" s="103" t="inlineStr">
        <is>
          <t>Day 1</t>
        </is>
      </c>
      <c r="C26" s="91" t="n"/>
      <c r="D26" s="91" t="inlineStr">
        <is>
          <t>Halecka</t>
        </is>
      </c>
      <c r="E26" s="92">
        <f>HYPERLINK("https://drive.google.com/file/d/1xxojEKWOl4VO6__6wBIZiEtCQtkFd8qv/view","▶  Watch")</f>
        <v/>
      </c>
      <c r="F26" s="91" t="inlineStr">
        <is>
          <t>Halecka W10D1.mp4</t>
        </is>
      </c>
      <c r="G26" s="91" t="n"/>
    </row>
    <row r="27" ht="15.75" customHeight="1" s="111">
      <c r="A27" s="93" t="inlineStr">
        <is>
          <t>Week 10</t>
        </is>
      </c>
      <c r="B27" s="93" t="inlineStr">
        <is>
          <t>Day 2</t>
        </is>
      </c>
      <c r="C27" s="94" t="n"/>
      <c r="D27" s="94" t="inlineStr">
        <is>
          <t>Halecka</t>
        </is>
      </c>
      <c r="E27" s="95">
        <f>HYPERLINK("https://drive.google.com/file/d/1_Mt6lPo2rgA2UTAFUk1QAThHBe_Jux1U/view","▶  Watch")</f>
        <v/>
      </c>
      <c r="F27" s="94" t="inlineStr">
        <is>
          <t>Halecka W10D2.mp4</t>
        </is>
      </c>
      <c r="G27" s="94" t="n"/>
    </row>
    <row r="28" ht="15.75" customHeight="1" s="111">
      <c r="A28" s="103" t="inlineStr">
        <is>
          <t>Week 11</t>
        </is>
      </c>
      <c r="B28" s="103" t="inlineStr">
        <is>
          <t>Day 1</t>
        </is>
      </c>
      <c r="C28" s="91" t="n"/>
      <c r="D28" s="91" t="inlineStr">
        <is>
          <t>Halecka</t>
        </is>
      </c>
      <c r="E28" s="92">
        <f>HYPERLINK("https://drive.google.com/file/d/1WfPT27PAQr_pC3rts6sSw6HaZO2Nh1mj/view","▶  Watch")</f>
        <v/>
      </c>
      <c r="F28" s="91" t="inlineStr">
        <is>
          <t>Halecka W11D1.mp4</t>
        </is>
      </c>
      <c r="G28" s="91" t="n"/>
    </row>
    <row r="29" ht="15.75" customHeight="1" s="111">
      <c r="A29" s="93" t="inlineStr">
        <is>
          <t>Week 11</t>
        </is>
      </c>
      <c r="B29" s="93" t="inlineStr">
        <is>
          <t>Day 2</t>
        </is>
      </c>
      <c r="C29" s="94" t="n"/>
      <c r="D29" s="94" t="inlineStr">
        <is>
          <t>Halecka</t>
        </is>
      </c>
      <c r="E29" s="95">
        <f>HYPERLINK("https://drive.google.com/file/d/1oldJm9iNLhtPjuLYKgRp3JRSL3VLEThG/view","▶  Watch")</f>
        <v/>
      </c>
      <c r="F29" s="94" t="inlineStr">
        <is>
          <t>Halecka W11D2.mp4</t>
        </is>
      </c>
      <c r="G29" s="94" t="n"/>
    </row>
    <row r="30" ht="15.75" customHeight="1" s="111">
      <c r="A30" s="103" t="inlineStr">
        <is>
          <t>Week 12</t>
        </is>
      </c>
      <c r="B30" s="103" t="inlineStr">
        <is>
          <t>Day 1</t>
        </is>
      </c>
      <c r="C30" s="91" t="n"/>
      <c r="D30" s="91" t="inlineStr">
        <is>
          <t>Halecka</t>
        </is>
      </c>
      <c r="E30" s="92">
        <f>HYPERLINK("https://drive.google.com/file/d/19ZrcWgDP34L_aYDnmQTwVsqD3T8NxVNk/view","▶  Watch")</f>
        <v/>
      </c>
      <c r="F30" s="91" t="inlineStr">
        <is>
          <t>Halecka W12D1.mp4</t>
        </is>
      </c>
      <c r="G30" s="91" t="n"/>
    </row>
    <row r="31" ht="15.75" customHeight="1" s="111">
      <c r="A31" s="93" t="inlineStr">
        <is>
          <t>Week 12</t>
        </is>
      </c>
      <c r="B31" s="93" t="inlineStr">
        <is>
          <t>Day 2</t>
        </is>
      </c>
      <c r="C31" s="94" t="n"/>
      <c r="D31" s="94" t="inlineStr">
        <is>
          <t>Halecka</t>
        </is>
      </c>
      <c r="E31" s="95">
        <f>HYPERLINK("https://drive.google.com/file/d/1xP-bxF04ILbD1qvSbe8WFVsH5nB0yWXr/view","▶  Watch")</f>
        <v/>
      </c>
      <c r="F31" s="94" t="inlineStr">
        <is>
          <t>Halecka W12D2.mp4</t>
        </is>
      </c>
      <c r="G31" s="94" t="n"/>
    </row>
    <row r="32" ht="15.75" customHeight="1" s="111">
      <c r="A32" s="103" t="inlineStr">
        <is>
          <t>Week 13</t>
        </is>
      </c>
      <c r="B32" s="103" t="inlineStr">
        <is>
          <t>Day 1</t>
        </is>
      </c>
      <c r="C32" s="91" t="n"/>
      <c r="D32" s="91" t="inlineStr">
        <is>
          <t>Halecka</t>
        </is>
      </c>
      <c r="E32" s="92">
        <f>HYPERLINK("https://drive.google.com/file/d/1dmJCDM5IPNYi_xRR4fIWAth_Vd0Nj4Mv/view","▶  Watch")</f>
        <v/>
      </c>
      <c r="F32" s="91" t="inlineStr">
        <is>
          <t>Halecka W13D1.mp4</t>
        </is>
      </c>
      <c r="G32" s="91" t="n"/>
    </row>
    <row r="33" ht="15.75" customHeight="1" s="111">
      <c r="A33" s="93" t="inlineStr">
        <is>
          <t>Week 13</t>
        </is>
      </c>
      <c r="B33" s="93" t="inlineStr">
        <is>
          <t>Day 2</t>
        </is>
      </c>
      <c r="C33" s="94" t="n"/>
      <c r="D33" s="94" t="inlineStr">
        <is>
          <t>Halecka</t>
        </is>
      </c>
      <c r="E33" s="95">
        <f>HYPERLINK("https://drive.google.com/file/d/1Qokym4aSlBm2IqqVUcu-uQ5towdH6Ftb/view","▶  Watch")</f>
        <v/>
      </c>
      <c r="F33" s="94" t="inlineStr">
        <is>
          <t>Halecka W13D2.mp4</t>
        </is>
      </c>
      <c r="G33" s="94" t="n"/>
    </row>
    <row r="34" ht="15.75" customHeight="1" s="111">
      <c r="A34" s="103" t="inlineStr">
        <is>
          <t>Week 14</t>
        </is>
      </c>
      <c r="B34" s="103" t="inlineStr">
        <is>
          <t>Day 1</t>
        </is>
      </c>
      <c r="C34" s="91" t="n"/>
      <c r="D34" s="91" t="inlineStr">
        <is>
          <t>Halecka</t>
        </is>
      </c>
      <c r="E34" s="92">
        <f>HYPERLINK("https://drive.google.com/file/d/1a1q2htiGkSbDtVr7xa10OLL1pV6dvzBx/view","▶  Watch")</f>
        <v/>
      </c>
      <c r="F34" s="91" t="inlineStr">
        <is>
          <t>Halecka W14D1.mp4</t>
        </is>
      </c>
      <c r="G34" s="91" t="n"/>
    </row>
    <row r="35" ht="15.75" customHeight="1" s="111">
      <c r="A35" s="93" t="inlineStr">
        <is>
          <t>Week 14</t>
        </is>
      </c>
      <c r="B35" s="93" t="inlineStr">
        <is>
          <t>Day 2</t>
        </is>
      </c>
      <c r="C35" s="94" t="n"/>
      <c r="D35" s="94" t="inlineStr">
        <is>
          <t>Halecka</t>
        </is>
      </c>
      <c r="E35" s="95">
        <f>HYPERLINK("https://drive.google.com/file/d/1CSwQrZ9FscsqFYe5J0oishTCN8pV6W6I/view","▶  Watch")</f>
        <v/>
      </c>
      <c r="F35" s="94" t="inlineStr">
        <is>
          <t>Halecka W14D2.mp4</t>
        </is>
      </c>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96" t="n"/>
      <c r="B41" s="96" t="n"/>
      <c r="C41" s="96" t="n"/>
      <c r="D41" s="96" t="n"/>
      <c r="E41" s="96" t="n"/>
      <c r="F41" s="96" t="n"/>
      <c r="G41" s="96"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3.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Wagner</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88"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93" t="inlineStr">
        <is>
          <t>Week 1</t>
        </is>
      </c>
      <c r="B6" s="93" t="inlineStr">
        <is>
          <t>Day 1</t>
        </is>
      </c>
      <c r="C6" s="94" t="n"/>
      <c r="D6" s="94" t="inlineStr">
        <is>
          <t>Wagner</t>
        </is>
      </c>
      <c r="E6" s="95">
        <f>HYPERLINK("https://drive.google.com/file/d/1wtklIvJcD059j3j2ydf30LJdilUZbRO7/view?usp=drive_link","▶  Watch")</f>
        <v/>
      </c>
      <c r="F6" s="94" t="n"/>
      <c r="G6" s="94" t="n"/>
    </row>
    <row r="7">
      <c r="A7" s="93" t="inlineStr">
        <is>
          <t>Week 1</t>
        </is>
      </c>
      <c r="B7" s="93" t="inlineStr">
        <is>
          <t>Day 2</t>
        </is>
      </c>
      <c r="C7" s="94" t="n"/>
      <c r="D7" s="94" t="inlineStr">
        <is>
          <t>Wagner</t>
        </is>
      </c>
      <c r="E7" s="95">
        <f>HYPERLINK("https://drive.google.com/file/d/16hwJnlASQ_miHbHjnSaKlAgUCBSTfKKD/view","▶  Watch")</f>
        <v/>
      </c>
      <c r="F7" s="94" t="inlineStr">
        <is>
          <t>Wagner M1D2.mp4</t>
        </is>
      </c>
      <c r="G7" s="94" t="n"/>
    </row>
    <row r="8">
      <c r="A8" s="103" t="inlineStr">
        <is>
          <t>Week 1</t>
        </is>
      </c>
      <c r="B8" s="103" t="inlineStr">
        <is>
          <t>Day 3</t>
        </is>
      </c>
      <c r="C8" s="91" t="n"/>
      <c r="D8" s="91" t="inlineStr">
        <is>
          <t>Wagner</t>
        </is>
      </c>
      <c r="E8" s="92">
        <f>HYPERLINK("https://drive.google.com/file/d/1wtklIvJcD059j3j2ydf30LJdilUZbRO7/view","▶  Watch")</f>
        <v/>
      </c>
      <c r="F8" s="91" t="inlineStr">
        <is>
          <t>Wagner M1d3.mp4</t>
        </is>
      </c>
      <c r="G8" s="91" t="n"/>
    </row>
    <row r="9">
      <c r="A9" s="93" t="inlineStr">
        <is>
          <t>Week 2</t>
        </is>
      </c>
      <c r="B9" s="93" t="inlineStr">
        <is>
          <t>Day 1</t>
        </is>
      </c>
      <c r="C9" s="94" t="n"/>
      <c r="D9" s="94" t="inlineStr">
        <is>
          <t>Wagner</t>
        </is>
      </c>
      <c r="E9" s="95">
        <f>HYPERLINK("https://drive.google.com/file/d/1MCvGqSq0VeaMojSXq6_8QgmYM3VY54V3/view","▶  Watch")</f>
        <v/>
      </c>
      <c r="F9" s="94" t="inlineStr">
        <is>
          <t>Wagner M2D1.mp4</t>
        </is>
      </c>
      <c r="G9" s="94" t="n"/>
    </row>
    <row r="10">
      <c r="A10" s="103" t="inlineStr">
        <is>
          <t>Week 2</t>
        </is>
      </c>
      <c r="B10" s="103" t="inlineStr">
        <is>
          <t>Day 2</t>
        </is>
      </c>
      <c r="C10" s="91" t="n"/>
      <c r="D10" s="91" t="inlineStr">
        <is>
          <t>Wagner</t>
        </is>
      </c>
      <c r="E10" s="92">
        <f>HYPERLINK("https://drive.google.com/file/d/1H5EHGXzFX278nFTWV7sUu6d8S8Al4V1Z/view","▶  Watch")</f>
        <v/>
      </c>
      <c r="F10" s="91" t="inlineStr">
        <is>
          <t>Wagner M2D2.mp4</t>
        </is>
      </c>
      <c r="G10" s="91" t="n"/>
    </row>
    <row r="11">
      <c r="A11" s="93" t="inlineStr">
        <is>
          <t>Week 3</t>
        </is>
      </c>
      <c r="B11" s="93" t="inlineStr">
        <is>
          <t>Day 1</t>
        </is>
      </c>
      <c r="C11" s="94" t="n"/>
      <c r="D11" s="94" t="inlineStr">
        <is>
          <t>Wagner</t>
        </is>
      </c>
      <c r="E11" s="95">
        <f>HYPERLINK("https://drive.google.com/file/d/1GWwGtHSuUxtEafJ5RUlKTIMCD7prtOyV/view","▶  Watch")</f>
        <v/>
      </c>
      <c r="F11" s="94" t="inlineStr">
        <is>
          <t>Wagner M3D1.mp4</t>
        </is>
      </c>
      <c r="G11" s="94" t="n"/>
    </row>
    <row r="12">
      <c r="A12" s="103" t="inlineStr">
        <is>
          <t>Week 3</t>
        </is>
      </c>
      <c r="B12" s="103" t="inlineStr">
        <is>
          <t>Day 2</t>
        </is>
      </c>
      <c r="C12" s="91" t="n"/>
      <c r="D12" s="91" t="inlineStr">
        <is>
          <t>Wagner</t>
        </is>
      </c>
      <c r="E12" s="92">
        <f>HYPERLINK("https://drive.google.com/file/d/14h7QaQPftFeWKqWmyPLMHRAlp4D1DViW/view","▶  Watch")</f>
        <v/>
      </c>
      <c r="F12" s="91" t="inlineStr">
        <is>
          <t>Wagner M3D2.mp4</t>
        </is>
      </c>
      <c r="G12" s="91" t="n"/>
    </row>
    <row r="13">
      <c r="A13" s="93" t="inlineStr">
        <is>
          <t>Week 4</t>
        </is>
      </c>
      <c r="B13" s="93" t="inlineStr">
        <is>
          <t>Day 1</t>
        </is>
      </c>
      <c r="C13" s="94" t="n"/>
      <c r="D13" s="94" t="inlineStr">
        <is>
          <t>Wagner</t>
        </is>
      </c>
      <c r="E13" s="95">
        <f>HYPERLINK("https://drive.google.com/file/d/1V93YTwkHnN_moZZB1ScOXleatBLk8tjp/view","▶  Watch")</f>
        <v/>
      </c>
      <c r="F13" s="94" t="inlineStr">
        <is>
          <t>Wagner W4D1.mp4</t>
        </is>
      </c>
      <c r="G13" s="94" t="n"/>
    </row>
    <row r="14">
      <c r="A14" s="103" t="inlineStr">
        <is>
          <t>Week 4</t>
        </is>
      </c>
      <c r="B14" s="103" t="inlineStr">
        <is>
          <t>Day 2</t>
        </is>
      </c>
      <c r="C14" s="91" t="n"/>
      <c r="D14" s="91" t="inlineStr">
        <is>
          <t>Wagner</t>
        </is>
      </c>
      <c r="E14" s="92">
        <f>HYPERLINK("https://drive.google.com/file/d/1iuG4OPyP4ncermN7KOeAib0TJ1N0fUGB/view","▶  Watch")</f>
        <v/>
      </c>
      <c r="F14" s="91" t="inlineStr">
        <is>
          <t>Wagner W4D2.mp4</t>
        </is>
      </c>
      <c r="G14" s="91" t="n"/>
    </row>
    <row r="15">
      <c r="A15" s="93" t="inlineStr">
        <is>
          <t>Week 5</t>
        </is>
      </c>
      <c r="B15" s="93" t="inlineStr">
        <is>
          <t>Day 1</t>
        </is>
      </c>
      <c r="C15" s="94" t="n"/>
      <c r="D15" s="94" t="inlineStr">
        <is>
          <t>Wagner</t>
        </is>
      </c>
      <c r="E15" s="95">
        <f>HYPERLINK("https://drive.google.com/file/d/1hIdwcnajMloBB9_GuZnY1jrnU8WViAdZ/view","▶  Watch")</f>
        <v/>
      </c>
      <c r="F15" s="94" t="inlineStr">
        <is>
          <t>Wagner W5D1.mp4</t>
        </is>
      </c>
      <c r="G15" s="94" t="n"/>
    </row>
    <row r="16">
      <c r="A16" s="103" t="inlineStr">
        <is>
          <t>Week 5</t>
        </is>
      </c>
      <c r="B16" s="103" t="inlineStr">
        <is>
          <t>Day 2</t>
        </is>
      </c>
      <c r="C16" s="91" t="n"/>
      <c r="D16" s="91" t="inlineStr">
        <is>
          <t>Wagner</t>
        </is>
      </c>
      <c r="E16" s="92">
        <f>HYPERLINK("https://drive.google.com/file/d/1gP4XUFWs4UEPG0S22U5Mjh3iLhe6m1uh/view","▶  Watch")</f>
        <v/>
      </c>
      <c r="F16" s="91" t="inlineStr">
        <is>
          <t>Wagner W5D2.mp4</t>
        </is>
      </c>
      <c r="G16" s="91" t="n"/>
    </row>
    <row r="17">
      <c r="A17" s="93" t="inlineStr">
        <is>
          <t>Week 6</t>
        </is>
      </c>
      <c r="B17" s="93" t="inlineStr">
        <is>
          <t>Day 1</t>
        </is>
      </c>
      <c r="C17" s="94" t="n"/>
      <c r="D17" s="94" t="inlineStr">
        <is>
          <t>Wagner</t>
        </is>
      </c>
      <c r="E17" s="94" t="n"/>
      <c r="F17" s="94" t="n"/>
      <c r="G17" s="94" t="n"/>
    </row>
    <row r="18">
      <c r="A18" s="103" t="inlineStr">
        <is>
          <t>Week 6</t>
        </is>
      </c>
      <c r="B18" s="103" t="inlineStr">
        <is>
          <t>Day 2</t>
        </is>
      </c>
      <c r="C18" s="91" t="n"/>
      <c r="D18" s="91" t="inlineStr">
        <is>
          <t>Wagner</t>
        </is>
      </c>
      <c r="E18" s="91" t="n"/>
      <c r="F18" s="91" t="n"/>
      <c r="G18" s="91" t="n"/>
    </row>
    <row r="19">
      <c r="A19" s="93" t="inlineStr">
        <is>
          <t>Week 7</t>
        </is>
      </c>
      <c r="B19" s="93" t="inlineStr">
        <is>
          <t>Day 1</t>
        </is>
      </c>
      <c r="C19" s="94" t="n"/>
      <c r="D19" s="94" t="inlineStr">
        <is>
          <t>Wagner</t>
        </is>
      </c>
      <c r="E19" s="94" t="n"/>
      <c r="F19" s="94" t="n"/>
      <c r="G19" s="94" t="n"/>
    </row>
    <row r="20">
      <c r="A20" s="103" t="inlineStr">
        <is>
          <t>Week 7</t>
        </is>
      </c>
      <c r="B20" s="103" t="inlineStr">
        <is>
          <t>Day 2</t>
        </is>
      </c>
      <c r="C20" s="91" t="n"/>
      <c r="D20" s="91" t="inlineStr">
        <is>
          <t>Wagner</t>
        </is>
      </c>
      <c r="E20" s="91" t="n"/>
      <c r="F20" s="91" t="n"/>
      <c r="G20" s="91" t="n"/>
    </row>
    <row r="21" ht="15.75" customHeight="1" s="111">
      <c r="A21" s="93" t="inlineStr">
        <is>
          <t>Week 8</t>
        </is>
      </c>
      <c r="B21" s="93" t="inlineStr">
        <is>
          <t>Day 1</t>
        </is>
      </c>
      <c r="C21" s="94" t="n"/>
      <c r="D21" s="94" t="inlineStr">
        <is>
          <t>Wagner</t>
        </is>
      </c>
      <c r="E21" s="94" t="n"/>
      <c r="F21" s="94" t="n"/>
      <c r="G21" s="94" t="n"/>
    </row>
    <row r="22" ht="15.75" customHeight="1" s="111">
      <c r="A22" s="103" t="inlineStr">
        <is>
          <t>Week 8</t>
        </is>
      </c>
      <c r="B22" s="103" t="inlineStr">
        <is>
          <t>Day 2</t>
        </is>
      </c>
      <c r="C22" s="91" t="n"/>
      <c r="D22" s="91" t="inlineStr">
        <is>
          <t>Wagner</t>
        </is>
      </c>
      <c r="E22" s="91" t="n"/>
      <c r="F22" s="91" t="n"/>
      <c r="G22" s="91" t="n"/>
    </row>
    <row r="23" ht="15.75" customHeight="1" s="111">
      <c r="A23" s="93" t="inlineStr">
        <is>
          <t>Week 9</t>
        </is>
      </c>
      <c r="B23" s="93" t="inlineStr">
        <is>
          <t>Day 1</t>
        </is>
      </c>
      <c r="C23" s="94" t="n"/>
      <c r="D23" s="94" t="inlineStr">
        <is>
          <t>Wagner</t>
        </is>
      </c>
      <c r="E23" s="94" t="n"/>
      <c r="F23" s="94" t="n"/>
      <c r="G23" s="94" t="n"/>
    </row>
    <row r="24" ht="15.75" customHeight="1" s="111">
      <c r="A24" s="103" t="inlineStr">
        <is>
          <t>Week 9</t>
        </is>
      </c>
      <c r="B24" s="103" t="inlineStr">
        <is>
          <t>Day 2</t>
        </is>
      </c>
      <c r="C24" s="91" t="n"/>
      <c r="D24" s="91" t="inlineStr">
        <is>
          <t>Wagner</t>
        </is>
      </c>
      <c r="E24" s="91" t="n"/>
      <c r="F24" s="91" t="n"/>
      <c r="G24" s="91" t="n"/>
    </row>
    <row r="25" ht="15.75" customHeight="1" s="111">
      <c r="A25" s="93" t="inlineStr">
        <is>
          <t>Week 10</t>
        </is>
      </c>
      <c r="B25" s="93" t="inlineStr">
        <is>
          <t>Day 1</t>
        </is>
      </c>
      <c r="C25" s="94" t="n"/>
      <c r="D25" s="94" t="inlineStr">
        <is>
          <t>Wagner</t>
        </is>
      </c>
      <c r="E25" s="95">
        <f>HYPERLINK("https://drive.google.com/file/d/1_sDBTyzdfdPa3wk1s_Xrh5Hf4mrrCF5u/view","▶  Watch")</f>
        <v/>
      </c>
      <c r="F25" s="94" t="inlineStr">
        <is>
          <t>Wagner W10D1.mp4</t>
        </is>
      </c>
      <c r="G25" s="94" t="n"/>
    </row>
    <row r="26" ht="15.75" customHeight="1" s="111">
      <c r="A26" s="103" t="inlineStr">
        <is>
          <t>Week 10</t>
        </is>
      </c>
      <c r="B26" s="103" t="inlineStr">
        <is>
          <t>Day 2</t>
        </is>
      </c>
      <c r="C26" s="91" t="n"/>
      <c r="D26" s="91" t="inlineStr">
        <is>
          <t>Wagner</t>
        </is>
      </c>
      <c r="E26" s="92">
        <f>HYPERLINK("https://drive.google.com/file/d/1s6ZSywz0_vjOUACKMdcw_g4Wj3hEc94Q/view","▶  Watch")</f>
        <v/>
      </c>
      <c r="F26" s="91" t="inlineStr">
        <is>
          <t>Wagner W10D2.mp4</t>
        </is>
      </c>
      <c r="G26" s="91" t="n"/>
    </row>
    <row r="27" ht="15.75" customHeight="1" s="111">
      <c r="A27" s="93" t="inlineStr">
        <is>
          <t>Week 11</t>
        </is>
      </c>
      <c r="B27" s="93" t="inlineStr">
        <is>
          <t>Day 1</t>
        </is>
      </c>
      <c r="C27" s="94" t="n"/>
      <c r="D27" s="94" t="inlineStr">
        <is>
          <t>Wagner</t>
        </is>
      </c>
      <c r="E27" s="95">
        <f>HYPERLINK("https://drive.google.com/file/d/1fjug2mIicHY7nX9vuO4Y1sJL1_lRp0vU/view","▶  Watch")</f>
        <v/>
      </c>
      <c r="F27" s="94" t="inlineStr">
        <is>
          <t>Wagner W11D1.mp4</t>
        </is>
      </c>
      <c r="G27" s="94" t="n"/>
    </row>
    <row r="28" ht="15.75" customHeight="1" s="111">
      <c r="A28" s="103" t="inlineStr">
        <is>
          <t>Week 11</t>
        </is>
      </c>
      <c r="B28" s="103" t="inlineStr">
        <is>
          <t>Day 2</t>
        </is>
      </c>
      <c r="C28" s="91" t="n"/>
      <c r="D28" s="91" t="inlineStr">
        <is>
          <t>Wagner</t>
        </is>
      </c>
      <c r="E28" s="92">
        <f>HYPERLINK("https://drive.google.com/file/d/1Dfopme6sdvh-T26mYeXd_D3Abt-nrRcf/view","▶  Watch")</f>
        <v/>
      </c>
      <c r="F28" s="91" t="inlineStr">
        <is>
          <t>Wagner W11D2.mp4</t>
        </is>
      </c>
      <c r="G28" s="91" t="n"/>
    </row>
    <row r="29" ht="15.75" customHeight="1" s="111">
      <c r="A29" s="93" t="inlineStr">
        <is>
          <t>Week 12</t>
        </is>
      </c>
      <c r="B29" s="93" t="inlineStr">
        <is>
          <t>Day 1</t>
        </is>
      </c>
      <c r="C29" s="94" t="n"/>
      <c r="D29" s="94" t="inlineStr">
        <is>
          <t>Wagner</t>
        </is>
      </c>
      <c r="E29" s="95">
        <f>HYPERLINK("https://drive.google.com/file/d/1Na6pkJCCJvGzyCzAf03J8VeyVS63iLjw/view","▶  Watch")</f>
        <v/>
      </c>
      <c r="F29" s="94" t="inlineStr">
        <is>
          <t>Wagner W12D1.mp4</t>
        </is>
      </c>
      <c r="G29" s="94" t="n"/>
    </row>
    <row r="30" ht="15.75" customHeight="1" s="111">
      <c r="A30" s="103" t="inlineStr">
        <is>
          <t>Week 12</t>
        </is>
      </c>
      <c r="B30" s="103" t="inlineStr">
        <is>
          <t>Day 2</t>
        </is>
      </c>
      <c r="C30" s="91" t="n"/>
      <c r="D30" s="91" t="inlineStr">
        <is>
          <t>Wagner</t>
        </is>
      </c>
      <c r="E30" s="92">
        <f>HYPERLINK("https://drive.google.com/file/d/1KBCU-z_KkCcozDXbb-XtF4WS_ZRze-jt/view","▶  Watch")</f>
        <v/>
      </c>
      <c r="F30" s="91" t="inlineStr">
        <is>
          <t>Wagner W12D2.mp4</t>
        </is>
      </c>
      <c r="G30" s="91" t="n"/>
    </row>
    <row r="31" ht="15.75" customHeight="1" s="111">
      <c r="A31" s="93" t="inlineStr">
        <is>
          <t>Week 13</t>
        </is>
      </c>
      <c r="B31" s="93" t="inlineStr">
        <is>
          <t>Day 1</t>
        </is>
      </c>
      <c r="C31" s="94" t="n"/>
      <c r="D31" s="94" t="inlineStr">
        <is>
          <t>Wagner</t>
        </is>
      </c>
      <c r="E31" s="95">
        <f>HYPERLINK("https://drive.google.com/file/d/14okttGuurXwz3vU_Fr1oJ4P3XIE7qR_x/view","▶  Watch")</f>
        <v/>
      </c>
      <c r="F31" s="94" t="inlineStr">
        <is>
          <t>Wagner W13D1.mp4</t>
        </is>
      </c>
      <c r="G31" s="94" t="n"/>
    </row>
    <row r="32" ht="15.75" customHeight="1" s="111">
      <c r="A32" s="103" t="inlineStr">
        <is>
          <t>Week 13</t>
        </is>
      </c>
      <c r="B32" s="103" t="inlineStr">
        <is>
          <t>Day 2</t>
        </is>
      </c>
      <c r="C32" s="91" t="n"/>
      <c r="D32" s="91" t="inlineStr">
        <is>
          <t>Wagner</t>
        </is>
      </c>
      <c r="E32" s="92">
        <f>HYPERLINK("https://drive.google.com/file/d/17j2Fm5hSFing77SVbMQwGi4sYuuIxyZ6/view","▶  Watch")</f>
        <v/>
      </c>
      <c r="F32" s="91" t="inlineStr">
        <is>
          <t>Wagner W13D2.mp4</t>
        </is>
      </c>
      <c r="G32" s="91" t="n"/>
    </row>
    <row r="33" ht="15.75" customHeight="1" s="111">
      <c r="A33" s="93" t="inlineStr">
        <is>
          <t>Week 14</t>
        </is>
      </c>
      <c r="B33" s="93" t="inlineStr">
        <is>
          <t>Day 1</t>
        </is>
      </c>
      <c r="C33" s="94" t="n"/>
      <c r="D33" s="94" t="inlineStr">
        <is>
          <t>Wagner</t>
        </is>
      </c>
      <c r="E33" s="95">
        <f>HYPERLINK("https://drive.google.com/file/d/1XXi5LxISHmt44ffQ_5sOb-2LqquKsDQJ/view","▶  Watch")</f>
        <v/>
      </c>
      <c r="F33" s="94" t="inlineStr">
        <is>
          <t>Wagner W14D1.mp4</t>
        </is>
      </c>
      <c r="G33" s="94" t="n"/>
    </row>
    <row r="34" ht="15.75" customHeight="1" s="111">
      <c r="A34" s="103" t="inlineStr">
        <is>
          <t>Week 14</t>
        </is>
      </c>
      <c r="B34" s="103" t="inlineStr">
        <is>
          <t>Day 2</t>
        </is>
      </c>
      <c r="C34" s="91" t="n"/>
      <c r="D34" s="91" t="inlineStr">
        <is>
          <t>Wagner</t>
        </is>
      </c>
      <c r="E34" s="92">
        <f>HYPERLINK("https://drive.google.com/file/d/1W6BH-fS4Qj_O922nNOnHjm8NPBNi_rvR/view","▶  Watch")</f>
        <v/>
      </c>
      <c r="F34" s="91" t="inlineStr">
        <is>
          <t>Wagner W14D2.mp4</t>
        </is>
      </c>
      <c r="G34" s="91" t="n"/>
    </row>
    <row r="35" ht="15.75" customHeight="1" s="111">
      <c r="A35" s="96" t="n"/>
      <c r="B35" s="96" t="n"/>
      <c r="C35" s="96" t="n"/>
      <c r="D35" s="96" t="n"/>
      <c r="E35" s="96" t="n"/>
      <c r="F35" s="96" t="n"/>
      <c r="G35" s="96"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4.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Simmons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88"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Orientation</t>
        </is>
      </c>
      <c r="C6" s="91" t="inlineStr">
        <is>
          <t>Fall 2026</t>
        </is>
      </c>
      <c r="D6" s="91" t="inlineStr">
        <is>
          <t>Simmons</t>
        </is>
      </c>
      <c r="E6" s="92">
        <f>HYPERLINK("https://drive.google.com/file/d/1vELNw9yEfC3KyPu3v5p8IQWKlkErLRjO/view","▶  Watch")</f>
        <v/>
      </c>
      <c r="F6" s="91" t="inlineStr">
        <is>
          <t>Nur258_Simmons_Wk01_Day1_Orientation.mp4</t>
        </is>
      </c>
      <c r="G6" s="91" t="inlineStr">
        <is>
          <t>Course orientation, first meeting</t>
        </is>
      </c>
    </row>
    <row r="7">
      <c r="A7" s="93" t="inlineStr">
        <is>
          <t>Week 1</t>
        </is>
      </c>
      <c r="B7" s="93" t="inlineStr">
        <is>
          <t>Day 1</t>
        </is>
      </c>
      <c r="C7" s="94" t="inlineStr">
        <is>
          <t>Fall 2026</t>
        </is>
      </c>
      <c r="D7" s="94" t="inlineStr">
        <is>
          <t>Simmons</t>
        </is>
      </c>
      <c r="E7" s="95">
        <f>HYPERLINK("https://drive.google.com/file/d/1l4lkSJ2F1akNyjw44c7mO5-SeA8a7VU8/view","▶  Watch")</f>
        <v/>
      </c>
      <c r="F7" s="94" t="inlineStr">
        <is>
          <t>Nur 258_Simmons_Wk 1.mp4</t>
        </is>
      </c>
      <c r="G7" s="94" t="inlineStr">
        <is>
          <t>Sensory disorders: eye and ear</t>
        </is>
      </c>
    </row>
    <row r="8">
      <c r="A8" s="103" t="inlineStr">
        <is>
          <t>Week 1</t>
        </is>
      </c>
      <c r="B8" s="103" t="inlineStr">
        <is>
          <t>Day 2</t>
        </is>
      </c>
      <c r="C8" s="91" t="inlineStr">
        <is>
          <t>Fall 2026</t>
        </is>
      </c>
      <c r="D8" s="91" t="inlineStr">
        <is>
          <t>Simmons</t>
        </is>
      </c>
      <c r="E8" s="92">
        <f>HYPERLINK("https://drive.google.com/file/d/1nibIelmSIxz4_UZkHdUR20OvMw1yUUWx/view","▶  Watch")</f>
        <v/>
      </c>
      <c r="F8" s="91" t="inlineStr">
        <is>
          <t>Nur 258 Simmons Wk 1 D 2.mp4</t>
        </is>
      </c>
      <c r="G8" s="91" t="inlineStr">
        <is>
          <t>Sensory disorders: eye and ear</t>
        </is>
      </c>
    </row>
    <row r="9">
      <c r="A9" s="93" t="inlineStr">
        <is>
          <t>Week 1</t>
        </is>
      </c>
      <c r="B9" s="93" t="inlineStr">
        <is>
          <t>Day 3</t>
        </is>
      </c>
      <c r="C9" s="94" t="inlineStr">
        <is>
          <t>Fall 2026</t>
        </is>
      </c>
      <c r="D9" s="94" t="inlineStr">
        <is>
          <t>Simmons</t>
        </is>
      </c>
      <c r="E9" s="95">
        <f>HYPERLINK("https://drive.google.com/file/d/1l_giGND--xWFLRqBk6zLGcL0eMAXcHX-/view","▶  Watch")</f>
        <v/>
      </c>
      <c r="F9" s="94" t="inlineStr">
        <is>
          <t>Sun 7 Sep 7-57 PM - Sensory eye and ear, burns, HIV, sepsis, diabetes overview.mp4</t>
        </is>
      </c>
      <c r="G9" s="99" t="inlineStr">
        <is>
          <t>Screen recording, Sun 7 Sep 7:57 PM. Caroline confirmed this one is Simmons. Filed as Week 1 Day 3 - move the row if it belongs to another day</t>
        </is>
      </c>
    </row>
    <row r="10">
      <c r="A10" s="103" t="inlineStr">
        <is>
          <t>Week 2</t>
        </is>
      </c>
      <c r="B10" s="103" t="inlineStr">
        <is>
          <t>Day 1</t>
        </is>
      </c>
      <c r="C10" s="91" t="inlineStr">
        <is>
          <t>Fall 2026</t>
        </is>
      </c>
      <c r="D10" s="91" t="inlineStr">
        <is>
          <t>Simmons</t>
        </is>
      </c>
      <c r="E10" s="100" t="n"/>
      <c r="F10" s="91" t="n"/>
      <c r="G10" s="91" t="n"/>
    </row>
    <row r="11">
      <c r="A11" s="93" t="inlineStr">
        <is>
          <t>Week 2</t>
        </is>
      </c>
      <c r="B11" s="93" t="inlineStr">
        <is>
          <t>Day 2</t>
        </is>
      </c>
      <c r="C11" s="94" t="inlineStr">
        <is>
          <t>Fall 2026</t>
        </is>
      </c>
      <c r="D11" s="94" t="inlineStr">
        <is>
          <t>Simmons</t>
        </is>
      </c>
      <c r="E11" s="101" t="n"/>
      <c r="F11" s="94" t="n"/>
      <c r="G11" s="94" t="n"/>
    </row>
    <row r="12">
      <c r="A12" s="103" t="inlineStr">
        <is>
          <t>Week 3</t>
        </is>
      </c>
      <c r="B12" s="103" t="inlineStr">
        <is>
          <t>Day 1</t>
        </is>
      </c>
      <c r="C12" s="91" t="inlineStr">
        <is>
          <t>Fall 2026</t>
        </is>
      </c>
      <c r="D12" s="91" t="inlineStr">
        <is>
          <t>Simmons</t>
        </is>
      </c>
      <c r="E12" s="100" t="n"/>
      <c r="F12" s="91" t="n"/>
      <c r="G12" s="91" t="n"/>
    </row>
    <row r="13">
      <c r="A13" s="93" t="inlineStr">
        <is>
          <t>Week 3</t>
        </is>
      </c>
      <c r="B13" s="93" t="inlineStr">
        <is>
          <t>Day 2</t>
        </is>
      </c>
      <c r="C13" s="94" t="inlineStr">
        <is>
          <t>Fall 2026</t>
        </is>
      </c>
      <c r="D13" s="94" t="inlineStr">
        <is>
          <t>Simmons</t>
        </is>
      </c>
      <c r="E13" s="101" t="n"/>
      <c r="F13" s="94" t="n"/>
      <c r="G13" s="94" t="n"/>
    </row>
    <row r="14">
      <c r="A14" s="103" t="inlineStr">
        <is>
          <t>Week 4</t>
        </is>
      </c>
      <c r="B14" s="103" t="inlineStr">
        <is>
          <t>Day 1</t>
        </is>
      </c>
      <c r="C14" s="91" t="inlineStr">
        <is>
          <t>Fall 2026</t>
        </is>
      </c>
      <c r="D14" s="91" t="inlineStr">
        <is>
          <t>Simmons</t>
        </is>
      </c>
      <c r="E14" s="100" t="n"/>
      <c r="F14" s="91" t="n"/>
      <c r="G14" s="91" t="n"/>
    </row>
    <row r="15">
      <c r="A15" s="93" t="inlineStr">
        <is>
          <t>Week 4</t>
        </is>
      </c>
      <c r="B15" s="93" t="inlineStr">
        <is>
          <t>Day 2</t>
        </is>
      </c>
      <c r="C15" s="94" t="inlineStr">
        <is>
          <t>Fall 2026</t>
        </is>
      </c>
      <c r="D15" s="94" t="inlineStr">
        <is>
          <t>Simmons</t>
        </is>
      </c>
      <c r="E15" s="101" t="n"/>
      <c r="F15" s="94" t="n"/>
      <c r="G15" s="94" t="n"/>
    </row>
    <row r="16">
      <c r="A16" s="103" t="inlineStr">
        <is>
          <t>Week 5</t>
        </is>
      </c>
      <c r="B16" s="103" t="inlineStr">
        <is>
          <t>Day 1</t>
        </is>
      </c>
      <c r="C16" s="91" t="inlineStr">
        <is>
          <t>Fall 2026</t>
        </is>
      </c>
      <c r="D16" s="91" t="inlineStr">
        <is>
          <t>Simmons</t>
        </is>
      </c>
      <c r="E16" s="100" t="n"/>
      <c r="F16" s="91" t="n"/>
      <c r="G16" s="91" t="n"/>
    </row>
    <row r="17">
      <c r="A17" s="93" t="inlineStr">
        <is>
          <t>Week 5</t>
        </is>
      </c>
      <c r="B17" s="93" t="inlineStr">
        <is>
          <t>Day 2</t>
        </is>
      </c>
      <c r="C17" s="94" t="inlineStr">
        <is>
          <t>Fall 2026</t>
        </is>
      </c>
      <c r="D17" s="94" t="inlineStr">
        <is>
          <t>Simmons</t>
        </is>
      </c>
      <c r="E17" s="101" t="n"/>
      <c r="F17" s="94" t="n"/>
      <c r="G17" s="94" t="n"/>
    </row>
    <row r="18">
      <c r="A18" s="103" t="inlineStr">
        <is>
          <t>Week 6</t>
        </is>
      </c>
      <c r="B18" s="103" t="inlineStr">
        <is>
          <t>Day 1</t>
        </is>
      </c>
      <c r="C18" s="91" t="inlineStr">
        <is>
          <t>Fall 2026</t>
        </is>
      </c>
      <c r="D18" s="91" t="inlineStr">
        <is>
          <t>Simmons</t>
        </is>
      </c>
      <c r="E18" s="100" t="n"/>
      <c r="F18" s="91" t="n"/>
      <c r="G18" s="91" t="n"/>
    </row>
    <row r="19">
      <c r="A19" s="93" t="inlineStr">
        <is>
          <t>Week 6</t>
        </is>
      </c>
      <c r="B19" s="93" t="inlineStr">
        <is>
          <t>Day 2</t>
        </is>
      </c>
      <c r="C19" s="94" t="inlineStr">
        <is>
          <t>Fall 2026</t>
        </is>
      </c>
      <c r="D19" s="94" t="inlineStr">
        <is>
          <t>Simmons</t>
        </is>
      </c>
      <c r="E19" s="101" t="n"/>
      <c r="F19" s="94" t="n"/>
      <c r="G19" s="94" t="n"/>
    </row>
    <row r="20">
      <c r="A20" s="103" t="inlineStr">
        <is>
          <t>Week 7</t>
        </is>
      </c>
      <c r="B20" s="103" t="inlineStr">
        <is>
          <t>Day 1</t>
        </is>
      </c>
      <c r="C20" s="91" t="inlineStr">
        <is>
          <t>Fall 2026</t>
        </is>
      </c>
      <c r="D20" s="91" t="inlineStr">
        <is>
          <t>Simmons</t>
        </is>
      </c>
      <c r="E20" s="100" t="n"/>
      <c r="F20" s="91" t="n"/>
      <c r="G20" s="91" t="n"/>
    </row>
    <row r="21" ht="15.75" customHeight="1" s="111">
      <c r="A21" s="93" t="inlineStr">
        <is>
          <t>Week 7</t>
        </is>
      </c>
      <c r="B21" s="93" t="inlineStr">
        <is>
          <t>Day 2</t>
        </is>
      </c>
      <c r="C21" s="94" t="inlineStr">
        <is>
          <t>Fall 2026</t>
        </is>
      </c>
      <c r="D21" s="94" t="inlineStr">
        <is>
          <t>Simmons</t>
        </is>
      </c>
      <c r="E21" s="101" t="n"/>
      <c r="F21" s="94" t="n"/>
      <c r="G21" s="94" t="n"/>
    </row>
    <row r="22" ht="15.75" customHeight="1" s="111">
      <c r="A22" s="103" t="inlineStr">
        <is>
          <t>Week 8</t>
        </is>
      </c>
      <c r="B22" s="103" t="inlineStr">
        <is>
          <t>Day 1</t>
        </is>
      </c>
      <c r="C22" s="91" t="inlineStr">
        <is>
          <t>Fall 2026</t>
        </is>
      </c>
      <c r="D22" s="91" t="inlineStr">
        <is>
          <t>Simmons</t>
        </is>
      </c>
      <c r="E22" s="100" t="n"/>
      <c r="F22" s="91" t="n"/>
      <c r="G22" s="91" t="n"/>
    </row>
    <row r="23" ht="15.75" customHeight="1" s="111">
      <c r="A23" s="93" t="inlineStr">
        <is>
          <t>Week 8</t>
        </is>
      </c>
      <c r="B23" s="93" t="inlineStr">
        <is>
          <t>Day 2</t>
        </is>
      </c>
      <c r="C23" s="94" t="inlineStr">
        <is>
          <t>Fall 2026</t>
        </is>
      </c>
      <c r="D23" s="94" t="inlineStr">
        <is>
          <t>Simmons</t>
        </is>
      </c>
      <c r="E23" s="101" t="n"/>
      <c r="F23" s="94" t="n"/>
      <c r="G23" s="94" t="n"/>
    </row>
    <row r="24" ht="15.75" customHeight="1" s="111">
      <c r="A24" s="103" t="inlineStr">
        <is>
          <t>Week 9</t>
        </is>
      </c>
      <c r="B24" s="103" t="inlineStr">
        <is>
          <t>Day 1</t>
        </is>
      </c>
      <c r="C24" s="91" t="inlineStr">
        <is>
          <t>Fall 2026</t>
        </is>
      </c>
      <c r="D24" s="91" t="inlineStr">
        <is>
          <t>Simmons</t>
        </is>
      </c>
      <c r="E24" s="100" t="n"/>
      <c r="F24" s="91" t="n"/>
      <c r="G24" s="91" t="n"/>
    </row>
    <row r="25" ht="15.75" customHeight="1" s="111">
      <c r="A25" s="93" t="inlineStr">
        <is>
          <t>Week 9</t>
        </is>
      </c>
      <c r="B25" s="93" t="inlineStr">
        <is>
          <t>Day 2</t>
        </is>
      </c>
      <c r="C25" s="94" t="inlineStr">
        <is>
          <t>Fall 2026</t>
        </is>
      </c>
      <c r="D25" s="94" t="inlineStr">
        <is>
          <t>Simmons</t>
        </is>
      </c>
      <c r="E25" s="101" t="n"/>
      <c r="F25" s="94" t="n"/>
      <c r="G25" s="94" t="n"/>
    </row>
    <row r="26" ht="15.75" customHeight="1" s="111">
      <c r="A26" s="103" t="inlineStr">
        <is>
          <t>Week 10</t>
        </is>
      </c>
      <c r="B26" s="103" t="inlineStr">
        <is>
          <t>Day 1</t>
        </is>
      </c>
      <c r="C26" s="91" t="inlineStr">
        <is>
          <t>Fall 2026</t>
        </is>
      </c>
      <c r="D26" s="91" t="inlineStr">
        <is>
          <t>Simmons</t>
        </is>
      </c>
      <c r="E26" s="100" t="n"/>
      <c r="F26" s="91" t="n"/>
      <c r="G26" s="91" t="n"/>
    </row>
    <row r="27" ht="15.75" customHeight="1" s="111">
      <c r="A27" s="93" t="inlineStr">
        <is>
          <t>Week 10</t>
        </is>
      </c>
      <c r="B27" s="93" t="inlineStr">
        <is>
          <t>Day 2</t>
        </is>
      </c>
      <c r="C27" s="94" t="inlineStr">
        <is>
          <t>Fall 2026</t>
        </is>
      </c>
      <c r="D27" s="94" t="inlineStr">
        <is>
          <t>Simmons</t>
        </is>
      </c>
      <c r="E27" s="101" t="n"/>
      <c r="F27" s="94" t="n"/>
      <c r="G27" s="94" t="n"/>
    </row>
    <row r="28" ht="15.75" customHeight="1" s="111">
      <c r="A28" s="103" t="inlineStr">
        <is>
          <t>Week 11</t>
        </is>
      </c>
      <c r="B28" s="103" t="inlineStr">
        <is>
          <t>Day 1</t>
        </is>
      </c>
      <c r="C28" s="91" t="inlineStr">
        <is>
          <t>Fall 2026</t>
        </is>
      </c>
      <c r="D28" s="91" t="inlineStr">
        <is>
          <t>Simmons</t>
        </is>
      </c>
      <c r="E28" s="100" t="n"/>
      <c r="F28" s="91" t="n"/>
      <c r="G28" s="91" t="n"/>
    </row>
    <row r="29" ht="15.75" customHeight="1" s="111">
      <c r="A29" s="93" t="inlineStr">
        <is>
          <t>Week 11</t>
        </is>
      </c>
      <c r="B29" s="93" t="inlineStr">
        <is>
          <t>Day 2</t>
        </is>
      </c>
      <c r="C29" s="94" t="inlineStr">
        <is>
          <t>Fall 2026</t>
        </is>
      </c>
      <c r="D29" s="94" t="inlineStr">
        <is>
          <t>Simmons</t>
        </is>
      </c>
      <c r="E29" s="101" t="n"/>
      <c r="F29" s="94" t="n"/>
      <c r="G29" s="94" t="n"/>
    </row>
    <row r="30" ht="15.75" customHeight="1" s="111">
      <c r="A30" s="103" t="inlineStr">
        <is>
          <t>Week 12</t>
        </is>
      </c>
      <c r="B30" s="103" t="inlineStr">
        <is>
          <t>Day 1</t>
        </is>
      </c>
      <c r="C30" s="91" t="inlineStr">
        <is>
          <t>Fall 2026</t>
        </is>
      </c>
      <c r="D30" s="91" t="inlineStr">
        <is>
          <t>Simmons</t>
        </is>
      </c>
      <c r="E30" s="100" t="n"/>
      <c r="F30" s="91" t="n"/>
      <c r="G30" s="91" t="n"/>
    </row>
    <row r="31" ht="15.75" customHeight="1" s="111">
      <c r="A31" s="93" t="inlineStr">
        <is>
          <t>Week 12</t>
        </is>
      </c>
      <c r="B31" s="93" t="inlineStr">
        <is>
          <t>Day 2</t>
        </is>
      </c>
      <c r="C31" s="94" t="inlineStr">
        <is>
          <t>Fall 2026</t>
        </is>
      </c>
      <c r="D31" s="94" t="inlineStr">
        <is>
          <t>Simmons</t>
        </is>
      </c>
      <c r="E31" s="101" t="n"/>
      <c r="F31" s="94" t="n"/>
      <c r="G31" s="94" t="n"/>
    </row>
    <row r="32" ht="15.75" customHeight="1" s="111">
      <c r="A32" s="103" t="inlineStr">
        <is>
          <t>Week 13</t>
        </is>
      </c>
      <c r="B32" s="103" t="inlineStr">
        <is>
          <t>Day 1</t>
        </is>
      </c>
      <c r="C32" s="91" t="inlineStr">
        <is>
          <t>Fall 2026</t>
        </is>
      </c>
      <c r="D32" s="91" t="inlineStr">
        <is>
          <t>Simmons</t>
        </is>
      </c>
      <c r="E32" s="100" t="n"/>
      <c r="F32" s="91" t="n"/>
      <c r="G32" s="91" t="n"/>
    </row>
    <row r="33" ht="15.75" customHeight="1" s="111">
      <c r="A33" s="93" t="inlineStr">
        <is>
          <t>Week 13</t>
        </is>
      </c>
      <c r="B33" s="93" t="inlineStr">
        <is>
          <t>Day 2</t>
        </is>
      </c>
      <c r="C33" s="94" t="inlineStr">
        <is>
          <t>Fall 2026</t>
        </is>
      </c>
      <c r="D33" s="94" t="inlineStr">
        <is>
          <t>Simmons</t>
        </is>
      </c>
      <c r="E33" s="101" t="n"/>
      <c r="F33" s="94" t="n"/>
      <c r="G33" s="94" t="n"/>
    </row>
    <row r="34" ht="15.75" customHeight="1" s="111">
      <c r="A34" s="103" t="inlineStr">
        <is>
          <t>Week 14</t>
        </is>
      </c>
      <c r="B34" s="103" t="inlineStr">
        <is>
          <t>Day 1</t>
        </is>
      </c>
      <c r="C34" s="91" t="inlineStr">
        <is>
          <t>Fall 2026</t>
        </is>
      </c>
      <c r="D34" s="91" t="inlineStr">
        <is>
          <t>Simmons</t>
        </is>
      </c>
      <c r="E34" s="100" t="n"/>
      <c r="F34" s="91" t="n"/>
      <c r="G34" s="91" t="n"/>
    </row>
    <row r="35" ht="15.75" customHeight="1" s="111">
      <c r="A35" s="93" t="inlineStr">
        <is>
          <t>Week 14</t>
        </is>
      </c>
      <c r="B35" s="93" t="inlineStr">
        <is>
          <t>Day 2</t>
        </is>
      </c>
      <c r="C35" s="94" t="inlineStr">
        <is>
          <t>Fall 2026</t>
        </is>
      </c>
      <c r="D35" s="94" t="inlineStr">
        <is>
          <t>Simmons</t>
        </is>
      </c>
      <c r="E35" s="101" t="n"/>
      <c r="F35" s="94" t="n"/>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5.xml><?xml version="1.0" encoding="utf-8"?>
<worksheet xmlns="http://schemas.openxmlformats.org/spreadsheetml/2006/main">
  <sheetPr>
    <tabColor rgb="FF4B1F47"/>
    <outlinePr summaryBelow="1" summaryRight="1"/>
    <pageSetUpPr/>
  </sheetPr>
  <dimension ref="A1:H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5.43" customWidth="1" style="111" min="3" max="3"/>
    <col width="16" customWidth="1" style="111" min="4" max="4"/>
    <col width="18" customWidth="1" style="111" min="5" max="5"/>
    <col width="59.29" customWidth="1" style="111" min="6" max="6"/>
    <col width="44" customWidth="1" style="111" min="7" max="7"/>
  </cols>
  <sheetData>
    <row r="1">
      <c r="A1" s="97" t="inlineStr">
        <is>
          <t>NUR258  ·  LSC Exam Reviews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22" t="inlineStr">
        <is>
          <t>Simmons</t>
        </is>
      </c>
      <c r="D3" s="98" t="inlineStr">
        <is>
          <t>Exams</t>
        </is>
      </c>
      <c r="E3" s="27" t="n"/>
      <c r="F3" s="17" t="n"/>
      <c r="G3" s="17" t="n"/>
    </row>
    <row r="4">
      <c r="A4" s="17" t="n"/>
      <c r="B4" s="17" t="n"/>
      <c r="C4" s="17" t="n"/>
      <c r="D4" s="17" t="n"/>
      <c r="E4" s="17" t="n"/>
      <c r="F4" s="17" t="n"/>
      <c r="G4" s="17" t="n"/>
    </row>
    <row r="5">
      <c r="A5" s="89" t="inlineStr">
        <is>
          <t>Exam</t>
        </is>
      </c>
      <c r="B5" s="89" t="inlineStr">
        <is>
          <t>Date</t>
        </is>
      </c>
      <c r="C5" s="89" t="inlineStr">
        <is>
          <t>Item</t>
        </is>
      </c>
      <c r="D5" s="89" t="inlineStr">
        <is>
          <t>Lecturer</t>
        </is>
      </c>
      <c r="E5" s="89" t="inlineStr">
        <is>
          <t>Type</t>
        </is>
      </c>
      <c r="F5" s="89" t="inlineStr">
        <is>
          <t>Link</t>
        </is>
      </c>
      <c r="G5" s="89" t="inlineStr">
        <is>
          <t>Notes</t>
        </is>
      </c>
    </row>
    <row r="6">
      <c r="A6" s="103" t="inlineStr">
        <is>
          <t>Exam 1</t>
        </is>
      </c>
      <c r="B6" s="91" t="inlineStr">
        <is>
          <t>Fall 2026</t>
        </is>
      </c>
      <c r="C6" s="91" t="inlineStr">
        <is>
          <t>Exam Review Session Module 1 - Sensory Perception</t>
        </is>
      </c>
      <c r="D6" s="91" t="n"/>
      <c r="E6" s="91" t="inlineStr">
        <is>
          <t>Video</t>
        </is>
      </c>
      <c r="F6" s="92">
        <f>HYPERLINK("https://drive.google.com/file/d/1n_MoNcyp3z65eFCtCR4f7dp8nTgy7sBS/view","🔗  Open")</f>
        <v/>
      </c>
      <c r="G6" s="91" t="inlineStr">
        <is>
          <t>Exam prep session recording</t>
        </is>
      </c>
    </row>
    <row r="7">
      <c r="A7" s="93" t="inlineStr">
        <is>
          <t>Exam 1</t>
        </is>
      </c>
      <c r="B7" s="94" t="inlineStr">
        <is>
          <t>Fall 2026</t>
        </is>
      </c>
      <c r="C7" s="94" t="inlineStr">
        <is>
          <t>Exam 1 Lecture - Chronic Illness and Disability</t>
        </is>
      </c>
      <c r="D7" s="94" t="n"/>
      <c r="E7" s="94" t="inlineStr">
        <is>
          <t>Video</t>
        </is>
      </c>
      <c r="F7" s="95">
        <f>HYPERLINK("https://drive.google.com/file/d/1ZrWFZmG2OfhegGjI35YY85MHppUuee6l/view","🔗  Open")</f>
        <v/>
      </c>
      <c r="G7" s="94" t="inlineStr">
        <is>
          <t>From the Exam Prep &gt; FINAL Exam &gt; Lecture Review Videos folder</t>
        </is>
      </c>
    </row>
    <row r="8">
      <c r="A8" s="93" t="inlineStr">
        <is>
          <t>Exam 1</t>
        </is>
      </c>
      <c r="B8" s="91" t="inlineStr">
        <is>
          <t>Fall 2026</t>
        </is>
      </c>
      <c r="C8" s="91" t="inlineStr">
        <is>
          <t>Module 1 - Exam Review Session, Sensory Issues</t>
        </is>
      </c>
      <c r="D8" s="91" t="n"/>
      <c r="E8" s="91" t="inlineStr">
        <is>
          <t>LSC exam prep</t>
        </is>
      </c>
      <c r="F8" s="92">
        <f>HYPERLINK("https://drive.google.com/file/d/1NIAwYKi0eS0TO-BnVf74OLGxlZGUNfQ1/view","Module 1 - Exam Review Session, Sensory Issues")</f>
        <v/>
      </c>
      <c r="G8" s="91" t="n"/>
      <c r="H8" s="102" t="inlineStr">
        <is>
          <t>LSC exam prep</t>
        </is>
      </c>
    </row>
    <row r="9">
      <c r="A9" s="93" t="inlineStr">
        <is>
          <t>Exam 1</t>
        </is>
      </c>
      <c r="B9" s="94" t="inlineStr">
        <is>
          <t>Fall 2026</t>
        </is>
      </c>
      <c r="C9" s="94" t="inlineStr">
        <is>
          <t>Module 2 - Infectious Diseases</t>
        </is>
      </c>
      <c r="D9" s="94" t="n"/>
      <c r="E9" s="94" t="inlineStr">
        <is>
          <t>LSC exam prep</t>
        </is>
      </c>
      <c r="F9" s="95">
        <f>HYPERLINK("https://drive.google.com/file/d/1n2XHRXYmR6U1Zw6QPjJDQ65461PQc1Yf/view","Module 2 - Infectious Diseases")</f>
        <v/>
      </c>
      <c r="G9" s="94" t="n"/>
      <c r="H9" s="102" t="inlineStr">
        <is>
          <t>LSC exam prep, 59:14</t>
        </is>
      </c>
    </row>
    <row r="10">
      <c r="A10" s="93" t="inlineStr">
        <is>
          <t>Exam 1</t>
        </is>
      </c>
      <c r="B10" s="91" t="inlineStr">
        <is>
          <t>Fall 2026</t>
        </is>
      </c>
      <c r="C10" s="91" t="inlineStr">
        <is>
          <t>Module 3 - Inflammatory Disorders</t>
        </is>
      </c>
      <c r="D10" s="91" t="n"/>
      <c r="E10" s="91" t="inlineStr">
        <is>
          <t>LSC exam prep</t>
        </is>
      </c>
      <c r="F10" s="92">
        <f>HYPERLINK("https://drive.google.com/file/d/18QxQvERtngH_lYv0-BF6NDMYxDj3G_wq/view","Module 3 - Inflammatory Disorders")</f>
        <v/>
      </c>
      <c r="G10" s="91" t="n"/>
      <c r="H10" s="102" t="inlineStr">
        <is>
          <t>LSC exam prep, 34:49</t>
        </is>
      </c>
    </row>
    <row r="11">
      <c r="A11" s="93" t="inlineStr">
        <is>
          <t>Exam 1</t>
        </is>
      </c>
      <c r="B11" s="94" t="inlineStr">
        <is>
          <t>Fall 2026</t>
        </is>
      </c>
      <c r="C11" s="94" t="inlineStr">
        <is>
          <t>Module 3 - Immunologic Disorders (RA, SLE, fibromyalgia)</t>
        </is>
      </c>
      <c r="D11" s="94" t="n"/>
      <c r="E11" s="94" t="inlineStr">
        <is>
          <t>LSC exam prep</t>
        </is>
      </c>
      <c r="F11" s="95">
        <f>HYPERLINK("https://drive.google.com/file/d/18EXHL_6NcAl0aqRLyU26K_urJSLIeQE9/view","Module 3 - Immunologic Disorders (RA, SLE, fibromyalgia)")</f>
        <v/>
      </c>
      <c r="G11" s="94" t="n"/>
      <c r="H11" s="102" t="inlineStr">
        <is>
          <t>LSC exam prep, 12:25. This is the one whose upload failed first time</t>
        </is>
      </c>
    </row>
    <row r="12">
      <c r="A12" s="103" t="inlineStr">
        <is>
          <t>Exam 2</t>
        </is>
      </c>
      <c r="B12" s="91" t="inlineStr">
        <is>
          <t>Fall 2026</t>
        </is>
      </c>
      <c r="C12" s="91" t="inlineStr">
        <is>
          <t>Module 4 - Burns</t>
        </is>
      </c>
      <c r="D12" s="91" t="n"/>
      <c r="E12" s="91" t="inlineStr">
        <is>
          <t>LSC exam prep</t>
        </is>
      </c>
      <c r="F12" s="104">
        <f>HYPERLINK("https://drive.google.com/file/d/1WZx7Rxzq6B3C-ZWqFQrx5YWyim_R72Qg/view","Module 4 - Burns")</f>
        <v/>
      </c>
      <c r="G12" s="91" t="n"/>
      <c r="H12" s="102" t="inlineStr">
        <is>
          <t>LSC exam prep</t>
        </is>
      </c>
    </row>
    <row r="13">
      <c r="A13" s="103" t="inlineStr">
        <is>
          <t>Exam 2</t>
        </is>
      </c>
      <c r="B13" s="91" t="inlineStr">
        <is>
          <t>Fall 2026</t>
        </is>
      </c>
      <c r="C13" s="91" t="inlineStr">
        <is>
          <t>Module 5 - Endocrine I</t>
        </is>
      </c>
      <c r="D13" s="91" t="n"/>
      <c r="E13" s="91" t="inlineStr">
        <is>
          <t>LSC exam prep</t>
        </is>
      </c>
      <c r="F13" s="104">
        <f>HYPERLINK("https://drive.google.com/file/d/1mjfspWMOiZAzGk5-bumBiaGCLj95N87j/view","Module 5 - Endocrine I")</f>
        <v/>
      </c>
      <c r="G13" s="91" t="inlineStr">
        <is>
          <t>NUR258_Fall2026_LSC_Wk05_DayNA_Endocrine I.mp4</t>
        </is>
      </c>
      <c r="H13" s="102" t="inlineStr">
        <is>
          <t>LSC exam prep</t>
        </is>
      </c>
    </row>
    <row r="14">
      <c r="A14" s="103" t="inlineStr">
        <is>
          <t>Exam 3</t>
        </is>
      </c>
      <c r="B14" s="91" t="inlineStr">
        <is>
          <t>Fall 2026</t>
        </is>
      </c>
      <c r="C14" s="91" t="inlineStr">
        <is>
          <t>Module 7 - CNS and PNS</t>
        </is>
      </c>
      <c r="D14" s="91" t="inlineStr">
        <is>
          <t>SimpleNursing</t>
        </is>
      </c>
      <c r="E14" s="91" t="inlineStr">
        <is>
          <t>Video</t>
        </is>
      </c>
      <c r="F14" s="104">
        <f>HYPERLINK("https://drive.google.com/file/d/1eFvyj5bgw2NDc5sMW3P43Mr9dbGCi3cS/view","Module 7 - CNS and PNS")</f>
        <v/>
      </c>
      <c r="G14" s="91" t="inlineStr">
        <is>
          <t>YouTube capture. NUR258_Fall2026_SimpleNursing_Wk07_DayNA_CNS and PNS.mp4</t>
        </is>
      </c>
      <c r="H14" s="102" t="n"/>
    </row>
    <row r="15">
      <c r="A15" s="103" t="inlineStr">
        <is>
          <t>FINAL</t>
        </is>
      </c>
      <c r="B15" s="91" t="inlineStr">
        <is>
          <t>Fall 2026</t>
        </is>
      </c>
      <c r="C15" s="91" t="inlineStr">
        <is>
          <t>Module 13 - Shock</t>
        </is>
      </c>
      <c r="D15" s="91" t="inlineStr">
        <is>
          <t>SimpleNursing</t>
        </is>
      </c>
      <c r="E15" s="91" t="inlineStr">
        <is>
          <t>Video</t>
        </is>
      </c>
      <c r="F15" s="104">
        <f>HYPERLINK("https://drive.google.com/file/d/1LPzU5sI1ldTy5n1rFyHCgX171oL_bBFI/view","Module 13 - Shock")</f>
        <v/>
      </c>
      <c r="G15" s="91" t="inlineStr">
        <is>
          <t>YouTube capture. NUR258_Fall2026_SimpleNursing_Wk13_DayNA_Shock.mp4</t>
        </is>
      </c>
      <c r="H15" s="102" t="n"/>
    </row>
    <row r="16">
      <c r="A16" s="103" t="inlineStr">
        <is>
          <t>FINAL</t>
        </is>
      </c>
      <c r="B16" s="91" t="inlineStr">
        <is>
          <t>Fall 2026</t>
        </is>
      </c>
      <c r="C16" s="91" t="inlineStr">
        <is>
          <t>Erikson Stages of Development</t>
        </is>
      </c>
      <c r="D16" s="91" t="inlineStr">
        <is>
          <t>Not named</t>
        </is>
      </c>
      <c r="E16" s="91" t="inlineStr">
        <is>
          <t>Video</t>
        </is>
      </c>
      <c r="F16" s="104">
        <f>HYPERLINK("https://drive.google.com/file/d/1-P4UQ0tcZWdeO6wTagEtsYTiJNoC3JVz/view","Erikson Stages of Development")</f>
        <v/>
      </c>
      <c r="G16" s="91" t="inlineStr">
        <is>
          <t>Module 14 on the site. Lecturer not named in the file - NUR258_Fall2026_Unknown_WkNA_DayNA_Erikson Stages of Development.mp4</t>
        </is>
      </c>
      <c r="H16" s="102" t="n"/>
    </row>
    <row r="17">
      <c r="A17" s="93" t="n"/>
      <c r="B17" s="94" t="n"/>
      <c r="C17" s="94" t="n"/>
      <c r="D17" s="94" t="n"/>
      <c r="E17" s="94" t="n"/>
      <c r="F17" s="94" t="n"/>
      <c r="G17" s="94" t="n"/>
    </row>
    <row r="18">
      <c r="A18" s="103" t="n"/>
      <c r="B18" s="91" t="n"/>
      <c r="C18" s="91" t="n"/>
      <c r="D18" s="91" t="n"/>
      <c r="E18" s="91" t="n"/>
      <c r="F18" s="91" t="n"/>
      <c r="G18" s="91" t="n"/>
    </row>
    <row r="19" ht="15.75" customHeight="1" s="111">
      <c r="A19" s="93" t="inlineStr">
        <is>
          <t>FINAL</t>
        </is>
      </c>
      <c r="B19" s="94" t="n"/>
      <c r="C19" s="94" t="inlineStr">
        <is>
          <t>Other / my materials</t>
        </is>
      </c>
      <c r="D19" s="94" t="n"/>
      <c r="E19" s="94" t="n"/>
      <c r="F19" s="94" t="n"/>
      <c r="G19" s="94" t="n"/>
    </row>
    <row r="20" ht="15.75" customHeight="1" s="111">
      <c r="A20" s="103" t="inlineStr">
        <is>
          <t>FINAL</t>
        </is>
      </c>
      <c r="B20" s="91" t="inlineStr">
        <is>
          <t>Prior term</t>
        </is>
      </c>
      <c r="C20" s="91" t="inlineStr">
        <is>
          <t>Halecka Final Exam Review, Day 1 (Week 14)</t>
        </is>
      </c>
      <c r="D20" s="91" t="inlineStr">
        <is>
          <t>Halecka</t>
        </is>
      </c>
      <c r="E20" s="91" t="inlineStr">
        <is>
          <t>Video</t>
        </is>
      </c>
      <c r="F20" s="92">
        <f>HYPERLINK("https://drive.google.com/file/d/1zheVM3ofPwCJemSeusWnGIrJT3d4bRfa/view","🔗  Open")</f>
        <v/>
      </c>
      <c r="G20" s="91" t="inlineStr">
        <is>
          <t>Last cohort. Also on the Halecka tab as Week 14</t>
        </is>
      </c>
    </row>
    <row r="21" ht="15.75" customHeight="1" s="111">
      <c r="A21" s="93" t="inlineStr">
        <is>
          <t>FINAL</t>
        </is>
      </c>
      <c r="B21" s="94" t="inlineStr">
        <is>
          <t>Prior term</t>
        </is>
      </c>
      <c r="C21" s="94" t="inlineStr">
        <is>
          <t>Halecka Final Exam Review, Day 2 (Week 14)</t>
        </is>
      </c>
      <c r="D21" s="94" t="inlineStr">
        <is>
          <t>Halecka</t>
        </is>
      </c>
      <c r="E21" s="94" t="inlineStr">
        <is>
          <t>Video</t>
        </is>
      </c>
      <c r="F21" s="95">
        <f>HYPERLINK("https://drive.google.com/file/d/1pPJCq61IKj7wPRGdzD-VevKB7HEEsk6l/view","🔗  Open")</f>
        <v/>
      </c>
      <c r="G21" s="94" t="inlineStr">
        <is>
          <t>Last cohort</t>
        </is>
      </c>
    </row>
    <row r="22" ht="15.75" customHeight="1" s="111">
      <c r="A22" s="103" t="inlineStr">
        <is>
          <t>FINAL</t>
        </is>
      </c>
      <c r="B22" s="91" t="inlineStr">
        <is>
          <t>Prior term</t>
        </is>
      </c>
      <c r="C22" s="91" t="inlineStr">
        <is>
          <t>Wagner Final Exam Review, Day 1 (Week 14)</t>
        </is>
      </c>
      <c r="D22" s="91" t="inlineStr">
        <is>
          <t>Wagner</t>
        </is>
      </c>
      <c r="E22" s="91" t="inlineStr">
        <is>
          <t>Video</t>
        </is>
      </c>
      <c r="F22" s="92">
        <f>HYPERLINK("https://drive.google.com/file/d/1pLrCvbUjn93RV7Q_nSdHShteocDWpKLS/view","🔗  Open")</f>
        <v/>
      </c>
      <c r="G22" s="91" t="inlineStr">
        <is>
          <t>Last cohort. Also on the Wagner tab as Week 14</t>
        </is>
      </c>
    </row>
    <row r="23" ht="15.75" customHeight="1" s="111">
      <c r="A23" s="93" t="inlineStr">
        <is>
          <t>FINAL</t>
        </is>
      </c>
      <c r="B23" s="94" t="inlineStr">
        <is>
          <t>Prior term</t>
        </is>
      </c>
      <c r="C23" s="94" t="inlineStr">
        <is>
          <t>Wagner Final Exam Review, Day 2 (Week 14)</t>
        </is>
      </c>
      <c r="D23" s="94" t="inlineStr">
        <is>
          <t>Wagner</t>
        </is>
      </c>
      <c r="E23" s="94" t="inlineStr">
        <is>
          <t>Video</t>
        </is>
      </c>
      <c r="F23" s="95">
        <f>HYPERLINK("https://drive.google.com/file/d/1N4ceV8bSPIpHtOz6PVL2OHOBfPwGVdLn/view","🔗  Open")</f>
        <v/>
      </c>
      <c r="G23" s="94" t="inlineStr">
        <is>
          <t>Last cohort</t>
        </is>
      </c>
    </row>
    <row r="24" ht="15.75" customHeight="1" s="111">
      <c r="A24" s="96" t="n"/>
      <c r="B24" s="96" t="n"/>
      <c r="C24" s="96" t="n"/>
      <c r="D24" s="96" t="n"/>
      <c r="E24" s="96" t="n"/>
      <c r="F24" s="96" t="n"/>
      <c r="G24" s="96" t="n"/>
    </row>
    <row r="25" ht="15.75" customHeight="1" s="111">
      <c r="A25" s="96" t="n"/>
      <c r="B25" s="96" t="n"/>
      <c r="C25" s="96" t="n"/>
      <c r="D25" s="96" t="n"/>
      <c r="E25" s="96" t="n"/>
      <c r="F25" s="96" t="n"/>
      <c r="G25" s="96" t="n"/>
    </row>
    <row r="26" ht="15.75" customHeight="1" s="111">
      <c r="A26" s="96" t="n"/>
      <c r="B26" s="96" t="n"/>
      <c r="C26" s="96" t="n"/>
      <c r="D26" s="96" t="n"/>
      <c r="E26" s="96" t="n"/>
      <c r="F26" s="96" t="n"/>
      <c r="G26" s="96" t="n"/>
    </row>
    <row r="27" ht="15.75" customHeight="1" s="111">
      <c r="A27" s="96" t="n"/>
      <c r="B27" s="96" t="n"/>
      <c r="C27" s="96" t="n"/>
      <c r="D27" s="96" t="n"/>
      <c r="E27" s="96" t="n"/>
      <c r="F27" s="96" t="n"/>
      <c r="G27" s="96" t="n"/>
    </row>
    <row r="28" ht="15.75" customHeight="1" s="111">
      <c r="A28" s="105" t="n"/>
      <c r="B28" s="105" t="n"/>
      <c r="C28" s="105" t="n"/>
      <c r="D28" s="105" t="n"/>
      <c r="E28" s="105" t="n"/>
      <c r="F28" s="105" t="n"/>
      <c r="G28" s="105" t="n"/>
    </row>
    <row r="29" ht="15.75" customHeight="1" s="111">
      <c r="A29" s="105" t="n"/>
      <c r="B29" s="105" t="n"/>
      <c r="C29" s="105" t="n"/>
      <c r="D29" s="105" t="n"/>
      <c r="E29" s="105" t="n"/>
      <c r="F29" s="105" t="n"/>
      <c r="G29" s="105" t="n"/>
    </row>
    <row r="30" ht="15.75" customHeight="1" s="111">
      <c r="A30" s="105" t="n"/>
      <c r="B30" s="105" t="n"/>
      <c r="C30" s="105" t="n"/>
      <c r="D30" s="105" t="n"/>
      <c r="E30" s="105" t="n"/>
      <c r="F30" s="105" t="n"/>
      <c r="G30" s="105" t="n"/>
    </row>
    <row r="31" ht="15.75" customHeight="1" s="111">
      <c r="A31" s="105" t="n"/>
      <c r="B31" s="105" t="n"/>
      <c r="C31" s="105" t="n"/>
      <c r="D31" s="105" t="n"/>
      <c r="E31" s="105" t="n"/>
      <c r="F31" s="105" t="n"/>
      <c r="G31" s="105" t="n"/>
    </row>
    <row r="32" ht="15.75" customHeight="1" s="111">
      <c r="A32" s="105" t="n"/>
      <c r="B32" s="105" t="n"/>
      <c r="C32" s="105" t="n"/>
      <c r="D32" s="105" t="n"/>
      <c r="E32" s="105" t="n"/>
      <c r="F32" s="105" t="n"/>
      <c r="G32" s="105" t="n"/>
    </row>
    <row r="33"/>
    <row r="34"/>
    <row r="35" ht="15.75" customHeight="1" s="111">
      <c r="A35" s="5" t="n"/>
      <c r="B35" s="5" t="n"/>
      <c r="C35" s="5" t="n"/>
      <c r="D35" s="5" t="n"/>
      <c r="E35" s="5" t="n"/>
      <c r="F35" s="5" t="n"/>
      <c r="G35" s="5" t="n"/>
    </row>
    <row r="36" ht="15.75" customHeight="1" s="111">
      <c r="A36" s="105" t="n"/>
      <c r="B36" s="105" t="n"/>
      <c r="C36" s="105" t="n"/>
      <c r="D36" s="105" t="n"/>
      <c r="E36" s="105" t="n"/>
      <c r="F36" s="105" t="n"/>
      <c r="G36" s="105" t="n"/>
    </row>
    <row r="37" ht="15.75" customHeight="1" s="111">
      <c r="A37" s="105" t="n"/>
      <c r="B37" s="105" t="n"/>
      <c r="C37" s="105" t="n"/>
      <c r="D37" s="105" t="n"/>
      <c r="E37" s="105" t="n"/>
      <c r="F37" s="105" t="n"/>
      <c r="G37" s="105" t="n"/>
    </row>
    <row r="38" ht="15.75" customHeight="1" s="111">
      <c r="A38" s="105" t="n"/>
      <c r="B38" s="105" t="n"/>
      <c r="C38" s="105" t="n"/>
      <c r="D38" s="105" t="n"/>
      <c r="E38" s="105" t="n"/>
      <c r="F38" s="105" t="n"/>
      <c r="G38" s="105" t="n"/>
    </row>
    <row r="39" ht="15.75" customHeight="1" s="111">
      <c r="A39" s="105" t="n"/>
      <c r="B39" s="105" t="n"/>
      <c r="C39" s="105" t="n"/>
      <c r="D39" s="105" t="n"/>
      <c r="E39" s="105" t="n"/>
      <c r="F39" s="105" t="n"/>
      <c r="G39" s="10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6.xml><?xml version="1.0" encoding="utf-8"?>
<worksheet xmlns="http://schemas.openxmlformats.org/spreadsheetml/2006/main">
  <sheetPr>
    <tabColor rgb="FF12524A"/>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2" customWidth="1" style="111" min="3" max="3"/>
    <col width="22" customWidth="1" style="111" min="4" max="4"/>
    <col width="18" customWidth="1" style="111" min="5" max="5"/>
    <col width="20" customWidth="1" style="111" min="6" max="6"/>
    <col width="34" customWidth="1" style="111" min="7" max="7"/>
  </cols>
  <sheetData>
    <row r="1">
      <c r="A1" s="71" t="inlineStr">
        <is>
          <t>EXAM REVIEWS  ·  other classes (NUR 198, NUR 175, BIO 290V, BIO 280V, Anatomy, Physiology, MAT 300)</t>
        </is>
      </c>
    </row>
    <row r="2">
      <c r="A2" s="7" t="inlineStr">
        <is>
          <t>NUR234</t>
        </is>
      </c>
      <c r="B2" s="11" t="inlineStr">
        <is>
          <t>NUR235</t>
        </is>
      </c>
      <c r="C2" s="7" t="inlineStr">
        <is>
          <t>NUR258</t>
        </is>
      </c>
      <c r="D2" s="12" t="inlineStr">
        <is>
          <t>🏠 START HERE</t>
        </is>
      </c>
      <c r="E2" s="18" t="inlineStr">
        <is>
          <t>📥 Sort me</t>
        </is>
      </c>
      <c r="F2" s="17" t="n"/>
      <c r="G2" s="17" t="n"/>
    </row>
    <row r="3">
      <c r="A3" s="106" t="inlineStr">
        <is>
          <t>Every exam review, exam prep and final review recording for the classes that are not in this workbook, linked to the sorted copy in the class folder.</t>
        </is>
      </c>
      <c r="B3" s="106" t="n"/>
      <c r="C3" s="106" t="n"/>
      <c r="D3" s="107" t="n"/>
      <c r="E3" s="108" t="n"/>
      <c r="F3" s="17" t="n"/>
      <c r="G3" s="17" t="n"/>
    </row>
    <row r="4">
      <c r="A4" s="17" t="n"/>
      <c r="B4" s="17" t="n"/>
      <c r="C4" s="17" t="n"/>
      <c r="D4" s="17" t="n"/>
      <c r="E4" s="17" t="n"/>
      <c r="F4" s="17" t="n"/>
      <c r="G4" s="17" t="n"/>
    </row>
    <row r="5">
      <c r="A5" s="74" t="inlineStr">
        <is>
          <t>Class</t>
        </is>
      </c>
      <c r="B5" s="74" t="inlineStr">
        <is>
          <t>Exam</t>
        </is>
      </c>
      <c r="C5" s="74" t="inlineStr">
        <is>
          <t>Recording</t>
        </is>
      </c>
      <c r="D5" s="74" t="inlineStr">
        <is>
          <t>Who</t>
        </is>
      </c>
      <c r="E5" s="74" t="inlineStr">
        <is>
          <t>Type</t>
        </is>
      </c>
      <c r="F5" s="74" t="inlineStr">
        <is>
          <t>Link</t>
        </is>
      </c>
      <c r="G5" s="74" t="inlineStr">
        <is>
          <t>Notes</t>
        </is>
      </c>
    </row>
    <row r="6">
      <c r="A6" s="75" t="inlineStr">
        <is>
          <t>NUR 198</t>
        </is>
      </c>
      <c r="B6" s="75" t="inlineStr">
        <is>
          <t>Exam 1</t>
        </is>
      </c>
      <c r="C6" s="82" t="inlineStr">
        <is>
          <t>Exam 1 Lecture - Older Adult</t>
        </is>
      </c>
      <c r="D6" s="76" t="inlineStr">
        <is>
          <t>Exam prep</t>
        </is>
      </c>
      <c r="E6" s="75" t="inlineStr">
        <is>
          <t>Video</t>
        </is>
      </c>
      <c r="F6" s="109">
        <f>HYPERLINK("https://drive.google.com/file/d/1cAp3VRFG4m3iAIc7BIx1RBqyllw1qmV4/view","🔗  Open")</f>
        <v/>
      </c>
      <c r="G6" s="82" t="inlineStr">
        <is>
          <t>Week 1</t>
        </is>
      </c>
    </row>
    <row r="7">
      <c r="A7" s="75" t="inlineStr">
        <is>
          <t>NUR 198</t>
        </is>
      </c>
      <c r="B7" s="75" t="inlineStr">
        <is>
          <t>Exam 2</t>
        </is>
      </c>
      <c r="C7" s="82" t="inlineStr">
        <is>
          <t>Module 4 - Upper Respiratory Disorders</t>
        </is>
      </c>
      <c r="D7" s="76" t="inlineStr">
        <is>
          <t>LSC exam prep</t>
        </is>
      </c>
      <c r="E7" s="75" t="inlineStr">
        <is>
          <t>Video</t>
        </is>
      </c>
      <c r="F7" s="109">
        <f>HYPERLINK("https://drive.google.com/file/d/1ZNf3rbcutoDDWBG84HVHrE_BzVoQ2fbP/view","🔗  Open")</f>
        <v/>
      </c>
      <c r="G7" s="82" t="inlineStr">
        <is>
          <t>Week 4, Summer 2026. NUR198_Summer2026_LSC_Wk04_DayNA_Upper Respiratory Disorders.mp4</t>
        </is>
      </c>
    </row>
    <row r="8">
      <c r="A8" s="78" t="inlineStr">
        <is>
          <t>NUR 198</t>
        </is>
      </c>
      <c r="B8" s="78" t="inlineStr">
        <is>
          <t>Exam 3</t>
        </is>
      </c>
      <c r="C8" s="83" t="inlineStr">
        <is>
          <t>Practice questions review - pharm, cardiac, vascular (21 Jun)</t>
        </is>
      </c>
      <c r="D8" s="79" t="inlineStr">
        <is>
          <t>Cory Meyer</t>
        </is>
      </c>
      <c r="E8" s="78" t="inlineStr">
        <is>
          <t>Video</t>
        </is>
      </c>
      <c r="F8" s="110">
        <f>HYPERLINK("https://drive.google.com/file/d/1WH0aQydvO8PNZI_gITvrrwYAglusRTc_/view","🔗  Open")</f>
        <v/>
      </c>
      <c r="G8" s="83" t="inlineStr">
        <is>
          <t>Week 7</t>
        </is>
      </c>
    </row>
    <row r="9">
      <c r="A9" s="75" t="inlineStr">
        <is>
          <t>NUR 198</t>
        </is>
      </c>
      <c r="B9" s="75" t="inlineStr">
        <is>
          <t>Exam 4</t>
        </is>
      </c>
      <c r="C9" s="82" t="inlineStr">
        <is>
          <t>Exam 4 Review Lectures</t>
        </is>
      </c>
      <c r="D9" s="76" t="inlineStr">
        <is>
          <t>Exam prep</t>
        </is>
      </c>
      <c r="E9" s="75" t="inlineStr">
        <is>
          <t>Video</t>
        </is>
      </c>
      <c r="F9" s="109">
        <f>HYPERLINK("https://drive.google.com/file/d/1Rcbc5XpjD9VtstRy-uwhiajLf-LFzYj_/view","🔗  Open")</f>
        <v/>
      </c>
      <c r="G9" s="82" t="inlineStr">
        <is>
          <t>5.4 GB, several sessions in one file</t>
        </is>
      </c>
    </row>
    <row r="10">
      <c r="A10" s="78" t="inlineStr">
        <is>
          <t>NUR 198</t>
        </is>
      </c>
      <c r="B10" s="78" t="inlineStr">
        <is>
          <t>Exam 4</t>
        </is>
      </c>
      <c r="C10" s="83" t="inlineStr">
        <is>
          <t>Exam Prep - Renal &amp; Urinary Disorders (3 Jul)</t>
        </is>
      </c>
      <c r="D10" s="79" t="inlineStr">
        <is>
          <t>Dr Clancey-Sollis + Dr Greg</t>
        </is>
      </c>
      <c r="E10" s="78" t="inlineStr">
        <is>
          <t>Video</t>
        </is>
      </c>
      <c r="F10" s="110">
        <f>HYPERLINK("https://drive.google.com/file/d/12n_z-PNGwS16Xn2J4wZbsBS7FiHvKmfE/view","🔗  Open")</f>
        <v/>
      </c>
      <c r="G10" s="83" t="inlineStr">
        <is>
          <t>Week 9</t>
        </is>
      </c>
    </row>
    <row r="11">
      <c r="A11" s="75" t="inlineStr">
        <is>
          <t>NUR 198</t>
        </is>
      </c>
      <c r="B11" s="75" t="inlineStr">
        <is>
          <t>Exam 4</t>
        </is>
      </c>
      <c r="C11" s="82" t="inlineStr">
        <is>
          <t>Renal &amp; Urinary Disorders Review - CKD, Dialysis, Incontinence</t>
        </is>
      </c>
      <c r="D11" s="76" t="inlineStr">
        <is>
          <t>SimpleNursing</t>
        </is>
      </c>
      <c r="E11" s="75" t="inlineStr">
        <is>
          <t>Video</t>
        </is>
      </c>
      <c r="F11" s="109">
        <f>HYPERLINK("https://drive.google.com/file/d/1JAA1oQgUSK4b51Ld6ZZ6bYoZMtAgI84X/view","🔗  Open")</f>
        <v/>
      </c>
      <c r="G11" s="82" t="inlineStr">
        <is>
          <t>Week 9, YouTube capture</t>
        </is>
      </c>
    </row>
    <row r="12">
      <c r="A12" s="78" t="inlineStr">
        <is>
          <t>NUR 198</t>
        </is>
      </c>
      <c r="B12" s="78" t="inlineStr">
        <is>
          <t>Exam 5</t>
        </is>
      </c>
      <c r="C12" s="83" t="inlineStr">
        <is>
          <t>Exam 5 prep - Zoom recording 23 Jul</t>
        </is>
      </c>
      <c r="D12" s="79" t="inlineStr">
        <is>
          <t>Exam prep</t>
        </is>
      </c>
      <c r="E12" s="78" t="inlineStr">
        <is>
          <t>Video</t>
        </is>
      </c>
      <c r="F12" s="110">
        <f>HYPERLINK("https://drive.google.com/file/d/1SkLjzKER5z7mRr2w_fvhuGHYDB47FMTU/view","🔗  Open")</f>
        <v/>
      </c>
      <c r="G12" s="83" t="n"/>
    </row>
    <row r="13">
      <c r="A13" s="75" t="inlineStr">
        <is>
          <t>NUR 198</t>
        </is>
      </c>
      <c r="B13" s="75" t="inlineStr">
        <is>
          <t>Exam 5</t>
        </is>
      </c>
      <c r="C13" s="82" t="inlineStr">
        <is>
          <t>Exam 5 prep - Zoom recording 24 Jul</t>
        </is>
      </c>
      <c r="D13" s="76" t="inlineStr">
        <is>
          <t>Exam prep</t>
        </is>
      </c>
      <c r="E13" s="75" t="inlineStr">
        <is>
          <t>Video</t>
        </is>
      </c>
      <c r="F13" s="109">
        <f>HYPERLINK("https://drive.google.com/file/d/1y-zZh8NEksWdsxMUB86YaDYPwaWHbnaP/view","🔗  Open")</f>
        <v/>
      </c>
      <c r="G13" s="82" t="n"/>
    </row>
    <row r="14">
      <c r="A14" s="78" t="inlineStr">
        <is>
          <t>NUR 198</t>
        </is>
      </c>
      <c r="B14" s="78" t="inlineStr">
        <is>
          <t>Exam 5</t>
        </is>
      </c>
      <c r="C14" s="83" t="inlineStr">
        <is>
          <t>GI Disorders Full Review - Appendicitis to Pancreatitis</t>
        </is>
      </c>
      <c r="D14" s="79" t="inlineStr">
        <is>
          <t>SimpleNursing</t>
        </is>
      </c>
      <c r="E14" s="78" t="inlineStr">
        <is>
          <t>Video</t>
        </is>
      </c>
      <c r="F14" s="110">
        <f>HYPERLINK("https://drive.google.com/file/d/1Xq3mRU_jxKjkdNDgxHWNQo6kr1amPwcB/view","🔗  Open")</f>
        <v/>
      </c>
      <c r="G14" s="83" t="inlineStr">
        <is>
          <t>Week 12, YouTube capture</t>
        </is>
      </c>
    </row>
    <row r="15">
      <c r="A15" s="75" t="inlineStr">
        <is>
          <t>NUR 198 ?</t>
        </is>
      </c>
      <c r="B15" s="75" t="inlineStr">
        <is>
          <t>ATI</t>
        </is>
      </c>
      <c r="C15" s="82" t="inlineStr">
        <is>
          <t>Adult health ATI practice review part 1 - shock, dialysis, asthma, electrolytes, sepsis (Sun 7 Sep)</t>
        </is>
      </c>
      <c r="D15" s="76" t="inlineStr">
        <is>
          <t>Not named</t>
        </is>
      </c>
      <c r="E15" s="75" t="inlineStr">
        <is>
          <t>Video</t>
        </is>
      </c>
      <c r="F15" s="109">
        <f>HYPERLINK("https://drive.google.com/file/d/1VwqGuxefxFmGgoQn9wZR_ctHpEO4qaSI/view","🔗  Open")</f>
        <v/>
      </c>
      <c r="G15" s="82" t="inlineStr">
        <is>
          <t>Could be NUR 258 - you tell me</t>
        </is>
      </c>
    </row>
    <row r="16">
      <c r="A16" s="78" t="inlineStr">
        <is>
          <t>NUR 198 ?</t>
        </is>
      </c>
      <c r="B16" s="78" t="inlineStr">
        <is>
          <t>ATI</t>
        </is>
      </c>
      <c r="C16" s="83" t="inlineStr">
        <is>
          <t>Adult health ATI practice review part 2 - electrolytes, respiratory (Mon 8 Sep)</t>
        </is>
      </c>
      <c r="D16" s="79" t="inlineStr">
        <is>
          <t>Not named</t>
        </is>
      </c>
      <c r="E16" s="78" t="inlineStr">
        <is>
          <t>Video</t>
        </is>
      </c>
      <c r="F16" s="110">
        <f>HYPERLINK("https://drive.google.com/file/d/17FEOKc4ndrct33Uz5cCzC3WgQ5ff-5Tl/view","🔗  Open")</f>
        <v/>
      </c>
      <c r="G16" s="83" t="inlineStr">
        <is>
          <t>Part 2 of the session above</t>
        </is>
      </c>
    </row>
    <row r="17">
      <c r="A17" s="75" t="inlineStr">
        <is>
          <t>NUR 175</t>
        </is>
      </c>
      <c r="B17" s="75" t="inlineStr">
        <is>
          <t>Pharm</t>
        </is>
      </c>
      <c r="C17" s="82" t="inlineStr">
        <is>
          <t>Review Pharmacology</t>
        </is>
      </c>
      <c r="D17" s="76" t="inlineStr">
        <is>
          <t>Wilkins</t>
        </is>
      </c>
      <c r="E17" s="75" t="inlineStr">
        <is>
          <t>Video</t>
        </is>
      </c>
      <c r="F17" s="109">
        <f>HYPERLINK("https://drive.google.com/file/d/11WezNrtsoNJiN3qI-6UBYpqm0TQwmg53/view","🔗  Open")</f>
        <v/>
      </c>
      <c r="G17" s="82" t="inlineStr">
        <is>
          <t>Spring 2026 cohort</t>
        </is>
      </c>
    </row>
    <row r="18">
      <c r="A18" s="78" t="inlineStr">
        <is>
          <t>NUR 175</t>
        </is>
      </c>
      <c r="B18" s="78" t="inlineStr">
        <is>
          <t>Final</t>
        </is>
      </c>
      <c r="C18" s="83" t="inlineStr">
        <is>
          <t>Mental Health Full Review - Psych Meds, Schizophrenia, Bipolar &amp; More</t>
        </is>
      </c>
      <c r="D18" s="79" t="inlineStr">
        <is>
          <t>SimpleNursing</t>
        </is>
      </c>
      <c r="E18" s="78" t="inlineStr">
        <is>
          <t>Video</t>
        </is>
      </c>
      <c r="F18" s="110">
        <f>HYPERLINK("https://drive.google.com/file/d/1GjskjzLlmq4xc_IHoBwi6ySUS_g_ymIC/view","🔗  Open")</f>
        <v/>
      </c>
      <c r="G18" s="83" t="inlineStr">
        <is>
          <t>YouTube capture, 1.7 GB</t>
        </is>
      </c>
    </row>
    <row r="19">
      <c r="A19" s="75" t="inlineStr">
        <is>
          <t>BIO 290V</t>
        </is>
      </c>
      <c r="B19" s="75" t="inlineStr">
        <is>
          <t>Exam 1</t>
        </is>
      </c>
      <c r="C19" s="82" t="inlineStr">
        <is>
          <t>Exam prep - drugs, receptors, dosing (12 Sep 2025)</t>
        </is>
      </c>
      <c r="D19" s="76" t="inlineStr">
        <is>
          <t>Not named</t>
        </is>
      </c>
      <c r="E19" s="75" t="inlineStr">
        <is>
          <t>Video</t>
        </is>
      </c>
      <c r="F19" s="109">
        <f>HYPERLINK("https://drive.google.com/file/d/1WpniByv8x74YmS6zuxJ1jwAJaPvTTvAA/view","🔗  Open")</f>
        <v/>
      </c>
      <c r="G19" s="82" t="inlineStr">
        <is>
          <t>Week 2 screen recording</t>
        </is>
      </c>
    </row>
    <row r="20">
      <c r="A20" s="78" t="inlineStr">
        <is>
          <t>BIO 290V</t>
        </is>
      </c>
      <c r="B20" s="78" t="inlineStr">
        <is>
          <t>Exam 2</t>
        </is>
      </c>
      <c r="C20" s="83" t="inlineStr">
        <is>
          <t>Exam 2 Review</t>
        </is>
      </c>
      <c r="D20" s="79" t="inlineStr">
        <is>
          <t>King</t>
        </is>
      </c>
      <c r="E20" s="78" t="inlineStr">
        <is>
          <t>Video</t>
        </is>
      </c>
      <c r="F20" s="110">
        <f>HYPERLINK("https://drive.google.com/file/d/1yzddvEmfZY3CNtnQ1RSJo_XHA5G3S3ol/view","🔗  Open")</f>
        <v/>
      </c>
      <c r="G20" s="83" t="n"/>
    </row>
    <row r="21" ht="15.75" customHeight="1" s="111">
      <c r="A21" s="75" t="inlineStr">
        <is>
          <t>BIO 290V</t>
        </is>
      </c>
      <c r="B21" s="75" t="inlineStr">
        <is>
          <t>Exam 3</t>
        </is>
      </c>
      <c r="C21" s="82" t="inlineStr">
        <is>
          <t>Exam 3 Review</t>
        </is>
      </c>
      <c r="D21" s="76" t="inlineStr">
        <is>
          <t>Guerra</t>
        </is>
      </c>
      <c r="E21" s="75" t="inlineStr">
        <is>
          <t>Video</t>
        </is>
      </c>
      <c r="F21" s="109">
        <f>HYPERLINK("https://drive.google.com/file/d/1_wdvObqJojcouuKBZ-1_Xg1LlMcOeiA_/view","🔗  Open")</f>
        <v/>
      </c>
      <c r="G21" s="82" t="n"/>
    </row>
    <row r="22" ht="15.75" customHeight="1" s="111">
      <c r="A22" s="78" t="inlineStr">
        <is>
          <t>BIO 290V</t>
        </is>
      </c>
      <c r="B22" s="78" t="inlineStr">
        <is>
          <t>Exam 4</t>
        </is>
      </c>
      <c r="C22" s="83" t="inlineStr">
        <is>
          <t>Exam 4</t>
        </is>
      </c>
      <c r="D22" s="79" t="inlineStr">
        <is>
          <t>Guerra</t>
        </is>
      </c>
      <c r="E22" s="78" t="inlineStr">
        <is>
          <t>Video</t>
        </is>
      </c>
      <c r="F22" s="110">
        <f>HYPERLINK("https://drive.google.com/file/d/15gDrKfNa9XozHzbvVaTEi55TSh3mFdep/view","🔗  Open")</f>
        <v/>
      </c>
      <c r="G22" s="83" t="n"/>
    </row>
    <row r="23" ht="15.75" customHeight="1" s="111">
      <c r="A23" s="75" t="inlineStr">
        <is>
          <t>BIO 290V</t>
        </is>
      </c>
      <c r="B23" s="75" t="inlineStr">
        <is>
          <t>Exam 4</t>
        </is>
      </c>
      <c r="C23" s="82" t="inlineStr">
        <is>
          <t>Exam 4 Review</t>
        </is>
      </c>
      <c r="D23" s="76" t="inlineStr">
        <is>
          <t>Christensen</t>
        </is>
      </c>
      <c r="E23" s="75" t="inlineStr">
        <is>
          <t>Video</t>
        </is>
      </c>
      <c r="F23" s="109">
        <f>HYPERLINK("https://drive.google.com/file/d/1pFVjLbA4S81AoKMrwkfO_d-oOl3d1AyG/view","🔗  Open")</f>
        <v/>
      </c>
      <c r="G23" s="82" t="n"/>
    </row>
    <row r="24" ht="15.75" customHeight="1" s="111">
      <c r="A24" s="78" t="inlineStr">
        <is>
          <t>BIO 290V</t>
        </is>
      </c>
      <c r="B24" s="78" t="inlineStr">
        <is>
          <t>Exam 5</t>
        </is>
      </c>
      <c r="C24" s="83" t="inlineStr">
        <is>
          <t>Exam 5 Review</t>
        </is>
      </c>
      <c r="D24" s="79" t="inlineStr">
        <is>
          <t>Guerra</t>
        </is>
      </c>
      <c r="E24" s="78" t="inlineStr">
        <is>
          <t>Video</t>
        </is>
      </c>
      <c r="F24" s="110">
        <f>HYPERLINK("https://drive.google.com/file/d/1hm4Y2UGMf5umd8Djxmm9nrVz4uBSMEat/view","🔗  Open")</f>
        <v/>
      </c>
      <c r="G24" s="83" t="n"/>
    </row>
    <row r="25" ht="15.75" customHeight="1" s="111">
      <c r="A25" s="75" t="inlineStr">
        <is>
          <t>BIO 290V</t>
        </is>
      </c>
      <c r="B25" s="75" t="inlineStr">
        <is>
          <t>Exam 5</t>
        </is>
      </c>
      <c r="C25" s="82" t="inlineStr">
        <is>
          <t>Exam 5 Prep - Pharmacology Modules 8 and 9</t>
        </is>
      </c>
      <c r="D25" s="76" t="inlineStr">
        <is>
          <t>Exam prep</t>
        </is>
      </c>
      <c r="E25" s="75" t="inlineStr">
        <is>
          <t>Video</t>
        </is>
      </c>
      <c r="F25" s="109">
        <f>HYPERLINK("https://drive.google.com/file/d/12zEmpmMLDWRxVxvXWIl96bo9Js5pzC_H/view","🔗  Open")</f>
        <v/>
      </c>
      <c r="G25" s="82" t="n"/>
    </row>
    <row r="26" ht="15.75" customHeight="1" s="111">
      <c r="A26" s="78" t="inlineStr">
        <is>
          <t>BIO 290V</t>
        </is>
      </c>
      <c r="B26" s="78" t="inlineStr">
        <is>
          <t>Exam 6</t>
        </is>
      </c>
      <c r="C26" s="83" t="inlineStr">
        <is>
          <t>Exam 6 Lecture</t>
        </is>
      </c>
      <c r="D26" s="79" t="inlineStr">
        <is>
          <t>King</t>
        </is>
      </c>
      <c r="E26" s="78" t="inlineStr">
        <is>
          <t>Video</t>
        </is>
      </c>
      <c r="F26" s="110">
        <f>HYPERLINK("https://drive.google.com/file/d/1dr7UWaG5lynxtHJJbo8jI2aTBxmE37gQ/view","🔗  Open")</f>
        <v/>
      </c>
      <c r="G26" s="83" t="n"/>
    </row>
    <row r="27" ht="15.75" customHeight="1" s="111">
      <c r="A27" s="75" t="inlineStr">
        <is>
          <t>BIO 290V</t>
        </is>
      </c>
      <c r="B27" s="75" t="inlineStr">
        <is>
          <t>Exam 7</t>
        </is>
      </c>
      <c r="C27" s="82" t="inlineStr">
        <is>
          <t>Exam 7 Prep Session</t>
        </is>
      </c>
      <c r="D27" s="76" t="inlineStr">
        <is>
          <t>King</t>
        </is>
      </c>
      <c r="E27" s="75" t="inlineStr">
        <is>
          <t>Video</t>
        </is>
      </c>
      <c r="F27" s="109">
        <f>HYPERLINK("https://drive.google.com/file/d/1om7GpMMAgV490uNZcgPebM6_e3akw_Je/view","🔗  Open")</f>
        <v/>
      </c>
      <c r="G27" s="82" t="n"/>
    </row>
    <row r="28" ht="15.75" customHeight="1" s="111">
      <c r="A28" s="78" t="inlineStr">
        <is>
          <t>BIO 290V</t>
        </is>
      </c>
      <c r="B28" s="78" t="inlineStr">
        <is>
          <t>FINAL</t>
        </is>
      </c>
      <c r="C28" s="83" t="inlineStr">
        <is>
          <t>Final exam review 1</t>
        </is>
      </c>
      <c r="D28" s="79" t="inlineStr">
        <is>
          <t>Guerra</t>
        </is>
      </c>
      <c r="E28" s="78" t="inlineStr">
        <is>
          <t>Video</t>
        </is>
      </c>
      <c r="F28" s="110">
        <f>HYPERLINK("https://drive.google.com/file/d/1acOr-VH5wLsa5nifIVtkUb9T096o8-Ci/view","🔗  Open")</f>
        <v/>
      </c>
      <c r="G28" s="83" t="n"/>
    </row>
    <row r="29" ht="15.75" customHeight="1" s="111">
      <c r="A29" s="75" t="inlineStr">
        <is>
          <t>BIO 290V</t>
        </is>
      </c>
      <c r="B29" s="75" t="inlineStr">
        <is>
          <t>FINAL</t>
        </is>
      </c>
      <c r="C29" s="82" t="inlineStr">
        <is>
          <t>Final exam review 2</t>
        </is>
      </c>
      <c r="D29" s="76" t="inlineStr">
        <is>
          <t>Guerra</t>
        </is>
      </c>
      <c r="E29" s="75" t="inlineStr">
        <is>
          <t>Video</t>
        </is>
      </c>
      <c r="F29" s="109">
        <f>HYPERLINK("https://drive.google.com/file/d/1h4dE5HNtS-D_P5hQHWPpD8_uR0uJx9V4/view","🔗  Open")</f>
        <v/>
      </c>
      <c r="G29" s="82" t="n"/>
    </row>
    <row r="30" ht="15.75" customHeight="1" s="111">
      <c r="A30" s="78" t="inlineStr">
        <is>
          <t>BIO 290V</t>
        </is>
      </c>
      <c r="B30" s="78" t="inlineStr">
        <is>
          <t>FINAL</t>
        </is>
      </c>
      <c r="C30" s="83" t="inlineStr">
        <is>
          <t>Final exam review</t>
        </is>
      </c>
      <c r="D30" s="79" t="inlineStr">
        <is>
          <t>Pohl</t>
        </is>
      </c>
      <c r="E30" s="78" t="inlineStr">
        <is>
          <t>Video</t>
        </is>
      </c>
      <c r="F30" s="110">
        <f>HYPERLINK("https://drive.google.com/file/d/1afY6_3escGKEXej2K9-YaMCWdm0w3uc8/view","🔗  Open")</f>
        <v/>
      </c>
      <c r="G30" s="83" t="n"/>
    </row>
    <row r="31" ht="15.75" customHeight="1" s="111">
      <c r="A31" s="75" t="inlineStr">
        <is>
          <t>BIO 280V</t>
        </is>
      </c>
      <c r="B31" s="75" t="inlineStr">
        <is>
          <t>Exam 1</t>
        </is>
      </c>
      <c r="C31" s="82" t="inlineStr">
        <is>
          <t>Bio 280V Exam 1 Prep</t>
        </is>
      </c>
      <c r="D31" s="76" t="inlineStr">
        <is>
          <t>Exam prep</t>
        </is>
      </c>
      <c r="E31" s="75" t="inlineStr">
        <is>
          <t>Video</t>
        </is>
      </c>
      <c r="F31" s="109">
        <f>HYPERLINK("https://drive.google.com/file/d/1StGpFy32sz13JGfcY_uajmjWhjWW10n8/view","🔗  Open")</f>
        <v/>
      </c>
      <c r="G31" s="82" t="inlineStr">
        <is>
          <t>919 MB</t>
        </is>
      </c>
    </row>
    <row r="32" ht="15.75" customHeight="1" s="111">
      <c r="A32" s="78" t="inlineStr">
        <is>
          <t>BIO 280V</t>
        </is>
      </c>
      <c r="B32" s="78" t="inlineStr">
        <is>
          <t>Exam 1</t>
        </is>
      </c>
      <c r="C32" s="83" t="inlineStr">
        <is>
          <t>Exam 1 Prep Lecture</t>
        </is>
      </c>
      <c r="D32" s="79" t="inlineStr">
        <is>
          <t>Exam prep</t>
        </is>
      </c>
      <c r="E32" s="78" t="inlineStr">
        <is>
          <t>Video</t>
        </is>
      </c>
      <c r="F32" s="110">
        <f>HYPERLINK("https://drive.google.com/file/d/1nm3wWywVomKZ8twD5ZAeY1WCR-NJmbqA/view","🔗  Open")</f>
        <v/>
      </c>
      <c r="G32" s="83" t="n"/>
    </row>
    <row r="33" ht="15.75" customHeight="1" s="111">
      <c r="A33" s="75" t="inlineStr">
        <is>
          <t>BIO 280V</t>
        </is>
      </c>
      <c r="B33" s="75" t="inlineStr">
        <is>
          <t>Exam 1</t>
        </is>
      </c>
      <c r="C33" s="82" t="inlineStr">
        <is>
          <t>Exam 1 prep - screen recording 15 Sep 2025, 20:03</t>
        </is>
      </c>
      <c r="D33" s="76" t="inlineStr">
        <is>
          <t>Not named</t>
        </is>
      </c>
      <c r="E33" s="75" t="inlineStr">
        <is>
          <t>Video</t>
        </is>
      </c>
      <c r="F33" s="109">
        <f>HYPERLINK("https://drive.google.com/file/d/1Ur5_qaXldGBM-oAdDeGh7xCeXyrqtRB3/view","🔗  Open")</f>
        <v/>
      </c>
      <c r="G33" s="82" t="n"/>
    </row>
    <row r="34" ht="15.75" customHeight="1" s="111">
      <c r="A34" s="78" t="inlineStr">
        <is>
          <t>BIO 280V</t>
        </is>
      </c>
      <c r="B34" s="78" t="inlineStr">
        <is>
          <t>Exam 1</t>
        </is>
      </c>
      <c r="C34" s="83" t="inlineStr">
        <is>
          <t>Exam 1 prep - screen recording 15 Sep 2025, 20:36</t>
        </is>
      </c>
      <c r="D34" s="79" t="inlineStr">
        <is>
          <t>Not named</t>
        </is>
      </c>
      <c r="E34" s="78" t="inlineStr">
        <is>
          <t>Video</t>
        </is>
      </c>
      <c r="F34" s="110">
        <f>HYPERLINK("https://drive.google.com/file/d/19I5RittzDcpdFj67UL_zEMY6EDTPfIeS/view","🔗  Open")</f>
        <v/>
      </c>
      <c r="G34" s="83" t="n"/>
    </row>
    <row r="35" ht="15.75" customHeight="1" s="111">
      <c r="A35" s="75" t="inlineStr">
        <is>
          <t>BIO 280V</t>
        </is>
      </c>
      <c r="B35" s="75" t="inlineStr">
        <is>
          <t>Exam 2</t>
        </is>
      </c>
      <c r="C35" s="82" t="inlineStr">
        <is>
          <t>Exam 2 Lecture</t>
        </is>
      </c>
      <c r="D35" s="76" t="inlineStr">
        <is>
          <t>Exam prep</t>
        </is>
      </c>
      <c r="E35" s="75" t="inlineStr">
        <is>
          <t>Video</t>
        </is>
      </c>
      <c r="F35" s="109">
        <f>HYPERLINK("https://drive.google.com/file/d/1xEezQMx-KNmoVyLCeGcrvHeDz9ZZ9kDZ/view","🔗  Open")</f>
        <v/>
      </c>
      <c r="G35" s="82" t="inlineStr">
        <is>
          <t>2.9 GB</t>
        </is>
      </c>
    </row>
    <row r="36" ht="15.75" customHeight="1" s="111">
      <c r="A36" s="78" t="inlineStr">
        <is>
          <t>BIO 280V</t>
        </is>
      </c>
      <c r="B36" s="78" t="inlineStr">
        <is>
          <t>Exam 2</t>
        </is>
      </c>
      <c r="C36" s="83" t="inlineStr">
        <is>
          <t>Exam prep - cell injury, hypoxia, drugs (22 Sep 2025)</t>
        </is>
      </c>
      <c r="D36" s="79" t="inlineStr">
        <is>
          <t>Not named</t>
        </is>
      </c>
      <c r="E36" s="78" t="inlineStr">
        <is>
          <t>Video</t>
        </is>
      </c>
      <c r="F36" s="110">
        <f>HYPERLINK("https://drive.google.com/file/d/1nhLqtOdgUOHjQXABDMu1dQtwDse-tN0S/view","🔗  Open")</f>
        <v/>
      </c>
      <c r="G36" s="83" t="inlineStr">
        <is>
          <t>Week 4 screen recording</t>
        </is>
      </c>
    </row>
    <row r="37" ht="15.75" customHeight="1" s="111">
      <c r="A37" s="75" t="inlineStr">
        <is>
          <t>BIO 280V</t>
        </is>
      </c>
      <c r="B37" s="75" t="inlineStr">
        <is>
          <t>Exam 3</t>
        </is>
      </c>
      <c r="C37" s="82" t="inlineStr">
        <is>
          <t>Exam 3 Zoom</t>
        </is>
      </c>
      <c r="D37" s="76" t="inlineStr">
        <is>
          <t>Exam prep</t>
        </is>
      </c>
      <c r="E37" s="75" t="inlineStr">
        <is>
          <t>Video</t>
        </is>
      </c>
      <c r="F37" s="109">
        <f>HYPERLINK("https://drive.google.com/file/d/1bzs2XBpKhnDs9mkpzXQyUIqcva8Vca_9/view","🔗  Open")</f>
        <v/>
      </c>
      <c r="G37" s="82" t="n"/>
    </row>
    <row r="38" ht="15.75" customHeight="1" s="111">
      <c r="A38" s="78" t="inlineStr">
        <is>
          <t>BIO 280V</t>
        </is>
      </c>
      <c r="B38" s="78" t="inlineStr">
        <is>
          <t>Exam 3</t>
        </is>
      </c>
      <c r="C38" s="83" t="inlineStr">
        <is>
          <t>Bio280 Exam 3 Prep</t>
        </is>
      </c>
      <c r="D38" s="79" t="inlineStr">
        <is>
          <t>Exam prep</t>
        </is>
      </c>
      <c r="E38" s="78" t="inlineStr">
        <is>
          <t>Video</t>
        </is>
      </c>
      <c r="F38" s="110">
        <f>HYPERLINK("https://drive.google.com/file/d/1f6MwoICNucUfOOv7mB_X0rfGdlX0gJiU/view","🔗  Open")</f>
        <v/>
      </c>
      <c r="G38" s="83" t="inlineStr">
        <is>
          <t>1 GB</t>
        </is>
      </c>
    </row>
    <row r="39" ht="15.75" customHeight="1" s="111">
      <c r="A39" s="75" t="inlineStr">
        <is>
          <t>BIO 280V</t>
        </is>
      </c>
      <c r="B39" s="75" t="inlineStr">
        <is>
          <t>Exam 4</t>
        </is>
      </c>
      <c r="C39" s="82" t="inlineStr">
        <is>
          <t>Exam 4 prep - screen recording 26 Oct 2025</t>
        </is>
      </c>
      <c r="D39" s="76" t="inlineStr">
        <is>
          <t>Not named</t>
        </is>
      </c>
      <c r="E39" s="75" t="inlineStr">
        <is>
          <t>Video</t>
        </is>
      </c>
      <c r="F39" s="109">
        <f>HYPERLINK("https://drive.google.com/file/d/1xK-o6-XiEIM64IG_U-GFv_GNbNHEjEBL/view","🔗  Open")</f>
        <v/>
      </c>
      <c r="G39" s="82" t="n"/>
    </row>
    <row r="40" ht="15.75" customHeight="1" s="111">
      <c r="A40" s="78" t="inlineStr">
        <is>
          <t>BIO 280V</t>
        </is>
      </c>
      <c r="B40" s="78" t="inlineStr">
        <is>
          <t>Exam 5</t>
        </is>
      </c>
      <c r="C40" s="83" t="inlineStr">
        <is>
          <t>Exam 5 prep - screen recording 7 Nov 2025</t>
        </is>
      </c>
      <c r="D40" s="79" t="inlineStr">
        <is>
          <t>Not named</t>
        </is>
      </c>
      <c r="E40" s="78" t="inlineStr">
        <is>
          <t>Video</t>
        </is>
      </c>
      <c r="F40" s="110">
        <f>HYPERLINK("https://drive.google.com/file/d/19WESnmeDH52d7Z272xVo6UshjrjqDnmO/view","🔗  Open")</f>
        <v/>
      </c>
      <c r="G40" s="83" t="n"/>
    </row>
    <row r="41" ht="15.75" customHeight="1" s="111">
      <c r="A41" s="75" t="inlineStr">
        <is>
          <t>BIO 280V</t>
        </is>
      </c>
      <c r="B41" s="75" t="inlineStr">
        <is>
          <t>FINAL</t>
        </is>
      </c>
      <c r="C41" s="82" t="inlineStr">
        <is>
          <t>Final exam prep</t>
        </is>
      </c>
      <c r="D41" s="76" t="inlineStr">
        <is>
          <t>Exam prep</t>
        </is>
      </c>
      <c r="E41" s="75" t="inlineStr">
        <is>
          <t>Video</t>
        </is>
      </c>
      <c r="F41" s="109">
        <f>HYPERLINK("https://drive.google.com/file/d/116e4sUGbtET7q_r_FWaWS4E3YqOfGWI6/view","🔗  Open")</f>
        <v/>
      </c>
      <c r="G41" s="82" t="n"/>
    </row>
    <row r="42" ht="15.75" customHeight="1" s="111">
      <c r="A42" s="78" t="inlineStr">
        <is>
          <t>Anatomy</t>
        </is>
      </c>
      <c r="B42" s="78" t="inlineStr">
        <is>
          <t>Module 8</t>
        </is>
      </c>
      <c r="C42" s="83" t="inlineStr">
        <is>
          <t>Exam review</t>
        </is>
      </c>
      <c r="D42" s="79" t="inlineStr">
        <is>
          <t>Not named</t>
        </is>
      </c>
      <c r="E42" s="78" t="inlineStr">
        <is>
          <t>Video</t>
        </is>
      </c>
      <c r="F42" s="110">
        <f>HYPERLINK("https://drive.google.com/file/d/10zFKUxRWpBiNulYb_P0pOcA9T196bWRY/view","🔗  Open")</f>
        <v/>
      </c>
      <c r="G42" s="83" t="inlineStr">
        <is>
          <t>Week 8</t>
        </is>
      </c>
    </row>
    <row r="43" ht="15.75" customHeight="1" s="111">
      <c r="A43" s="75" t="inlineStr">
        <is>
          <t>Anatomy</t>
        </is>
      </c>
      <c r="B43" s="75" t="inlineStr">
        <is>
          <t>FINAL</t>
        </is>
      </c>
      <c r="C43" s="82" t="inlineStr">
        <is>
          <t>Final Review 5 August 2025</t>
        </is>
      </c>
      <c r="D43" s="76" t="inlineStr">
        <is>
          <t>Not named</t>
        </is>
      </c>
      <c r="E43" s="75" t="inlineStr">
        <is>
          <t>Video</t>
        </is>
      </c>
      <c r="F43" s="109">
        <f>HYPERLINK("https://drive.google.com/file/d/1oi_EhJSyj1T5PEM3HTnFd2aPm8pi1Yu6/view","🔗  Open")</f>
        <v/>
      </c>
      <c r="G43" s="82" t="n"/>
    </row>
    <row r="44" ht="15.75" customHeight="1" s="111">
      <c r="A44" s="78" t="inlineStr">
        <is>
          <t>Anatomy</t>
        </is>
      </c>
      <c r="B44" s="78" t="inlineStr">
        <is>
          <t>FINAL</t>
        </is>
      </c>
      <c r="C44" s="83" t="inlineStr">
        <is>
          <t>Final exam prep - screen recording 10 Aug 2025, 02:31</t>
        </is>
      </c>
      <c r="D44" s="79" t="inlineStr">
        <is>
          <t>Not named</t>
        </is>
      </c>
      <c r="E44" s="78" t="inlineStr">
        <is>
          <t>Video</t>
        </is>
      </c>
      <c r="F44" s="110">
        <f>HYPERLINK("https://drive.google.com/file/d/1jFE2tp8mgv0V-9nhg1jqA-Xx8zVi8Ez4/view","🔗  Open")</f>
        <v/>
      </c>
      <c r="G44" s="83" t="n"/>
    </row>
    <row r="45" ht="15.75" customHeight="1" s="111">
      <c r="A45" s="75" t="inlineStr">
        <is>
          <t>Anatomy</t>
        </is>
      </c>
      <c r="B45" s="75" t="inlineStr">
        <is>
          <t>FINAL</t>
        </is>
      </c>
      <c r="C45" s="82" t="inlineStr">
        <is>
          <t>Final exam prep - screen recording 12 Aug 2025, 01:43</t>
        </is>
      </c>
      <c r="D45" s="76" t="inlineStr">
        <is>
          <t>Not named</t>
        </is>
      </c>
      <c r="E45" s="75" t="inlineStr">
        <is>
          <t>Video</t>
        </is>
      </c>
      <c r="F45" s="109">
        <f>HYPERLINK("https://drive.google.com/file/d/111O_aKSsWxthGegu4uVMyUPomLdaIPhe/view","🔗  Open")</f>
        <v/>
      </c>
      <c r="G45" s="82" t="n"/>
    </row>
    <row r="46" ht="15.75" customHeight="1" s="111">
      <c r="A46" s="78" t="inlineStr">
        <is>
          <t>Anatomy</t>
        </is>
      </c>
      <c r="B46" s="78" t="inlineStr">
        <is>
          <t>FINAL</t>
        </is>
      </c>
      <c r="C46" s="83" t="inlineStr">
        <is>
          <t>Final exam prep - screen recording 12 Aug 2025, 02:12</t>
        </is>
      </c>
      <c r="D46" s="79" t="inlineStr">
        <is>
          <t>Not named</t>
        </is>
      </c>
      <c r="E46" s="78" t="inlineStr">
        <is>
          <t>Video</t>
        </is>
      </c>
      <c r="F46" s="110">
        <f>HYPERLINK("https://drive.google.com/file/d/1GBJR87x3CJbRZ0Vq-nRL4uNZKGR9nDrC/view","🔗  Open")</f>
        <v/>
      </c>
      <c r="G46" s="83" t="n"/>
    </row>
    <row r="47" ht="15.75" customHeight="1" s="111">
      <c r="A47" s="75" t="inlineStr">
        <is>
          <t>Anatomy</t>
        </is>
      </c>
      <c r="B47" s="75" t="inlineStr">
        <is>
          <t>FINAL</t>
        </is>
      </c>
      <c r="C47" s="82" t="inlineStr">
        <is>
          <t>Final exam prep - screen recording 12 Aug 2025, 22:59</t>
        </is>
      </c>
      <c r="D47" s="76" t="inlineStr">
        <is>
          <t>Not named</t>
        </is>
      </c>
      <c r="E47" s="75" t="inlineStr">
        <is>
          <t>Video</t>
        </is>
      </c>
      <c r="F47" s="109">
        <f>HYPERLINK("https://drive.google.com/file/d/12h8EGohla0Dq81dCk26DPpHsOx40V9VL/view","🔗  Open")</f>
        <v/>
      </c>
      <c r="G47" s="82" t="n"/>
    </row>
    <row r="48" ht="15.75" customHeight="1" s="111">
      <c r="A48" s="78" t="inlineStr">
        <is>
          <t>Physiology</t>
        </is>
      </c>
      <c r="B48" s="78" t="inlineStr">
        <is>
          <t>Module 10</t>
        </is>
      </c>
      <c r="C48" s="83" t="inlineStr">
        <is>
          <t>Exam Review Lecture</t>
        </is>
      </c>
      <c r="D48" s="79" t="inlineStr">
        <is>
          <t>Not named</t>
        </is>
      </c>
      <c r="E48" s="78" t="inlineStr">
        <is>
          <t>Video</t>
        </is>
      </c>
      <c r="F48" s="110">
        <f>HYPERLINK("https://drive.google.com/file/d/1UGUpXHp40ongHJunXoRhTQ0kTlTLA7Pq/view","🔗  Open")</f>
        <v/>
      </c>
      <c r="G48" s="83" t="inlineStr">
        <is>
          <t>Week 10</t>
        </is>
      </c>
    </row>
    <row r="49" ht="15.75" customHeight="1" s="111">
      <c r="A49" s="75" t="inlineStr">
        <is>
          <t>Physiology</t>
        </is>
      </c>
      <c r="B49" s="75" t="inlineStr">
        <is>
          <t>FINAL</t>
        </is>
      </c>
      <c r="C49" s="82" t="inlineStr">
        <is>
          <t>Final Exam Prep Lecture</t>
        </is>
      </c>
      <c r="D49" s="76" t="inlineStr">
        <is>
          <t>Not named</t>
        </is>
      </c>
      <c r="E49" s="75" t="inlineStr">
        <is>
          <t>Video</t>
        </is>
      </c>
      <c r="F49" s="109">
        <f>HYPERLINK("https://drive.google.com/file/d/1lWnTg0uyOq290vEkP28MvkqvJ97y5f9W/view","🔗  Open")</f>
        <v/>
      </c>
      <c r="G49" s="82" t="n"/>
    </row>
    <row r="50" ht="15.75" customHeight="1" s="111">
      <c r="A50" s="78" t="inlineStr">
        <is>
          <t>Physiology</t>
        </is>
      </c>
      <c r="B50" s="78" t="inlineStr">
        <is>
          <t>FINAL</t>
        </is>
      </c>
      <c r="C50" s="83" t="inlineStr">
        <is>
          <t>Final exam prep - screen recording 6 Aug 2025, 02:52</t>
        </is>
      </c>
      <c r="D50" s="79" t="inlineStr">
        <is>
          <t>Not named</t>
        </is>
      </c>
      <c r="E50" s="78" t="inlineStr">
        <is>
          <t>Video</t>
        </is>
      </c>
      <c r="F50" s="110">
        <f>HYPERLINK("https://drive.google.com/file/d/1z3f-a4JvsYQKFoXXjrlKhVoYD6fI2na-/view","🔗  Open")</f>
        <v/>
      </c>
      <c r="G50" s="83" t="n"/>
    </row>
    <row r="51" ht="15.75" customHeight="1" s="111">
      <c r="A51" s="75" t="inlineStr">
        <is>
          <t>Physiology</t>
        </is>
      </c>
      <c r="B51" s="75" t="inlineStr">
        <is>
          <t>FINAL</t>
        </is>
      </c>
      <c r="C51" s="82" t="inlineStr">
        <is>
          <t>Final exam prep - screen recording 6 Aug 2025, 03:31</t>
        </is>
      </c>
      <c r="D51" s="76" t="inlineStr">
        <is>
          <t>Not named</t>
        </is>
      </c>
      <c r="E51" s="75" t="inlineStr">
        <is>
          <t>Video</t>
        </is>
      </c>
      <c r="F51" s="109">
        <f>HYPERLINK("https://drive.google.com/file/d/1TL8au62OwpCJB8QvoJQPTAP3DPr2rQ9B/view","🔗  Open")</f>
        <v/>
      </c>
      <c r="G51" s="82" t="n"/>
    </row>
    <row r="52" ht="15.75" customHeight="1" s="111">
      <c r="A52" s="78" t="inlineStr">
        <is>
          <t>MAT 300</t>
        </is>
      </c>
      <c r="B52" s="78" t="inlineStr">
        <is>
          <t>Exam 1</t>
        </is>
      </c>
      <c r="C52" s="83" t="inlineStr">
        <is>
          <t>Week 7 Exam 1 Review Session</t>
        </is>
      </c>
      <c r="D52" s="79" t="inlineStr">
        <is>
          <t>Not named</t>
        </is>
      </c>
      <c r="E52" s="78" t="inlineStr">
        <is>
          <t>Video</t>
        </is>
      </c>
      <c r="F52" s="110">
        <f>HYPERLINK("https://drive.google.com/file/d/1xmpcMMEuUqaxs3rJIQPhScpMpaK6kQEZ/view","🔗  Open")</f>
        <v/>
      </c>
      <c r="G52" s="83" t="n"/>
    </row>
    <row r="53" ht="15.75" customHeight="1" s="111">
      <c r="A53" s="75" t="inlineStr">
        <is>
          <t>MAT 300</t>
        </is>
      </c>
      <c r="B53" s="75" t="inlineStr">
        <is>
          <t>FINAL</t>
        </is>
      </c>
      <c r="C53" s="82" t="inlineStr">
        <is>
          <t>Week 13 Live Session - Overview of Final Exam and Study Prep</t>
        </is>
      </c>
      <c r="D53" s="76" t="inlineStr">
        <is>
          <t>Not named</t>
        </is>
      </c>
      <c r="E53" s="75" t="inlineStr">
        <is>
          <t>Video</t>
        </is>
      </c>
      <c r="F53" s="109">
        <f>HYPERLINK("https://drive.google.com/file/d/1_R3mEoaWiDwBkg9wO_y2pz1VLP9YQkt0/view","🔗  Open")</f>
        <v/>
      </c>
      <c r="G53" s="82" t="n"/>
    </row>
    <row r="54" ht="15.75" customHeight="1" s="111">
      <c r="A54" s="78" t="inlineStr">
        <is>
          <t>MAT 300</t>
        </is>
      </c>
      <c r="B54" s="78" t="inlineStr">
        <is>
          <t>FINAL</t>
        </is>
      </c>
      <c r="C54" s="83" t="inlineStr">
        <is>
          <t>Final Exam Review Session</t>
        </is>
      </c>
      <c r="D54" s="79" t="inlineStr">
        <is>
          <t>Not named</t>
        </is>
      </c>
      <c r="E54" s="78" t="inlineStr">
        <is>
          <t>Video</t>
        </is>
      </c>
      <c r="F54" s="110">
        <f>HYPERLINK("https://drive.google.com/file/d/15iJt8VD1yRH6a94TFhQsv4XpNmoFCD-6/view","🔗  Open")</f>
        <v/>
      </c>
      <c r="G54" s="83" t="n"/>
    </row>
    <row r="55" ht="15.75" customHeight="1" s="111">
      <c r="A55" s="86" t="n"/>
      <c r="B55" s="86" t="n"/>
      <c r="C55" s="86" t="n"/>
      <c r="D55" s="86" t="n"/>
      <c r="E55" s="86" t="n"/>
      <c r="F55" s="86" t="n"/>
      <c r="G55" s="86" t="n"/>
    </row>
    <row r="56" ht="15.75" customHeight="1" s="111">
      <c r="A56" s="86" t="n"/>
      <c r="B56" s="86" t="n"/>
      <c r="C56" s="86" t="n"/>
      <c r="D56" s="86" t="n"/>
      <c r="E56" s="86" t="n"/>
      <c r="F56" s="86" t="n"/>
      <c r="G56" s="86" t="n"/>
    </row>
    <row r="57" ht="15.75" customHeight="1" s="111">
      <c r="A57" s="86" t="n"/>
      <c r="B57" s="86" t="n"/>
      <c r="C57" s="86" t="n"/>
      <c r="D57" s="86" t="n"/>
      <c r="E57" s="86" t="n"/>
      <c r="F57" s="86" t="n"/>
      <c r="G57" s="86"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2026-09-30T14:37:55Z</dcterms:created>
  <dcterms:modified xsi:type="dcterms:W3CDTF">2026-09-30T18:36:46Z</dcterms:modified>
</cp:coreProperties>
</file>