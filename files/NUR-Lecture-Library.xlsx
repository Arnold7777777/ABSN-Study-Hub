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5 Fadell" sheetId="7" state="visible" r:id="rId7"/>
    <sheet xmlns:r="http://schemas.openxmlformats.org/officeDocument/2006/relationships" name="NUR235 Fuller" sheetId="8" state="visible" r:id="rId8"/>
    <sheet xmlns:r="http://schemas.openxmlformats.org/officeDocument/2006/relationships" name="NUR235 Exam Reviews" sheetId="9" state="visible" r:id="rId9"/>
    <sheet xmlns:r="http://schemas.openxmlformats.org/officeDocument/2006/relationships" name="NUR258 Halecka" sheetId="10" state="visible" r:id="rId10"/>
    <sheet xmlns:r="http://schemas.openxmlformats.org/officeDocument/2006/relationships" name="NUR258 Wagner" sheetId="11" state="visible" r:id="rId11"/>
    <sheet xmlns:r="http://schemas.openxmlformats.org/officeDocument/2006/relationships" name="NUR258 Simmons" sheetId="12" state="visible" r:id="rId12"/>
    <sheet xmlns:r="http://schemas.openxmlformats.org/officeDocument/2006/relationships" name="NUR258 Exam Reviews" sheetId="13" state="visible" r:id="rId13"/>
    <sheet xmlns:r="http://schemas.openxmlformats.org/officeDocument/2006/relationships"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9">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1155CC"/>
      <sz val="12"/>
      <u val="single"/>
    </font>
    <font>
      <name val="Arial"/>
      <b val="1"/>
      <color rgb="FF1155CC"/>
      <sz val="11"/>
      <u val="single"/>
    </font>
    <font>
      <name val="Arial"/>
      <b val="1"/>
      <color rgb="FFFFFFFF"/>
      <sz val="11"/>
      <u val="single"/>
    </font>
    <font>
      <name val="Arial"/>
      <b val="1"/>
      <color rgb="FFFFFFFF"/>
      <sz val="12"/>
      <u val="single"/>
    </font>
    <font>
      <name val="Arial"/>
      <color theme="1"/>
      <sz val="11"/>
    </font>
    <font>
      <name val="Arial"/>
      <b val="1"/>
      <color rgb="FF404040"/>
      <sz val="11"/>
    </font>
    <font>
      <name val="Arial"/>
      <b val="1"/>
      <color rgb="FF1155CC"/>
      <sz val="11"/>
      <u val="single"/>
    </font>
    <font>
      <name val="Arial"/>
      <i val="1"/>
      <color rgb="FF333333"/>
      <sz val="11"/>
    </font>
    <font>
      <name val="Arial"/>
      <b val="1"/>
      <color rgb="FF1155CC"/>
      <sz val="11"/>
      <u val="single"/>
    </font>
    <font>
      <name val="Arial"/>
      <b val="1"/>
      <color rgb="FFFFFFFF"/>
      <sz val="11"/>
    </font>
    <font>
      <name val="Arial"/>
      <color rgb="FF1155CC"/>
      <sz val="11"/>
      <u val="single"/>
    </font>
    <font>
      <name val="Arial"/>
      <b val="1"/>
      <color rgb="FFFFFFFF"/>
      <sz val="14"/>
      <u val="single"/>
    </font>
    <font>
      <name val="Arial"/>
      <b val="1"/>
      <color rgb="FFFFFFFF"/>
      <sz val="11"/>
      <u val="single"/>
    </font>
    <font>
      <name val="Arial"/>
      <color rgb="FFFFFFFF"/>
      <sz val="11"/>
    </font>
    <font>
      <name val="Arial"/>
      <b val="1"/>
      <color rgb="FFFFFFFF"/>
      <sz val="12"/>
      <u val="single"/>
    </font>
    <font>
      <name val="Arial"/>
      <color rgb="FF1155CC"/>
      <sz val="11"/>
      <u val="single"/>
    </font>
    <font>
      <name val="Arial"/>
      <b val="1"/>
      <color rgb="FFFFFFFF"/>
      <sz val="11"/>
      <u val="single"/>
    </font>
    <font>
      <name val="Arial"/>
      <b val="1"/>
      <color rgb="FFFFFFFF"/>
      <sz val="11"/>
      <u val="single"/>
    </font>
    <font>
      <name val="Arial"/>
      <color theme="0"/>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rgb="FFFFFFFF"/>
      <sz val="11"/>
      <u val="single"/>
    </font>
    <font>
      <name val="Arial"/>
      <b val="1"/>
      <color theme="0"/>
      <sz val="11"/>
    </font>
    <font>
      <name val="Arial"/>
      <b val="1"/>
      <color rgb="FFFFFFFF"/>
      <sz val="11"/>
      <u val="single"/>
    </font>
    <font>
      <name val="Arial"/>
      <color theme="0"/>
      <sz val="11"/>
      <u val="single"/>
    </font>
    <font>
      <name val="Arial"/>
      <color theme="0"/>
      <sz val="11"/>
      <u val="single"/>
    </font>
    <font>
      <name val="Calibri"/>
      <color theme="0"/>
      <sz val="11"/>
    </font>
    <font>
      <name val="Calibri"/>
      <color theme="0"/>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3A2A00"/>
        <bgColor rgb="FF3A2A00"/>
      </patternFill>
    </fill>
    <fill>
      <patternFill patternType="solid">
        <fgColor rgb="FF0B1B36"/>
        <bgColor rgb="FF0B1B36"/>
      </patternFill>
    </fill>
    <fill>
      <patternFill patternType="solid">
        <fgColor rgb="FF111111"/>
        <bgColor rgb="FF111111"/>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1B3057"/>
        <bgColor rgb="FF1B3057"/>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9">
    <xf numFmtId="0" fontId="0" fillId="0" borderId="0" applyAlignment="1" pivotButton="0" quotePrefix="0" xfId="0">
      <alignment vertical="bottom"/>
    </xf>
    <xf numFmtId="0" fontId="1" fillId="2" borderId="1" applyAlignment="1" pivotButton="0" quotePrefix="0" xfId="0">
      <alignment horizontal="left" vertical="center"/>
    </xf>
    <xf numFmtId="0" fontId="1"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3" applyAlignment="1" pivotButton="0" quotePrefix="0" xfId="0">
      <alignment horizontal="center" vertical="center"/>
    </xf>
    <xf numFmtId="0" fontId="8" fillId="6" borderId="4" applyAlignment="1" pivotButton="0" quotePrefix="0" xfId="0">
      <alignment horizontal="center" vertical="center"/>
    </xf>
    <xf numFmtId="0" fontId="9" fillId="7" borderId="3" applyAlignment="1" pivotButton="0" quotePrefix="0" xfId="0">
      <alignment horizontal="center" vertical="center"/>
    </xf>
    <xf numFmtId="0" fontId="10" fillId="5" borderId="4" applyAlignment="1" pivotButton="0" quotePrefix="0" xfId="0">
      <alignment horizontal="center" vertical="center"/>
    </xf>
    <xf numFmtId="0" fontId="11" fillId="5" borderId="3" applyAlignment="1" pivotButton="0" quotePrefix="0" xfId="0">
      <alignment horizontal="center" vertical="center"/>
    </xf>
    <xf numFmtId="0" fontId="12" fillId="8" borderId="0" applyAlignment="1" pivotButton="0" quotePrefix="0" xfId="0">
      <alignment horizontal="center" vertical="center"/>
    </xf>
    <xf numFmtId="0" fontId="14" fillId="0" borderId="0" pivotButton="0" quotePrefix="0" xfId="0"/>
    <xf numFmtId="0" fontId="13" fillId="9" borderId="3" applyAlignment="1" pivotButton="0" quotePrefix="0" xfId="0">
      <alignment horizontal="center" vertical="center"/>
    </xf>
    <xf numFmtId="0" fontId="15" fillId="5" borderId="3" applyAlignment="1" pivotButton="0" quotePrefix="0" xfId="0">
      <alignment horizontal="center" vertical="center"/>
    </xf>
    <xf numFmtId="0" fontId="17" fillId="0" borderId="5" applyAlignment="1" pivotButton="0" quotePrefix="0" xfId="0">
      <alignment vertical="center" wrapText="1"/>
    </xf>
    <xf numFmtId="0" fontId="16" fillId="5" borderId="4" applyAlignment="1" pivotButton="0" quotePrefix="0" xfId="0">
      <alignment horizontal="center" vertical="center"/>
    </xf>
    <xf numFmtId="0" fontId="3" fillId="0" borderId="6" pivotButton="0" quotePrefix="0" xfId="0"/>
    <xf numFmtId="0" fontId="3" fillId="0" borderId="7" pivotButton="0" quotePrefix="0" xfId="0"/>
    <xf numFmtId="0" fontId="18" fillId="5" borderId="0" applyAlignment="1" pivotButton="0" quotePrefix="0" xfId="0">
      <alignment horizontal="center" vertical="center"/>
    </xf>
    <xf numFmtId="0" fontId="19" fillId="2" borderId="3" applyAlignment="1" pivotButton="0" quotePrefix="0" xfId="0">
      <alignment horizontal="center" vertical="center"/>
    </xf>
    <xf numFmtId="0" fontId="19" fillId="2" borderId="3" applyAlignment="1" pivotButton="0" quotePrefix="0" xfId="0">
      <alignment horizontal="left" vertical="center"/>
    </xf>
    <xf numFmtId="0" fontId="20" fillId="10" borderId="8" applyAlignment="1" pivotButton="0" quotePrefix="0" xfId="0">
      <alignment horizontal="center" vertical="center"/>
    </xf>
    <xf numFmtId="0" fontId="21" fillId="3" borderId="0" applyAlignment="1" pivotButton="0" quotePrefix="0" xfId="0">
      <alignment horizontal="left" vertical="center"/>
    </xf>
    <xf numFmtId="0" fontId="22" fillId="11" borderId="8" applyAlignment="1" pivotButton="0" quotePrefix="0" xfId="0">
      <alignment horizontal="center" vertical="center"/>
    </xf>
    <xf numFmtId="0" fontId="23" fillId="12" borderId="3" applyAlignment="1" pivotButton="0" quotePrefix="0" xfId="0">
      <alignment horizontal="center" vertical="center"/>
    </xf>
    <xf numFmtId="0" fontId="23" fillId="12" borderId="3" applyAlignment="1" pivotButton="0" quotePrefix="0" xfId="0">
      <alignment horizontal="left" vertical="center"/>
    </xf>
    <xf numFmtId="0" fontId="24" fillId="11" borderId="0" applyAlignment="1" pivotButton="0" quotePrefix="0" xfId="0">
      <alignment horizontal="left" vertical="center"/>
    </xf>
    <xf numFmtId="0" fontId="19" fillId="12" borderId="3" applyAlignment="1" pivotButton="0" quotePrefix="0" xfId="0">
      <alignment horizontal="left" vertical="center"/>
    </xf>
    <xf numFmtId="0" fontId="14" fillId="11" borderId="0" pivotButton="0" quotePrefix="0" xfId="0"/>
    <xf numFmtId="0" fontId="25" fillId="10" borderId="0" applyAlignment="1" pivotButton="0" quotePrefix="0" xfId="0">
      <alignment horizontal="center" vertical="center"/>
    </xf>
    <xf numFmtId="0" fontId="23" fillId="12" borderId="3" applyAlignment="1" pivotButton="0" quotePrefix="0" xfId="0">
      <alignment horizontal="left" vertical="center" wrapText="1"/>
    </xf>
    <xf numFmtId="0" fontId="26" fillId="12" borderId="3" applyAlignment="1" pivotButton="0" quotePrefix="0" xfId="0">
      <alignment horizontal="left" vertical="center"/>
    </xf>
    <xf numFmtId="0" fontId="23" fillId="12" borderId="3" applyAlignment="1" pivotButton="0" quotePrefix="0" xfId="0">
      <alignment vertical="center" wrapText="1"/>
    </xf>
    <xf numFmtId="0" fontId="23" fillId="13" borderId="3" applyAlignment="1" pivotButton="0" quotePrefix="0" xfId="0">
      <alignment horizontal="center" vertical="center"/>
    </xf>
    <xf numFmtId="49" fontId="19" fillId="3" borderId="3" applyAlignment="1" pivotButton="0" quotePrefix="0" xfId="0">
      <alignment horizontal="center" vertical="center" wrapText="1"/>
    </xf>
    <xf numFmtId="0" fontId="23" fillId="13" borderId="3" applyAlignment="1" pivotButton="0" quotePrefix="0" xfId="0">
      <alignment horizontal="left" vertical="center"/>
    </xf>
    <xf numFmtId="0" fontId="27" fillId="13" borderId="3" applyAlignment="1" pivotButton="0" quotePrefix="0" xfId="0">
      <alignment horizontal="left" vertical="center"/>
    </xf>
    <xf numFmtId="0" fontId="28" fillId="11" borderId="3" applyAlignment="1" pivotButton="0" quotePrefix="0" xfId="0">
      <alignment horizontal="center" vertical="center"/>
    </xf>
    <xf numFmtId="0" fontId="23" fillId="13" borderId="3" applyAlignment="1" pivotButton="0" quotePrefix="0" xfId="0">
      <alignment vertical="center" wrapText="1"/>
    </xf>
    <xf numFmtId="0" fontId="14" fillId="0" borderId="0" applyAlignment="1" pivotButton="0" quotePrefix="0" xfId="0">
      <alignment horizontal="left" vertical="center"/>
    </xf>
    <xf numFmtId="0" fontId="28" fillId="11" borderId="3" applyAlignment="1" pivotButton="0" quotePrefix="0" xfId="0">
      <alignment horizontal="left" vertical="center"/>
    </xf>
    <xf numFmtId="0" fontId="23" fillId="11" borderId="3" applyAlignment="1" pivotButton="0" quotePrefix="0" xfId="0">
      <alignment horizontal="center" vertical="center"/>
    </xf>
    <xf numFmtId="0" fontId="23" fillId="13" borderId="3" applyAlignment="1" pivotButton="0" quotePrefix="0" xfId="0">
      <alignment horizontal="left" vertical="center" wrapText="1"/>
    </xf>
    <xf numFmtId="0" fontId="23" fillId="14" borderId="3" applyAlignment="1" pivotButton="0" quotePrefix="0" xfId="0">
      <alignment horizontal="center" vertical="center"/>
    </xf>
    <xf numFmtId="0" fontId="23" fillId="11" borderId="3" applyAlignment="1" pivotButton="0" quotePrefix="0" xfId="0">
      <alignment horizontal="left" vertical="center"/>
    </xf>
    <xf numFmtId="0" fontId="29" fillId="15" borderId="0" applyAlignment="1" pivotButton="0" quotePrefix="0" xfId="0">
      <alignment horizontal="left" vertical="center"/>
    </xf>
    <xf numFmtId="0" fontId="30" fillId="16" borderId="3" applyAlignment="1" pivotButton="0" quotePrefix="0" xfId="0">
      <alignment horizontal="left" vertical="center"/>
    </xf>
    <xf numFmtId="0" fontId="28" fillId="16" borderId="3" applyAlignment="1" pivotButton="0" quotePrefix="0" xfId="0">
      <alignment horizontal="left" vertical="center"/>
    </xf>
    <xf numFmtId="0" fontId="23" fillId="14" borderId="3" applyAlignment="1" pivotButton="0" quotePrefix="0" xfId="0">
      <alignment horizontal="left" vertical="center"/>
    </xf>
    <xf numFmtId="0" fontId="31" fillId="11" borderId="3" applyAlignment="1" pivotButton="0" quotePrefix="0" xfId="0">
      <alignment horizontal="left" vertical="center"/>
    </xf>
    <xf numFmtId="0" fontId="32" fillId="17" borderId="0" applyAlignment="1" pivotButton="0" quotePrefix="0" xfId="0">
      <alignment horizontal="left" vertical="center"/>
    </xf>
    <xf numFmtId="0" fontId="14" fillId="17" borderId="0" pivotButton="0" quotePrefix="0" xfId="0"/>
    <xf numFmtId="0" fontId="33" fillId="11" borderId="3" applyAlignment="1" pivotButton="0" quotePrefix="0" xfId="0">
      <alignment horizontal="left" vertical="center"/>
    </xf>
    <xf numFmtId="0" fontId="23" fillId="16" borderId="3" applyAlignment="1" pivotButton="0" quotePrefix="0" xfId="0">
      <alignment horizontal="center" vertical="center"/>
    </xf>
    <xf numFmtId="0" fontId="23" fillId="16" borderId="3" applyAlignment="1" pivotButton="0" quotePrefix="0" xfId="0">
      <alignment horizontal="left" vertical="center"/>
    </xf>
    <xf numFmtId="0" fontId="34" fillId="16" borderId="3" applyAlignment="1" pivotButton="0" quotePrefix="0" xfId="0">
      <alignment horizontal="left" vertical="center"/>
    </xf>
    <xf numFmtId="0" fontId="19" fillId="11" borderId="3" applyAlignment="1" pivotButton="0" quotePrefix="0" xfId="0">
      <alignment horizontal="left" vertical="center"/>
    </xf>
    <xf numFmtId="0" fontId="35" fillId="18" borderId="0" applyAlignment="1" pivotButton="0" quotePrefix="0" xfId="0">
      <alignment horizontal="left" vertical="center"/>
    </xf>
    <xf numFmtId="0" fontId="36" fillId="19" borderId="0" applyAlignment="1" pivotButton="0" quotePrefix="0" xfId="0">
      <alignment horizontal="left" vertical="center"/>
    </xf>
    <xf numFmtId="0" fontId="14" fillId="19" borderId="0" pivotButton="0" quotePrefix="0" xfId="0"/>
    <xf numFmtId="0" fontId="19" fillId="16"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23" fillId="21" borderId="3" applyAlignment="1" pivotButton="0" quotePrefix="0" xfId="0">
      <alignment horizontal="left" vertical="center"/>
    </xf>
    <xf numFmtId="0" fontId="39" fillId="0" borderId="0" applyAlignment="1" pivotButton="0" quotePrefix="0" xfId="0">
      <alignment horizontal="left" vertical="center" wrapText="1"/>
    </xf>
    <xf numFmtId="0" fontId="1" fillId="15" borderId="1" applyAlignment="1" pivotButton="0" quotePrefix="0" xfId="0">
      <alignment horizontal="left" vertical="center"/>
    </xf>
    <xf numFmtId="0" fontId="28" fillId="0" borderId="0" pivotButton="0" quotePrefix="0" xfId="0"/>
    <xf numFmtId="0" fontId="19" fillId="15" borderId="3" applyAlignment="1" pivotButton="0" quotePrefix="0" xfId="0">
      <alignment horizontal="center" vertical="center" wrapText="1"/>
    </xf>
    <xf numFmtId="0" fontId="40" fillId="11" borderId="0" applyAlignment="1" pivotButton="0" quotePrefix="0" xfId="0">
      <alignment horizontal="center" vertical="center"/>
    </xf>
    <xf numFmtId="0" fontId="23" fillId="17" borderId="3" applyAlignment="1" pivotButton="0" quotePrefix="0" xfId="0">
      <alignment horizontal="center" vertical="center"/>
    </xf>
    <xf numFmtId="0" fontId="23" fillId="17" borderId="3" applyAlignment="1" pivotButton="0" quotePrefix="0" xfId="0">
      <alignment horizontal="left" vertical="center"/>
    </xf>
    <xf numFmtId="0" fontId="41" fillId="17" borderId="3" applyAlignment="1" pivotButton="0" quotePrefix="0" xfId="0">
      <alignment horizontal="left" vertical="center"/>
    </xf>
    <xf numFmtId="0" fontId="19" fillId="3" borderId="3" applyAlignment="1" pivotButton="0" quotePrefix="0" xfId="0">
      <alignment horizontal="center" vertical="center" wrapText="1"/>
    </xf>
    <xf numFmtId="0" fontId="23" fillId="22" borderId="3" applyAlignment="1" pivotButton="0" quotePrefix="0" xfId="0">
      <alignment horizontal="center" vertical="center"/>
    </xf>
    <xf numFmtId="0" fontId="42" fillId="3" borderId="3" applyAlignment="1" pivotButton="0" quotePrefix="0" xfId="0">
      <alignment horizontal="center" vertical="center" wrapText="1"/>
    </xf>
    <xf numFmtId="0" fontId="23" fillId="22" borderId="3" applyAlignment="1" pivotButton="0" quotePrefix="0" xfId="0">
      <alignment horizontal="left" vertical="center"/>
    </xf>
    <xf numFmtId="0" fontId="43" fillId="22" borderId="3" applyAlignment="1" pivotButton="0" quotePrefix="0" xfId="0">
      <alignment horizontal="left" vertical="center"/>
    </xf>
    <xf numFmtId="0" fontId="44" fillId="16" borderId="3" applyAlignment="1" pivotButton="0" quotePrefix="0" xfId="0">
      <alignment horizontal="left" vertical="center"/>
    </xf>
    <xf numFmtId="0" fontId="23" fillId="17" borderId="3" applyAlignment="1" pivotButton="0" quotePrefix="0" xfId="0">
      <alignment vertical="center" wrapText="1"/>
    </xf>
    <xf numFmtId="0" fontId="45" fillId="11" borderId="3" applyAlignment="1" pivotButton="0" quotePrefix="0" xfId="0">
      <alignment horizontal="left" vertical="center"/>
    </xf>
    <xf numFmtId="0" fontId="28" fillId="21" borderId="3" applyAlignment="1" pivotButton="0" quotePrefix="0" xfId="0">
      <alignment horizontal="left" vertical="center"/>
    </xf>
    <xf numFmtId="0" fontId="46" fillId="0" borderId="0" pivotButton="0" quotePrefix="0" xfId="0"/>
    <xf numFmtId="0" fontId="47" fillId="0" borderId="0" pivotButton="0" quotePrefix="0" xfId="0"/>
    <xf numFmtId="0" fontId="48" fillId="17" borderId="3" applyAlignment="1" pivotButton="0" quotePrefix="0" xfId="0">
      <alignment horizontal="left" vertical="center"/>
    </xf>
    <xf numFmtId="0" fontId="49" fillId="22" borderId="3" applyAlignment="1" pivotButton="0" quotePrefix="0" xfId="0">
      <alignment horizontal="left" vertical="center"/>
    </xf>
    <xf numFmtId="0" fontId="23" fillId="23" borderId="3" applyAlignment="1" pivotButton="0" quotePrefix="0" xfId="0">
      <alignment horizontal="left" vertical="center"/>
    </xf>
    <xf numFmtId="0" fontId="1" fillId="18" borderId="1" applyAlignment="1" pivotButton="0" quotePrefix="0" xfId="0">
      <alignment horizontal="left" vertical="center"/>
    </xf>
    <xf numFmtId="0" fontId="50" fillId="24" borderId="8" applyAlignment="1" pivotButton="0" quotePrefix="0" xfId="0">
      <alignment horizontal="center" vertical="center"/>
    </xf>
    <xf numFmtId="0" fontId="19" fillId="18" borderId="3" applyAlignment="1" pivotButton="0" quotePrefix="0" xfId="0">
      <alignment horizontal="center" vertical="center" wrapText="1"/>
    </xf>
    <xf numFmtId="0" fontId="23" fillId="19" borderId="3" applyAlignment="1" pivotButton="0" quotePrefix="0" xfId="0">
      <alignment horizontal="center" vertical="center"/>
    </xf>
    <xf numFmtId="0" fontId="23" fillId="19" borderId="3" applyAlignment="1" pivotButton="0" quotePrefix="0" xfId="0">
      <alignment horizontal="left" vertical="center"/>
    </xf>
    <xf numFmtId="0" fontId="51" fillId="19" borderId="3" applyAlignment="1" pivotButton="0" quotePrefix="0" xfId="0">
      <alignment horizontal="left" vertical="center"/>
    </xf>
    <xf numFmtId="0" fontId="23" fillId="24" borderId="3" applyAlignment="1" pivotButton="0" quotePrefix="0" xfId="0">
      <alignment horizontal="center" vertical="center"/>
    </xf>
    <xf numFmtId="0" fontId="23" fillId="24" borderId="3" applyAlignment="1" pivotButton="0" quotePrefix="0" xfId="0">
      <alignment horizontal="left" vertical="center"/>
    </xf>
    <xf numFmtId="0" fontId="52" fillId="24" borderId="3" applyAlignment="1" pivotButton="0" quotePrefix="0" xfId="0">
      <alignment horizontal="left" vertical="center"/>
    </xf>
    <xf numFmtId="0" fontId="23" fillId="24" borderId="3" applyAlignment="1" pivotButton="0" quotePrefix="0" xfId="0">
      <alignment vertical="center" wrapText="1"/>
    </xf>
    <xf numFmtId="0" fontId="19" fillId="19" borderId="3" applyAlignment="1" pivotButton="0" quotePrefix="0" xfId="0">
      <alignment horizontal="left" vertical="center"/>
    </xf>
    <xf numFmtId="0" fontId="19" fillId="24" borderId="3" applyAlignment="1" pivotButton="0" quotePrefix="0" xfId="0">
      <alignment horizontal="left" vertical="center"/>
    </xf>
    <xf numFmtId="0" fontId="23" fillId="25" borderId="3" applyAlignment="1" pivotButton="0" quotePrefix="0" xfId="0">
      <alignment horizontal="left" vertical="center"/>
    </xf>
    <xf numFmtId="0" fontId="53" fillId="24" borderId="0" applyAlignment="1" pivotButton="0" quotePrefix="0" xfId="0">
      <alignment horizontal="center" vertical="center"/>
    </xf>
    <xf numFmtId="0" fontId="54" fillId="0" borderId="0" pivotButton="0" quotePrefix="0" xfId="0"/>
    <xf numFmtId="0" fontId="55" fillId="19" borderId="3" applyAlignment="1" pivotButton="0" quotePrefix="0" xfId="0">
      <alignment horizontal="left" vertical="center"/>
    </xf>
    <xf numFmtId="0" fontId="23" fillId="25" borderId="0" pivotButton="0" quotePrefix="0" xfId="0"/>
    <xf numFmtId="0" fontId="56" fillId="10" borderId="8" applyAlignment="1" pivotButton="0" quotePrefix="0" xfId="0">
      <alignment horizontal="center" vertical="center"/>
    </xf>
    <xf numFmtId="0" fontId="19" fillId="22" borderId="0" applyAlignment="1" pivotButton="0" quotePrefix="0" xfId="0">
      <alignment horizontal="center" vertical="center"/>
    </xf>
    <xf numFmtId="0" fontId="56" fillId="10" borderId="0" applyAlignment="1" pivotButton="0" quotePrefix="0" xfId="0">
      <alignment horizontal="center" vertical="center"/>
    </xf>
    <xf numFmtId="0" fontId="23" fillId="17" borderId="3" applyAlignment="1" pivotButton="0" quotePrefix="0" xfId="0">
      <alignment horizontal="left" vertical="center" wrapText="1"/>
    </xf>
    <xf numFmtId="0" fontId="57" fillId="17" borderId="3" applyAlignment="1" pivotButton="0" quotePrefix="0" xfId="0">
      <alignment horizontal="center" vertical="center"/>
    </xf>
    <xf numFmtId="0" fontId="23" fillId="22" borderId="3" applyAlignment="1" pivotButton="0" quotePrefix="0" xfId="0">
      <alignment horizontal="left" vertical="center" wrapText="1"/>
    </xf>
    <xf numFmtId="0" fontId="58" fillId="22" borderId="3" applyAlignment="1" pivotButton="0" quotePrefix="0" xfId="0">
      <alignment horizontal="center" vertical="center"/>
    </xf>
    <xf numFmtId="0" fontId="0" fillId="0" borderId="0" pivotButton="0" quotePrefix="0" xfId="0"/>
    <xf numFmtId="0" fontId="17" fillId="0" borderId="8" applyAlignment="1" pivotButton="0" quotePrefix="0" xfId="0">
      <alignment vertical="center" wrapText="1"/>
    </xf>
    <xf numFmtId="0" fontId="0" fillId="0" borderId="6" pivotButton="0" quotePrefix="0" xfId="0"/>
    <xf numFmtId="0" fontId="0" fillId="0" borderId="7" pivotButton="0" quotePrefix="0" xfId="0"/>
    <xf numFmtId="0" fontId="58" fillId="19" borderId="3" applyAlignment="1" pivotButton="0" quotePrefix="0" xfId="0">
      <alignment horizontal="left" vertical="center"/>
    </xf>
    <xf numFmtId="0" fontId="58" fillId="17" borderId="3"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3" min="1" max="1"/>
    <col width="22" customWidth="1" style="113" min="2" max="5"/>
    <col width="8.710000000000001" customWidth="1" style="113" min="6" max="6"/>
  </cols>
  <sheetData>
    <row r="1">
      <c r="A1" s="3"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5" t="inlineStr">
        <is>
          <t>NUR258</t>
        </is>
      </c>
      <c r="D3" s="16" t="inlineStr">
        <is>
          <t>🏠 START HERE</t>
        </is>
      </c>
      <c r="E3" s="21" t="inlineStr">
        <is>
          <t>📥 Sort me</t>
        </is>
      </c>
      <c r="F3" s="5" t="n"/>
      <c r="G3" s="5" t="n"/>
    </row>
    <row r="4">
      <c r="A4" s="14" t="n"/>
      <c r="B4" s="14" t="n"/>
      <c r="C4" s="14" t="n"/>
      <c r="D4" s="14" t="n"/>
      <c r="E4" s="14" t="n"/>
      <c r="F4" s="5" t="n"/>
      <c r="G4" s="5" t="n"/>
    </row>
    <row r="5">
      <c r="A5" s="25" t="inlineStr">
        <is>
          <t>NUR234</t>
        </is>
      </c>
      <c r="F5" s="5" t="n"/>
      <c r="G5" s="5" t="n"/>
    </row>
    <row r="6">
      <c r="A6" s="29" t="inlineStr">
        <is>
          <t>→  Kaiser</t>
        </is>
      </c>
      <c r="B6" s="31" t="n"/>
      <c r="C6" s="31" t="n"/>
      <c r="D6" s="31" t="n"/>
      <c r="E6" s="31" t="n"/>
      <c r="F6" s="5" t="n"/>
      <c r="G6" s="5" t="n"/>
    </row>
    <row r="7">
      <c r="A7" s="29" t="inlineStr">
        <is>
          <t>→  Buhler</t>
        </is>
      </c>
      <c r="B7" s="31" t="n"/>
      <c r="C7" s="31" t="n"/>
      <c r="D7" s="31" t="n"/>
      <c r="E7" s="31" t="n"/>
      <c r="F7" s="5" t="n"/>
      <c r="G7" s="5" t="n"/>
    </row>
    <row r="8">
      <c r="A8" s="29" t="inlineStr">
        <is>
          <t>→  Glesner</t>
        </is>
      </c>
      <c r="B8" s="31" t="n"/>
      <c r="C8" s="31" t="n"/>
      <c r="D8" s="31" t="n"/>
      <c r="E8" s="31" t="n"/>
      <c r="F8" s="5" t="n"/>
      <c r="G8" s="5" t="n"/>
    </row>
    <row r="9">
      <c r="A9" s="29" t="inlineStr">
        <is>
          <t>→  Exam Reviews</t>
        </is>
      </c>
      <c r="B9" s="31" t="n"/>
      <c r="C9" s="31" t="n"/>
      <c r="D9" s="31" t="n"/>
      <c r="E9" s="31" t="n"/>
      <c r="F9" s="5" t="n"/>
      <c r="G9" s="5" t="n"/>
    </row>
    <row r="10">
      <c r="A10" s="29" t="n"/>
      <c r="B10" s="31" t="n"/>
      <c r="C10" s="31" t="n"/>
      <c r="D10" s="31" t="n"/>
      <c r="E10" s="31" t="n"/>
      <c r="F10" s="5" t="n"/>
      <c r="G10" s="5" t="n"/>
    </row>
    <row r="11">
      <c r="A11" s="42" t="n"/>
      <c r="B11" s="14" t="n"/>
      <c r="C11" s="14" t="n"/>
      <c r="D11" s="14" t="n"/>
      <c r="E11" s="14" t="n"/>
      <c r="F11" s="5" t="n"/>
      <c r="G11" s="5" t="n"/>
    </row>
    <row r="12">
      <c r="A12" s="48" t="inlineStr">
        <is>
          <t>NUR235</t>
        </is>
      </c>
      <c r="F12" s="5" t="n"/>
      <c r="G12" s="5" t="n"/>
    </row>
    <row r="13">
      <c r="A13" s="53" t="inlineStr">
        <is>
          <t>→  Fadell</t>
        </is>
      </c>
      <c r="B13" s="54" t="n"/>
      <c r="C13" s="54" t="n"/>
      <c r="D13" s="54" t="n"/>
      <c r="E13" s="54" t="n"/>
      <c r="F13" s="5" t="n"/>
      <c r="G13" s="5" t="n"/>
    </row>
    <row r="14">
      <c r="A14" s="53" t="inlineStr">
        <is>
          <t>→  Fuller</t>
        </is>
      </c>
      <c r="B14" s="54" t="n"/>
      <c r="C14" s="54" t="n"/>
      <c r="D14" s="54" t="n"/>
      <c r="E14" s="54" t="n"/>
      <c r="F14" s="5" t="n"/>
      <c r="G14" s="5" t="n"/>
    </row>
    <row r="15">
      <c r="A15" s="53" t="inlineStr">
        <is>
          <t>→  Exam Reviews</t>
        </is>
      </c>
      <c r="B15" s="54" t="n"/>
      <c r="C15" s="54" t="n"/>
      <c r="D15" s="54" t="n"/>
      <c r="E15" s="54" t="n"/>
      <c r="F15" s="5" t="n"/>
      <c r="G15" s="5" t="n"/>
    </row>
    <row r="16">
      <c r="A16" s="53" t="n"/>
      <c r="B16" s="54" t="n"/>
      <c r="C16" s="54" t="n"/>
      <c r="D16" s="54" t="n"/>
      <c r="E16" s="54" t="n"/>
      <c r="F16" s="5" t="n"/>
      <c r="G16" s="5" t="n"/>
    </row>
    <row r="17">
      <c r="A17" s="42" t="n"/>
      <c r="B17" s="14" t="n"/>
      <c r="C17" s="14" t="n"/>
      <c r="D17" s="14" t="n"/>
      <c r="E17" s="14" t="n"/>
      <c r="F17" s="5" t="n"/>
      <c r="G17" s="5" t="n"/>
    </row>
    <row r="18">
      <c r="A18" s="60" t="inlineStr">
        <is>
          <t>NUR258</t>
        </is>
      </c>
      <c r="F18" s="5" t="n"/>
      <c r="G18" s="5" t="n"/>
    </row>
    <row r="19">
      <c r="A19" s="61" t="inlineStr">
        <is>
          <t>→  Halecka</t>
        </is>
      </c>
      <c r="B19" s="62" t="n"/>
      <c r="C19" s="62" t="n"/>
      <c r="D19" s="62" t="n"/>
      <c r="E19" s="62" t="n"/>
      <c r="F19" s="5" t="n"/>
      <c r="G19" s="5" t="n"/>
    </row>
    <row r="20" ht="15.75" customHeight="1" s="113">
      <c r="A20" s="61" t="inlineStr">
        <is>
          <t>→  Wagner</t>
        </is>
      </c>
      <c r="B20" s="62" t="n"/>
      <c r="C20" s="62" t="n"/>
      <c r="D20" s="62" t="n"/>
      <c r="E20" s="62" t="n"/>
      <c r="F20" s="5" t="n"/>
      <c r="G20" s="5" t="n"/>
    </row>
    <row r="21" ht="15.75" customHeight="1" s="113">
      <c r="A21" s="61" t="inlineStr">
        <is>
          <t>→  Simmons</t>
        </is>
      </c>
      <c r="B21" s="62" t="n"/>
      <c r="C21" s="62" t="n"/>
      <c r="D21" s="62" t="n"/>
      <c r="E21" s="62" t="n"/>
      <c r="F21" s="5" t="n"/>
      <c r="G21" s="5" t="n"/>
    </row>
    <row r="22" ht="15.75" customHeight="1" s="113">
      <c r="A22" s="61" t="inlineStr">
        <is>
          <t>→  Exam Reviews</t>
        </is>
      </c>
      <c r="B22" s="62" t="n"/>
      <c r="C22" s="62" t="n"/>
      <c r="D22" s="62" t="n"/>
      <c r="E22" s="62" t="n"/>
      <c r="F22" s="5" t="n"/>
      <c r="G22" s="5" t="n"/>
    </row>
    <row r="23" ht="15.75" customHeight="1" s="113">
      <c r="A23" s="61" t="n"/>
      <c r="B23" s="62" t="n"/>
      <c r="C23" s="62" t="n"/>
      <c r="D23" s="62" t="n"/>
      <c r="E23" s="62" t="n"/>
      <c r="F23" s="5" t="n"/>
      <c r="G23" s="5" t="n"/>
    </row>
    <row r="24" ht="15.75" customHeight="1" s="113">
      <c r="A24" s="42" t="n"/>
      <c r="B24" s="14" t="n"/>
      <c r="C24" s="14" t="n"/>
      <c r="D24" s="14" t="n"/>
      <c r="E24" s="14" t="n"/>
      <c r="F24" s="5" t="n"/>
      <c r="G24" s="5" t="n"/>
    </row>
    <row r="25" ht="15.75" customHeight="1" s="113">
      <c r="A25" s="64" t="inlineStr">
        <is>
          <t>HOW TO USE IT</t>
        </is>
      </c>
      <c r="F25" s="5" t="n"/>
      <c r="G25" s="5" t="n"/>
    </row>
    <row r="26" ht="15.75" customHeight="1" s="113">
      <c r="A26" s="65" t="inlineStr">
        <is>
          <t>•  Every recording links straight to the video in your Google Drive - no passwords needed.</t>
        </is>
      </c>
      <c r="F26" s="5" t="n"/>
      <c r="G26" s="5" t="n"/>
    </row>
    <row r="27" ht="15.75" customHeight="1" s="113">
      <c r="A27" s="65" t="inlineStr">
        <is>
          <t>•  Each lecturer has their own sub-tab. The Lecturer column repeats it row by row.</t>
        </is>
      </c>
      <c r="F27" s="5" t="n"/>
      <c r="G27" s="5" t="n"/>
    </row>
    <row r="28" ht="15.75" customHeight="1" s="113">
      <c r="A28" s="65" t="inlineStr">
        <is>
          <t>•  Every lecturer has their own sub-tab. The Lecturer column repeats it row by row.</t>
        </is>
      </c>
      <c r="F28" s="5" t="n"/>
      <c r="G28" s="5" t="n"/>
    </row>
    <row r="29" ht="15.75" customHeight="1" s="113">
      <c r="A29" s="65" t="inlineStr">
        <is>
          <t>•  Use the My notes column however you like - mark what you have watched, jot reminders.</t>
        </is>
      </c>
      <c r="F29" s="5" t="n"/>
      <c r="G29" s="5" t="n"/>
    </row>
    <row r="30" ht="15.75" customHeight="1" s="113">
      <c r="A30" s="65" t="inlineStr">
        <is>
          <t>•  Empty dark rows are already set up for the rest of the semester - just type in them.</t>
        </is>
      </c>
      <c r="F30" s="5" t="n"/>
      <c r="G30" s="5" t="n"/>
    </row>
    <row r="31" ht="15.75" customHeight="1" s="113">
      <c r="A31" s="65" t="inlineStr">
        <is>
          <t>•  To add a recording: right-click the cell -&gt; Link -&gt; paste the Drive URL.</t>
        </is>
      </c>
      <c r="F31" s="5" t="n"/>
      <c r="G31" s="5" t="n"/>
    </row>
    <row r="32" ht="15.75" customHeight="1" s="113">
      <c r="A32" s="65"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3">
      <c r="A33" s="14" t="n"/>
      <c r="F33" s="5" t="n"/>
      <c r="G33" s="5" t="n"/>
    </row>
    <row r="34" ht="15.75" customHeight="1" s="113">
      <c r="A34"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3">
      <c r="A35" s="14" t="n"/>
      <c r="B35" s="14" t="n"/>
      <c r="C35" s="14" t="n"/>
      <c r="D35" s="14" t="n"/>
      <c r="E35" s="14" t="n"/>
      <c r="F35" s="5" t="n"/>
      <c r="G35" s="5" t="n"/>
    </row>
    <row r="36" ht="15.75" customHeight="1" s="113">
      <c r="A36" s="14" t="n"/>
      <c r="B36" s="14" t="n"/>
      <c r="C36" s="14" t="n"/>
      <c r="D36" s="14" t="n"/>
      <c r="E36" s="14" t="n"/>
      <c r="F36" s="5" t="n"/>
      <c r="G36" s="5" t="n"/>
    </row>
    <row r="37" ht="15.75" customHeight="1" s="113">
      <c r="A37" s="14" t="n"/>
      <c r="B37" s="14" t="n"/>
      <c r="C37" s="14" t="n"/>
      <c r="D37" s="14" t="n"/>
      <c r="E37" s="14" t="n"/>
      <c r="F37" s="5" t="n"/>
      <c r="G37" s="5" t="n"/>
    </row>
    <row r="38" ht="15.75" customHeight="1" s="113">
      <c r="A38" s="14" t="n"/>
      <c r="B38" s="14" t="n"/>
      <c r="C38" s="14" t="n"/>
      <c r="D38" s="14" t="n"/>
      <c r="E38" s="14" t="n"/>
      <c r="F38" s="5" t="n"/>
      <c r="G38" s="5" t="n"/>
    </row>
    <row r="39" ht="15.75" customHeight="1" s="113">
      <c r="A39" s="14" t="n"/>
      <c r="B39" s="14" t="n"/>
      <c r="C39" s="14" t="n"/>
      <c r="D39" s="14" t="n"/>
      <c r="E39" s="14" t="n"/>
      <c r="F39" s="5" t="n"/>
      <c r="G39" s="5" t="n"/>
    </row>
    <row r="40" ht="15.75" customHeight="1" s="113">
      <c r="A40" s="14" t="n"/>
      <c r="B40" s="14" t="n"/>
      <c r="C40" s="14" t="n"/>
      <c r="D40" s="14" t="n"/>
      <c r="E40" s="14" t="n"/>
      <c r="F40" s="5" t="n"/>
      <c r="G40" s="5" t="n"/>
    </row>
    <row r="41" ht="15.75" customHeight="1" s="113">
      <c r="A41" s="14" t="n"/>
      <c r="B41" s="14" t="n"/>
      <c r="C41" s="14" t="n"/>
      <c r="D41" s="14" t="n"/>
      <c r="E41" s="14" t="n"/>
      <c r="F41" s="5" t="n"/>
      <c r="G41" s="5" t="n"/>
    </row>
    <row r="42" ht="15.75" customHeight="1" s="113">
      <c r="A42" s="14" t="n"/>
      <c r="B42" s="14" t="n"/>
      <c r="C42" s="14" t="n"/>
      <c r="D42" s="14" t="n"/>
      <c r="E42" s="14" t="n"/>
      <c r="F42" s="5" t="n"/>
      <c r="G42" s="5" t="n"/>
    </row>
    <row r="43" ht="15.75" customHeight="1" s="113">
      <c r="A43" s="14" t="n"/>
      <c r="B43" s="14" t="n"/>
      <c r="C43" s="14" t="n"/>
      <c r="D43" s="14" t="n"/>
      <c r="E43" s="14"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row>
    <row r="61" ht="15.75" customHeight="1" s="113">
      <c r="A61" s="5" t="n"/>
      <c r="B61" s="5" t="n"/>
      <c r="C61" s="5" t="n"/>
      <c r="D61" s="5" t="n"/>
      <c r="E61" s="5" t="n"/>
      <c r="F61" s="5" t="n"/>
    </row>
    <row r="62" ht="15.75" customHeight="1" s="113">
      <c r="A62" s="5" t="n"/>
      <c r="B62" s="5" t="n"/>
      <c r="C62" s="5" t="n"/>
      <c r="D62" s="5" t="n"/>
      <c r="E62" s="5" t="n"/>
      <c r="F62" s="5" t="n"/>
    </row>
    <row r="63" ht="15.75" customHeight="1" s="113">
      <c r="A63" s="5" t="n"/>
      <c r="B63" s="5" t="n"/>
      <c r="C63" s="5" t="n"/>
      <c r="D63" s="5" t="n"/>
      <c r="E63" s="5" t="n"/>
      <c r="F63" s="5" t="n"/>
    </row>
    <row r="64" ht="15.75" customHeight="1" s="113">
      <c r="A64" s="5" t="n"/>
      <c r="B64" s="5" t="n"/>
      <c r="C64" s="5" t="n"/>
      <c r="D64" s="5" t="n"/>
      <c r="E64" s="5" t="n"/>
      <c r="F64" s="5" t="n"/>
    </row>
    <row r="65" ht="15.75" customHeight="1" s="113">
      <c r="A65" s="5" t="n"/>
      <c r="B65" s="5" t="n"/>
      <c r="C65" s="5" t="n"/>
      <c r="D65" s="5" t="n"/>
      <c r="E65" s="5" t="n"/>
      <c r="F65" s="5" t="n"/>
    </row>
    <row r="66" ht="15.75" customHeight="1" s="113">
      <c r="A66" s="5" t="n"/>
      <c r="B66" s="5" t="n"/>
      <c r="C66" s="5" t="n"/>
      <c r="D66" s="5" t="n"/>
      <c r="E66" s="5" t="n"/>
      <c r="F66" s="5" t="n"/>
    </row>
    <row r="67" ht="15.75" customHeight="1" s="113">
      <c r="A67" s="5" t="n"/>
      <c r="B67" s="5" t="n"/>
      <c r="C67" s="5" t="n"/>
      <c r="D67" s="5" t="n"/>
      <c r="E67" s="5" t="n"/>
      <c r="F67" s="5" t="n"/>
    </row>
    <row r="68" ht="15.75" customHeight="1" s="113">
      <c r="A68" s="5" t="n"/>
      <c r="B68" s="5" t="n"/>
      <c r="C68" s="5" t="n"/>
      <c r="D68" s="5" t="n"/>
      <c r="E68" s="5" t="n"/>
      <c r="F68" s="5" t="n"/>
    </row>
    <row r="69" ht="15.75" customHeight="1" s="113">
      <c r="A69" s="5" t="n"/>
      <c r="B69" s="5" t="n"/>
      <c r="C69" s="5" t="n"/>
      <c r="D69" s="5" t="n"/>
      <c r="E69" s="5" t="n"/>
      <c r="F69" s="5" t="n"/>
    </row>
    <row r="70" ht="15.75" customHeight="1" s="113">
      <c r="A70" s="5" t="n"/>
      <c r="B70" s="5" t="n"/>
      <c r="C70" s="5" t="n"/>
      <c r="D70" s="5" t="n"/>
      <c r="E70" s="5" t="n"/>
      <c r="F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1" t="inlineStr">
        <is>
          <t>NEW RECORDINGS  ·  sort me</t>
        </is>
      </c>
    </row>
    <row r="2">
      <c r="A2" s="7" t="inlineStr">
        <is>
          <t>NUR234</t>
        </is>
      </c>
      <c r="B2" s="7" t="inlineStr">
        <is>
          <t>NUR235</t>
        </is>
      </c>
      <c r="C2" s="7" t="inlineStr">
        <is>
          <t>NUR258</t>
        </is>
      </c>
      <c r="D2" s="12" t="inlineStr">
        <is>
          <t>🏠 START HERE</t>
        </is>
      </c>
      <c r="E2" s="13" t="inlineStr">
        <is>
          <t>📥 Sort me</t>
        </is>
      </c>
      <c r="F2" s="14" t="n"/>
      <c r="G2" s="14" t="n"/>
    </row>
    <row r="3">
      <c r="A3" s="114" t="inlineStr">
        <is>
          <t>One row is left: the recording it names is no longer in Drive. The 3:13 AM clip was blank and has been trashed; the 3:39 AM one turned out to be Kaiser on fetal circulation and pregnancy signs and is now on the NUR234 Kaiser tab.</t>
        </is>
      </c>
      <c r="B3" s="115" t="n"/>
      <c r="C3" s="115" t="n"/>
      <c r="D3" s="115" t="n"/>
      <c r="E3" s="115" t="n"/>
      <c r="F3" s="115" t="n"/>
      <c r="G3" s="116" t="n"/>
    </row>
    <row r="4">
      <c r="A4" s="14" t="n"/>
      <c r="B4" s="14" t="n"/>
      <c r="C4" s="14" t="n"/>
      <c r="D4" s="14" t="n"/>
      <c r="E4" s="14" t="n"/>
      <c r="F4" s="14" t="n"/>
      <c r="G4" s="14" t="n"/>
    </row>
    <row r="5">
      <c r="A5" s="22" t="inlineStr">
        <is>
          <t>Recorded</t>
        </is>
      </c>
      <c r="B5" s="22" t="inlineStr">
        <is>
          <t>App</t>
        </is>
      </c>
      <c r="C5" s="23" t="inlineStr">
        <is>
          <t>Course</t>
        </is>
      </c>
      <c r="D5" s="23" t="inlineStr">
        <is>
          <t>Lecturer</t>
        </is>
      </c>
      <c r="E5" s="23" t="inlineStr">
        <is>
          <t>Recording</t>
        </is>
      </c>
      <c r="F5" s="23" t="inlineStr">
        <is>
          <t>File</t>
        </is>
      </c>
      <c r="G5" s="23" t="inlineStr">
        <is>
          <t>Notes</t>
        </is>
      </c>
    </row>
    <row r="6">
      <c r="A6" s="27" t="inlineStr">
        <is>
          <t>Sun 7 Sep, 9:37 PM</t>
        </is>
      </c>
      <c r="B6" s="27" t="inlineStr">
        <is>
          <t>Messenger</t>
        </is>
      </c>
      <c r="C6" s="28" t="inlineStr">
        <is>
          <t>?</t>
        </is>
      </c>
      <c r="D6" s="28" t="inlineStr">
        <is>
          <t>?</t>
        </is>
      </c>
      <c r="E6" s="30" t="inlineStr">
        <is>
          <t>gone</t>
        </is>
      </c>
      <c r="F6" s="28" t="inlineStr">
        <is>
          <t>Screen_Recording_20260907_213701_Messenger.mp4</t>
        </is>
      </c>
      <c r="G6" s="33" t="inlineStr">
        <is>
          <t>303 MB. Not in Drive as of 3 Oct 2026 - re-share it from the phone if you still want it. Nothing to file it against until then.</t>
        </is>
      </c>
    </row>
    <row r="7">
      <c r="A7" s="27" t="n"/>
      <c r="B7" s="27" t="n"/>
      <c r="C7" s="28" t="n"/>
      <c r="D7" s="28" t="n"/>
      <c r="E7" s="30" t="n"/>
      <c r="F7" s="28" t="n"/>
      <c r="G7" s="33" t="n"/>
    </row>
    <row r="8">
      <c r="A8" s="27" t="n"/>
      <c r="B8" s="27" t="n"/>
      <c r="C8" s="28" t="n"/>
      <c r="D8" s="28" t="n"/>
      <c r="E8" s="30" t="n"/>
      <c r="F8" s="28" t="n"/>
      <c r="G8" s="33" t="n"/>
    </row>
    <row r="9">
      <c r="A9" s="27" t="n"/>
      <c r="B9" s="27" t="n"/>
      <c r="C9" s="28" t="n"/>
      <c r="D9" s="28" t="n"/>
      <c r="E9" s="34" t="n"/>
      <c r="F9" s="28" t="n"/>
      <c r="G9" s="35" t="n"/>
    </row>
    <row r="10">
      <c r="A10" s="36" t="n"/>
      <c r="B10" s="36" t="n"/>
      <c r="C10" s="38" t="n"/>
      <c r="D10" s="38" t="n"/>
      <c r="E10" s="39" t="n"/>
      <c r="F10" s="38" t="n"/>
      <c r="G10" s="41" t="n"/>
    </row>
    <row r="11">
      <c r="A11" s="27" t="n"/>
      <c r="B11" s="27" t="n"/>
      <c r="C11" s="28" t="n"/>
      <c r="D11" s="28" t="n"/>
      <c r="E11" s="34" t="n"/>
      <c r="F11" s="28" t="n"/>
      <c r="G11" s="33" t="n"/>
    </row>
    <row r="12">
      <c r="A12" s="36" t="n"/>
      <c r="B12" s="36" t="n"/>
      <c r="C12" s="38" t="n"/>
      <c r="D12" s="38" t="n"/>
      <c r="E12" s="39" t="n"/>
      <c r="F12" s="38" t="n"/>
      <c r="G12" s="45" t="n"/>
    </row>
    <row r="13">
      <c r="A13" s="27" t="n"/>
      <c r="B13" s="27" t="n"/>
      <c r="C13" s="28" t="n"/>
      <c r="D13" s="28" t="n"/>
      <c r="E13" s="30" t="n"/>
      <c r="F13" s="28" t="n"/>
      <c r="G13" s="33" t="n"/>
    </row>
    <row r="14">
      <c r="A14" s="46" t="n"/>
      <c r="B14" s="46" t="n"/>
      <c r="C14" s="51" t="n"/>
      <c r="D14" s="51" t="n"/>
      <c r="E14" s="51" t="n"/>
      <c r="F14" s="51" t="n"/>
      <c r="G14" s="51" t="n"/>
    </row>
    <row r="15">
      <c r="A15" s="46" t="n"/>
      <c r="B15" s="46" t="n"/>
      <c r="C15" s="51" t="n"/>
      <c r="D15" s="51" t="n"/>
      <c r="E15" s="51" t="n"/>
      <c r="F15" s="51" t="n"/>
      <c r="G15" s="51" t="n"/>
    </row>
    <row r="16">
      <c r="A16" s="46" t="n"/>
      <c r="B16" s="46" t="n"/>
      <c r="C16" s="51" t="n"/>
      <c r="D16" s="51" t="n"/>
      <c r="E16" s="51" t="n"/>
      <c r="F16" s="51" t="n"/>
      <c r="G16" s="51" t="n"/>
    </row>
    <row r="17">
      <c r="A17" s="46" t="n"/>
      <c r="B17" s="46" t="n"/>
      <c r="C17" s="51" t="n"/>
      <c r="D17" s="51" t="n"/>
      <c r="E17" s="51" t="n"/>
      <c r="F17" s="51" t="n"/>
      <c r="G17" s="5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3">
      <c r="A21" s="5" t="n"/>
      <c r="B21" s="5" t="n"/>
      <c r="C21" s="5" t="n"/>
      <c r="D21" s="5" t="n"/>
      <c r="E21" s="5" t="n"/>
      <c r="F21" s="5" t="n"/>
      <c r="G21" s="5" t="n"/>
    </row>
    <row r="22" ht="15.75" customHeight="1" s="113">
      <c r="A22" s="5" t="n"/>
      <c r="B22" s="5" t="n"/>
      <c r="C22" s="5" t="n"/>
      <c r="D22" s="5" t="n"/>
      <c r="E22" s="5" t="n"/>
      <c r="F22" s="5" t="n"/>
      <c r="G22" s="5" t="n"/>
    </row>
    <row r="23" ht="15.75" customHeight="1" s="113">
      <c r="A23" s="5" t="n"/>
      <c r="B23" s="5" t="n"/>
      <c r="C23" s="5" t="n"/>
      <c r="D23" s="5" t="n"/>
      <c r="E23" s="5" t="n"/>
      <c r="F23" s="5" t="n"/>
      <c r="G23" s="5" t="n"/>
    </row>
    <row r="24" ht="15.75" customHeight="1" s="113">
      <c r="A24" s="5" t="n"/>
      <c r="B24" s="5" t="n"/>
      <c r="C24" s="5" t="n"/>
      <c r="D24" s="5" t="n"/>
      <c r="E24" s="5" t="n"/>
      <c r="F24" s="5" t="n"/>
      <c r="G24" s="5" t="n"/>
    </row>
    <row r="25" ht="15.75" customHeight="1" s="113">
      <c r="A25" s="5" t="n"/>
      <c r="B25" s="5" t="n"/>
      <c r="C25" s="5" t="n"/>
      <c r="D25" s="5" t="n"/>
      <c r="E25" s="5" t="n"/>
      <c r="F25" s="5" t="n"/>
      <c r="G25" s="5" t="n"/>
    </row>
    <row r="26" ht="15.75" customHeight="1" s="113">
      <c r="A26" s="5" t="n"/>
      <c r="B26" s="5" t="n"/>
      <c r="C26" s="5" t="n"/>
      <c r="D26" s="5" t="n"/>
      <c r="E26" s="5" t="n"/>
      <c r="F26" s="5" t="n"/>
      <c r="G26" s="5" t="n"/>
    </row>
    <row r="27" ht="15.75" customHeight="1" s="113">
      <c r="A27" s="5" t="n"/>
      <c r="B27" s="5" t="n"/>
      <c r="C27" s="5" t="n"/>
      <c r="D27" s="5" t="n"/>
      <c r="E27" s="5" t="n"/>
      <c r="F27" s="5" t="n"/>
      <c r="G27" s="5" t="n"/>
    </row>
    <row r="28" ht="15.75" customHeight="1" s="113">
      <c r="A28" s="5" t="n"/>
      <c r="B28" s="5" t="n"/>
      <c r="C28" s="5" t="n"/>
      <c r="D28" s="5" t="n"/>
      <c r="E28" s="5" t="n"/>
      <c r="F28" s="5" t="n"/>
      <c r="G28" s="5" t="n"/>
    </row>
    <row r="29" ht="15.75" customHeight="1" s="113">
      <c r="A29" s="5" t="n"/>
      <c r="B29" s="5" t="n"/>
      <c r="C29" s="5" t="n"/>
      <c r="D29" s="5" t="n"/>
      <c r="E29" s="5" t="n"/>
      <c r="F29" s="5" t="n"/>
      <c r="G29" s="5" t="n"/>
    </row>
    <row r="30" ht="15.75" customHeight="1" s="113">
      <c r="A30" s="5" t="n"/>
      <c r="B30" s="5" t="n"/>
      <c r="C30" s="5" t="n"/>
      <c r="D30" s="5" t="n"/>
      <c r="E30" s="5" t="n"/>
      <c r="F30" s="5" t="n"/>
      <c r="G30" s="5" t="n"/>
    </row>
    <row r="31" ht="15.75" customHeight="1" s="113">
      <c r="A31" s="5" t="n"/>
      <c r="B31" s="5" t="n"/>
      <c r="C31" s="5" t="n"/>
      <c r="D31" s="5" t="n"/>
      <c r="E31" s="5" t="n"/>
      <c r="F31" s="5" t="n"/>
      <c r="G31" s="5" t="n"/>
    </row>
    <row r="32" ht="15.75" customHeight="1" s="113">
      <c r="A32" s="5" t="n"/>
      <c r="B32" s="5" t="n"/>
      <c r="C32" s="5" t="n"/>
      <c r="D32" s="5" t="n"/>
      <c r="E32" s="5" t="n"/>
      <c r="F32" s="5" t="n"/>
      <c r="G32" s="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5" t="n"/>
      <c r="B36" s="5" t="n"/>
      <c r="C36" s="5" t="n"/>
      <c r="D36" s="5" t="n"/>
      <c r="E36" s="5" t="n"/>
      <c r="F36" s="5" t="n"/>
      <c r="G36" s="5" t="n"/>
    </row>
    <row r="37" ht="15.75" customHeight="1" s="113">
      <c r="A37" s="5" t="n"/>
      <c r="B37" s="5" t="n"/>
      <c r="C37" s="5" t="n"/>
      <c r="D37" s="5" t="n"/>
      <c r="E37" s="5" t="n"/>
      <c r="F37" s="5" t="n"/>
      <c r="G37" s="5" t="n"/>
    </row>
    <row r="38" ht="15.75" customHeight="1" s="113">
      <c r="A38" s="5" t="n"/>
      <c r="B38" s="5" t="n"/>
      <c r="C38" s="5" t="n"/>
      <c r="D38" s="5" t="n"/>
      <c r="E38" s="5" t="n"/>
      <c r="F38" s="5" t="n"/>
      <c r="G38" s="5" t="n"/>
    </row>
    <row r="39" ht="15.75" customHeight="1" s="113">
      <c r="A39" s="5" t="n"/>
      <c r="B39" s="5" t="n"/>
      <c r="C39" s="5" t="n"/>
      <c r="D39" s="5" t="n"/>
      <c r="E39" s="5"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Kaiser</t>
        </is>
      </c>
    </row>
    <row r="2">
      <c r="A2" s="9" t="inlineStr">
        <is>
          <t>NUR234</t>
        </is>
      </c>
      <c r="B2" s="11" t="inlineStr">
        <is>
          <t>NUR235</t>
        </is>
      </c>
      <c r="C2" s="11" t="inlineStr">
        <is>
          <t>NUR258</t>
        </is>
      </c>
      <c r="D2" s="18" t="inlineStr">
        <is>
          <t>🏠 START HERE</t>
        </is>
      </c>
      <c r="E2" s="21" t="inlineStr">
        <is>
          <t>📥 Sort me</t>
        </is>
      </c>
      <c r="F2" s="14" t="n"/>
      <c r="G2" s="14" t="n"/>
    </row>
    <row r="3">
      <c r="A3" s="26" t="inlineStr">
        <is>
          <t>Kaiser</t>
        </is>
      </c>
      <c r="B3" s="24"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4" t="inlineStr">
        <is>
          <t>Module 1</t>
        </is>
      </c>
      <c r="B6" s="44" t="inlineStr">
        <is>
          <t>Day 1</t>
        </is>
      </c>
      <c r="C6" s="47" t="inlineStr">
        <is>
          <t>Spring 2026</t>
        </is>
      </c>
      <c r="D6" s="47" t="inlineStr">
        <is>
          <t>Kaiser</t>
        </is>
      </c>
      <c r="E6" s="52">
        <f>HYPERLINK("https://drive.google.com/open?id=1cFM6BCb3NZQF3oZ4pDuu8clij33-8Z0U&amp;usp=drive_fs","▶  Watch")</f>
        <v/>
      </c>
      <c r="F6" s="47" t="n"/>
      <c r="G6" s="47" t="inlineStr">
        <is>
          <t>Topic: Reproductive Life Planning &amp; Contraception</t>
        </is>
      </c>
    </row>
    <row r="7">
      <c r="A7" s="44" t="inlineStr">
        <is>
          <t>Module 1</t>
        </is>
      </c>
      <c r="B7" s="44" t="inlineStr">
        <is>
          <t>Day 1</t>
        </is>
      </c>
      <c r="C7" s="47" t="inlineStr">
        <is>
          <t>Fall 2026</t>
        </is>
      </c>
      <c r="D7" s="47" t="inlineStr">
        <is>
          <t>Kaiser</t>
        </is>
      </c>
      <c r="E7" s="55">
        <f>HYPERLINK("https://drive.google.com/file/d/1Ojm9nfAxdSOFsLLEmEm5Qj9D5qtjmo6o/view","▶  Watch")</f>
        <v/>
      </c>
      <c r="F7" s="47" t="inlineStr">
        <is>
          <t>NUR234_Fall2026_Kaiser_Wk01_Day1_Lecture.mp4</t>
        </is>
      </c>
      <c r="G7" s="47" t="inlineStr">
        <is>
          <t>Fall 2026 recording, uploaded 23 Sep as "NUR234Wk1Day1_Kaiser.mp4" (254 MB). This row used to repeat the Spring 2026 link.</t>
        </is>
      </c>
    </row>
    <row r="8">
      <c r="A8" s="44" t="inlineStr">
        <is>
          <t>Module 1</t>
        </is>
      </c>
      <c r="B8" s="44" t="inlineStr">
        <is>
          <t>Day 2</t>
        </is>
      </c>
      <c r="C8" s="47" t="inlineStr">
        <is>
          <t>Spring 2026</t>
        </is>
      </c>
      <c r="D8" s="47" t="inlineStr">
        <is>
          <t>Kaiser</t>
        </is>
      </c>
      <c r="E8" s="55">
        <f>HYPERLINK("https://drive.google.com/file/d/1BZlKg-lf2367FCwM5kMaH-zKj9hZ53ff/view","▶  Watch")</f>
        <v/>
      </c>
      <c r="F8" s="47" t="inlineStr">
        <is>
          <t>NUR234 M1d2.mp4</t>
        </is>
      </c>
      <c r="G8" s="47" t="inlineStr">
        <is>
          <t>Topic: Reproductive Life Planning &amp; Contraception</t>
        </is>
      </c>
    </row>
    <row r="9">
      <c r="A9" s="44" t="inlineStr">
        <is>
          <t>Module 1</t>
        </is>
      </c>
      <c r="B9" s="44" t="inlineStr">
        <is>
          <t>Day 2</t>
        </is>
      </c>
      <c r="C9" s="47" t="inlineStr">
        <is>
          <t>Fall 2026</t>
        </is>
      </c>
      <c r="D9" s="47" t="inlineStr">
        <is>
          <t>Kaiser</t>
        </is>
      </c>
      <c r="E9" s="55">
        <f>HYPERLINK("https://drive.google.com/file/d/1BZlKg-lf2367FCwM5kMaH-zKj9hZ53ff/view?usp=drive_link","▶  Watch")</f>
        <v/>
      </c>
      <c r="F9" s="47" t="n"/>
      <c r="G9" s="47" t="inlineStr">
        <is>
          <t>Topic: Reproductive Life Planning &amp; Contraception</t>
        </is>
      </c>
    </row>
    <row r="10">
      <c r="A10" s="56" t="inlineStr">
        <is>
          <t>Module 2</t>
        </is>
      </c>
      <c r="B10" s="56" t="inlineStr">
        <is>
          <t>Day 1</t>
        </is>
      </c>
      <c r="C10" s="47" t="inlineStr">
        <is>
          <t>Spring 2026</t>
        </is>
      </c>
      <c r="D10" s="57" t="inlineStr">
        <is>
          <t>Kaiser</t>
        </is>
      </c>
      <c r="E10" s="58">
        <f>HYPERLINK("https://drive.google.com/file/d/1aCpDDZvcw-_vKduldvfGzF82bcs3P9hY/view","▶  Watch")</f>
        <v/>
      </c>
      <c r="F10" s="57" t="inlineStr">
        <is>
          <t>NUR234 M2d1.mp4</t>
        </is>
      </c>
      <c r="G10" s="57" t="inlineStr">
        <is>
          <t>Topic: Conception, Fetal Development &amp; Placental Function</t>
        </is>
      </c>
    </row>
    <row r="11">
      <c r="A11" s="44" t="inlineStr">
        <is>
          <t>Module 2</t>
        </is>
      </c>
      <c r="B11" s="44" t="inlineStr">
        <is>
          <t>Day 2</t>
        </is>
      </c>
      <c r="C11" s="47" t="inlineStr">
        <is>
          <t>Spring 2026</t>
        </is>
      </c>
      <c r="D11" s="47" t="inlineStr">
        <is>
          <t>Kaiser</t>
        </is>
      </c>
      <c r="E11" s="55">
        <f>HYPERLINK("https://drive.google.com/file/d/1e1xVb3-N2gEFMoK2t1NaL7Qj8NDE9kFD/view","▶  Watch")</f>
        <v/>
      </c>
      <c r="F11" s="47" t="inlineStr">
        <is>
          <t>NUR234 M2D2.mp4</t>
        </is>
      </c>
      <c r="G11" s="47" t="inlineStr">
        <is>
          <t>Topic: Conception, Fetal Development &amp; Placental Function</t>
        </is>
      </c>
    </row>
    <row r="12">
      <c r="A12" s="44" t="inlineStr">
        <is>
          <t>Module 2</t>
        </is>
      </c>
      <c r="B12" s="44" t="inlineStr">
        <is>
          <t>Review session</t>
        </is>
      </c>
      <c r="C12" s="47" t="inlineStr">
        <is>
          <t>Fall 2026</t>
        </is>
      </c>
      <c r="D12" s="47" t="inlineStr">
        <is>
          <t>Kaiser</t>
        </is>
      </c>
      <c r="E12" s="55">
        <f>HYPERLINK("https://drive.google.com/file/d/1GOaFz2XE8d5IlnxGo_qJQu1LQA1wOxHF/view","▶  Watch")</f>
        <v/>
      </c>
      <c r="F12" s="47" t="inlineStr">
        <is>
          <t>NUR234_Fall2026_Kaiser_WkNA_DayNA_Fetal circulation and signs of pregnancy (review session).mp4</t>
        </is>
      </c>
      <c r="G12" s="47"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6" t="inlineStr">
        <is>
          <t>Module 3</t>
        </is>
      </c>
      <c r="B13" s="56" t="inlineStr">
        <is>
          <t>Day 1</t>
        </is>
      </c>
      <c r="C13" s="47" t="inlineStr">
        <is>
          <t>Spring 2026</t>
        </is>
      </c>
      <c r="D13" s="57" t="inlineStr">
        <is>
          <t>Kaiser</t>
        </is>
      </c>
      <c r="E13" s="58">
        <f>HYPERLINK("https://drive.google.com/file/d/1FBsNUnshlh4l-W3rNWVdSjbMPK53UmFM/view","▶  Watch")</f>
        <v/>
      </c>
      <c r="F13" s="57" t="inlineStr">
        <is>
          <t>NUR234 M3D1.mp4</t>
        </is>
      </c>
      <c r="G13" s="57" t="inlineStr">
        <is>
          <t>Topic: Physiologic &amp; Psychological Changes of Pregnancy</t>
        </is>
      </c>
    </row>
    <row r="14">
      <c r="A14" s="44" t="inlineStr">
        <is>
          <t>Module 3</t>
        </is>
      </c>
      <c r="B14" s="44" t="inlineStr">
        <is>
          <t>Day 2</t>
        </is>
      </c>
      <c r="C14" s="47" t="inlineStr">
        <is>
          <t>Spring 2026</t>
        </is>
      </c>
      <c r="D14" s="47" t="inlineStr">
        <is>
          <t>Kaiser</t>
        </is>
      </c>
      <c r="E14" s="55">
        <f>HYPERLINK("https://drive.google.com/file/d/1NN-2j7a6nheCGcHCHqUyBlAbHbGw_m4s/view","▶  Watch")</f>
        <v/>
      </c>
      <c r="F14" s="47" t="inlineStr">
        <is>
          <t>NUR234 M3D2.mp4</t>
        </is>
      </c>
      <c r="G14" s="47" t="inlineStr">
        <is>
          <t>Topic: Physiologic &amp; Psychological Changes of Pregnancy</t>
        </is>
      </c>
    </row>
    <row r="15">
      <c r="A15" s="56" t="inlineStr">
        <is>
          <t>Module 4</t>
        </is>
      </c>
      <c r="B15" s="56" t="inlineStr">
        <is>
          <t>Day 1</t>
        </is>
      </c>
      <c r="C15" s="47" t="inlineStr">
        <is>
          <t>Spring 2026</t>
        </is>
      </c>
      <c r="D15" s="57" t="inlineStr">
        <is>
          <t>Kaiser</t>
        </is>
      </c>
      <c r="E15" s="58">
        <f>HYPERLINK("https://drive.google.com/file/d/1vy0wZ5ijKEG57K1ibHH4ThIhHDTw_rt5/view","▶  Watch")</f>
        <v/>
      </c>
      <c r="F15" s="57" t="inlineStr">
        <is>
          <t>NUR234 M4D1.mp4</t>
        </is>
      </c>
      <c r="G15" s="57" t="inlineStr">
        <is>
          <t>Topic: Prenatal Assessment &amp; Antepartum Fetal Surveillance</t>
        </is>
      </c>
    </row>
    <row r="16">
      <c r="A16" s="44" t="inlineStr">
        <is>
          <t>Module 4</t>
        </is>
      </c>
      <c r="B16" s="44" t="inlineStr">
        <is>
          <t>Day 2</t>
        </is>
      </c>
      <c r="C16" s="47" t="inlineStr">
        <is>
          <t>Spring 2026</t>
        </is>
      </c>
      <c r="D16" s="47" t="inlineStr">
        <is>
          <t>Kaiser</t>
        </is>
      </c>
      <c r="E16" s="55">
        <f>HYPERLINK("https://drive.google.com/file/d/1rizN6FZCmazr35zFpzmy-m0cywYQ8w_6/view","▶  Watch")</f>
        <v/>
      </c>
      <c r="F16" s="47" t="inlineStr">
        <is>
          <t>NUR234 M4D2.mp4</t>
        </is>
      </c>
      <c r="G16" s="47" t="inlineStr">
        <is>
          <t>Topic: Prenatal Assessment &amp; Antepartum Fetal Surveillance</t>
        </is>
      </c>
    </row>
    <row r="17">
      <c r="A17" s="56" t="inlineStr">
        <is>
          <t>Module 5</t>
        </is>
      </c>
      <c r="B17" s="56" t="inlineStr">
        <is>
          <t>Day 1</t>
        </is>
      </c>
      <c r="C17" s="47" t="inlineStr">
        <is>
          <t>Spring 2026</t>
        </is>
      </c>
      <c r="D17" s="57" t="inlineStr">
        <is>
          <t>Kaiser</t>
        </is>
      </c>
      <c r="E17" s="58">
        <f>HYPERLINK("https://drive.google.com/file/d/1ypHWfABT1zSPWs_I_QvKnRKTbF7a5Y7I/view","▶  Watch")</f>
        <v/>
      </c>
      <c r="F17" s="57" t="inlineStr">
        <is>
          <t>NUR234 M5d1.mp4</t>
        </is>
      </c>
      <c r="G17" s="57" t="inlineStr">
        <is>
          <t>Topic: Nutrition &amp; Health Promotion in Pregnancy</t>
        </is>
      </c>
    </row>
    <row r="18">
      <c r="A18" s="44" t="inlineStr">
        <is>
          <t>Module 5</t>
        </is>
      </c>
      <c r="B18" s="44" t="inlineStr">
        <is>
          <t>Day 2</t>
        </is>
      </c>
      <c r="C18" s="47" t="inlineStr">
        <is>
          <t>Spring 2026</t>
        </is>
      </c>
      <c r="D18" s="47" t="inlineStr">
        <is>
          <t>Kaiser</t>
        </is>
      </c>
      <c r="E18" s="55">
        <f>HYPERLINK("https://drive.google.com/file/d/1qDF2FexZhZu5L5cqrEi6WVHwZ2-S1cBp/view","▶  Watch")</f>
        <v/>
      </c>
      <c r="F18" s="47" t="inlineStr">
        <is>
          <t>NUR234 M5d2.mp4</t>
        </is>
      </c>
      <c r="G18" s="47" t="inlineStr">
        <is>
          <t>Topic: Nutrition &amp; Health Promotion in Pregnancy</t>
        </is>
      </c>
    </row>
    <row r="19">
      <c r="A19" s="56" t="inlineStr">
        <is>
          <t>Module 6</t>
        </is>
      </c>
      <c r="B19" s="56" t="inlineStr">
        <is>
          <t>Day 1</t>
        </is>
      </c>
      <c r="C19" s="47" t="inlineStr">
        <is>
          <t>Spring 2026</t>
        </is>
      </c>
      <c r="D19" s="57" t="inlineStr">
        <is>
          <t>Kaiser</t>
        </is>
      </c>
      <c r="E19" s="58">
        <f>HYPERLINK("https://drive.google.com/file/d/1eG4tIMbxzIUTYlgc_SHD8twJNPRZh8CF/view","▶  Watch")</f>
        <v/>
      </c>
      <c r="F19" s="57" t="inlineStr">
        <is>
          <t>NUR234 M6d1.mp4</t>
        </is>
      </c>
      <c r="G19" s="57" t="inlineStr">
        <is>
          <t>Topic: Labor &amp; Birth</t>
        </is>
      </c>
    </row>
    <row r="20">
      <c r="A20" s="44" t="inlineStr">
        <is>
          <t>Module 6</t>
        </is>
      </c>
      <c r="B20" s="44" t="inlineStr">
        <is>
          <t>Day 2</t>
        </is>
      </c>
      <c r="C20" s="47" t="inlineStr">
        <is>
          <t>Spring 2026</t>
        </is>
      </c>
      <c r="D20" s="47" t="inlineStr">
        <is>
          <t>Kaiser</t>
        </is>
      </c>
      <c r="E20" s="55">
        <f>HYPERLINK("https://drive.google.com/file/d/1fYIx3Eng0YHVpJs7xrgFvRD5j4Kf225D/view","▶  Watch")</f>
        <v/>
      </c>
      <c r="F20" s="47" t="inlineStr">
        <is>
          <t>NUR234 M6d2.mp4</t>
        </is>
      </c>
      <c r="G20" s="47" t="inlineStr">
        <is>
          <t>Topic: Labor &amp; Birth</t>
        </is>
      </c>
    </row>
    <row r="21" ht="15.75" customHeight="1" s="113">
      <c r="A21" s="56" t="inlineStr">
        <is>
          <t>Module 7</t>
        </is>
      </c>
      <c r="B21" s="56" t="inlineStr">
        <is>
          <t>Day 1</t>
        </is>
      </c>
      <c r="C21" s="47" t="inlineStr">
        <is>
          <t>Spring 2026</t>
        </is>
      </c>
      <c r="D21" s="57" t="inlineStr">
        <is>
          <t>Kaiser</t>
        </is>
      </c>
      <c r="E21" s="58">
        <f>HYPERLINK("https://drive.google.com/file/d/114LZzONCBRZUWeE3_g8tfpMOmWZTn_B3/view","▶  Watch")</f>
        <v/>
      </c>
      <c r="F21" s="57" t="inlineStr">
        <is>
          <t>NUR234 M7d1.mp4</t>
        </is>
      </c>
      <c r="G21" s="57" t="inlineStr">
        <is>
          <t>Topic: Fetal Monitoring, Comfort &amp; Analgesia in Labor</t>
        </is>
      </c>
    </row>
    <row r="22" ht="15.75" customHeight="1" s="113">
      <c r="A22" s="44" t="inlineStr">
        <is>
          <t>Module 7</t>
        </is>
      </c>
      <c r="B22" s="44" t="inlineStr">
        <is>
          <t>Day 2</t>
        </is>
      </c>
      <c r="C22" s="47" t="inlineStr">
        <is>
          <t>Spring 2026</t>
        </is>
      </c>
      <c r="D22" s="47" t="inlineStr">
        <is>
          <t>Kaiser</t>
        </is>
      </c>
      <c r="E22" s="55">
        <f>HYPERLINK("https://drive.google.com/file/d/1gq2xvEUDy8TmFcK6gQepoJCr9GG3G0Ne/view","▶  Watch")</f>
        <v/>
      </c>
      <c r="F22" s="47" t="inlineStr">
        <is>
          <t>NUR234 M7d2.mp4</t>
        </is>
      </c>
      <c r="G22" s="47" t="inlineStr">
        <is>
          <t>Topic: Fetal Monitoring, Comfort &amp; Analgesia in Labor</t>
        </is>
      </c>
    </row>
    <row r="23" ht="15.75" customHeight="1" s="113">
      <c r="A23" s="56" t="inlineStr">
        <is>
          <t>Module 8</t>
        </is>
      </c>
      <c r="B23" s="56" t="inlineStr">
        <is>
          <t>Day 1</t>
        </is>
      </c>
      <c r="C23" s="47" t="inlineStr">
        <is>
          <t>Spring 2026</t>
        </is>
      </c>
      <c r="D23" s="57" t="inlineStr">
        <is>
          <t>Kaiser</t>
        </is>
      </c>
      <c r="E23" s="58">
        <f>HYPERLINK("https://drive.google.com/file/d/1CyyT2iUwn9hK8FH8kx-7n1ZZsrlj5Jxx/view?usp=drive_link","▶  Watch")</f>
        <v/>
      </c>
      <c r="F23" s="57" t="n"/>
      <c r="G23" s="57" t="inlineStr">
        <is>
          <t>Topic: Early Pregnancy Bleeding &amp; Ectopic Pregnancy</t>
        </is>
      </c>
    </row>
    <row r="24" ht="15.75" customHeight="1" s="113">
      <c r="A24" s="56" t="inlineStr">
        <is>
          <t>Module 8</t>
        </is>
      </c>
      <c r="B24" s="56" t="inlineStr">
        <is>
          <t>Day 2</t>
        </is>
      </c>
      <c r="C24" s="47" t="inlineStr">
        <is>
          <t>Spring 2026</t>
        </is>
      </c>
      <c r="D24" s="57" t="inlineStr">
        <is>
          <t>Kaiser</t>
        </is>
      </c>
      <c r="E24" s="58">
        <f>HYPERLINK("https://drive.google.com/file/d/1IooFZSZA_lB5jNCR6Xic7enhbams239R/view?usp=drive_link","▶  Watch")</f>
        <v/>
      </c>
      <c r="F24" s="57" t="n"/>
      <c r="G24" s="57" t="inlineStr">
        <is>
          <t>Topic: Early Pregnancy Bleeding &amp; Ectopic Pregnancy</t>
        </is>
      </c>
    </row>
    <row r="25" ht="15.75" customHeight="1" s="113">
      <c r="A25" s="56" t="inlineStr">
        <is>
          <t>Module 9</t>
        </is>
      </c>
      <c r="B25" s="56" t="inlineStr">
        <is>
          <t>Day 1</t>
        </is>
      </c>
      <c r="C25" s="47" t="inlineStr">
        <is>
          <t>Spring 2026</t>
        </is>
      </c>
      <c r="D25" s="57" t="inlineStr">
        <is>
          <t>Kaiser</t>
        </is>
      </c>
      <c r="E25" s="58">
        <f>HYPERLINK("https://drive.google.com/file/d/1PHu1Y0-LeptoeNuwhGqxFA10nvLuYDRn/view","▶  Watch")</f>
        <v/>
      </c>
      <c r="F25" s="57" t="inlineStr">
        <is>
          <t>NUR234 M9d1.mp4</t>
        </is>
      </c>
      <c r="G25" s="57" t="inlineStr">
        <is>
          <t>Topic: Hypertensive Disorders &amp; Magnesium Sulfate</t>
        </is>
      </c>
    </row>
    <row r="26" ht="15.75" customHeight="1" s="113">
      <c r="A26" s="44" t="inlineStr">
        <is>
          <t>Module 9</t>
        </is>
      </c>
      <c r="B26" s="44" t="inlineStr">
        <is>
          <t>Day 2</t>
        </is>
      </c>
      <c r="C26" s="47" t="inlineStr">
        <is>
          <t>Spring 2026</t>
        </is>
      </c>
      <c r="D26" s="47" t="inlineStr">
        <is>
          <t>Kaiser</t>
        </is>
      </c>
      <c r="E26" s="55">
        <f>HYPERLINK("https://drive.google.com/file/d/1ztT_Xq_DZviGrXv_kqODzN0mdrAsvLGz/view","▶  Watch")</f>
        <v/>
      </c>
      <c r="F26" s="47" t="inlineStr">
        <is>
          <t>NUR234 M9d2.mp4</t>
        </is>
      </c>
      <c r="G26" s="47" t="inlineStr">
        <is>
          <t>Topic: Hypertensive Disorders &amp; Magnesium Sulfate</t>
        </is>
      </c>
    </row>
    <row r="27" ht="15.75" customHeight="1" s="113">
      <c r="A27" s="56" t="inlineStr">
        <is>
          <t>Module 10</t>
        </is>
      </c>
      <c r="B27" s="56" t="inlineStr">
        <is>
          <t>Day 1</t>
        </is>
      </c>
      <c r="C27" s="47" t="inlineStr">
        <is>
          <t>Spring 2026</t>
        </is>
      </c>
      <c r="D27" s="57" t="inlineStr">
        <is>
          <t>Kaiser</t>
        </is>
      </c>
      <c r="E27" s="58">
        <f>HYPERLINK("https://drive.google.com/file/d/1aO52FeQSOyKWi1eae-uwq9kUR72kaCIh/view","▶  Watch")</f>
        <v/>
      </c>
      <c r="F27" s="57" t="inlineStr">
        <is>
          <t>NUR234 M10d1.mp4</t>
        </is>
      </c>
      <c r="G27" s="57" t="inlineStr">
        <is>
          <t>Topic: Dysfunctional Labor, Uterine Rupture &amp; Obstetric Drug Math</t>
        </is>
      </c>
    </row>
    <row r="28" ht="15.75" customHeight="1" s="113">
      <c r="A28" s="44" t="inlineStr">
        <is>
          <t>Module 10</t>
        </is>
      </c>
      <c r="B28" s="44" t="inlineStr">
        <is>
          <t>Day 2</t>
        </is>
      </c>
      <c r="C28" s="47" t="inlineStr">
        <is>
          <t>Spring 2026</t>
        </is>
      </c>
      <c r="D28" s="47" t="inlineStr">
        <is>
          <t>Kaiser</t>
        </is>
      </c>
      <c r="E28" s="55">
        <f>HYPERLINK("https://drive.google.com/file/d/1ZiJMzo4QipYed89-Vivr-c8vq60a2H6x/view","▶  Watch")</f>
        <v/>
      </c>
      <c r="F28" s="47" t="inlineStr">
        <is>
          <t>NUR234 M10d2.mp4</t>
        </is>
      </c>
      <c r="G28" s="47" t="inlineStr">
        <is>
          <t>Topic: Dysfunctional Labor, Uterine Rupture &amp; Obstetric Drug Math</t>
        </is>
      </c>
    </row>
    <row r="29" ht="15.75" customHeight="1" s="113">
      <c r="A29" s="56" t="inlineStr">
        <is>
          <t>Module 11</t>
        </is>
      </c>
      <c r="B29" s="56" t="inlineStr">
        <is>
          <t>Day 1</t>
        </is>
      </c>
      <c r="C29" s="47" t="inlineStr">
        <is>
          <t>Spring 2026</t>
        </is>
      </c>
      <c r="D29" s="57" t="inlineStr">
        <is>
          <t>Kaiser</t>
        </is>
      </c>
      <c r="E29" s="58">
        <f>HYPERLINK("https://drive.google.com/file/d/1uI7Bnu09YgneDcYKGm2t5FXwliTSsLAt/view","▶  Watch")</f>
        <v/>
      </c>
      <c r="F29" s="57" t="inlineStr">
        <is>
          <t>NUR234 M11d1.mp4</t>
        </is>
      </c>
      <c r="G29" s="57" t="inlineStr">
        <is>
          <t>Topic: Postpartum Assessment &amp; Hemorrhage</t>
        </is>
      </c>
    </row>
    <row r="30" ht="15.75" customHeight="1" s="113">
      <c r="A30" s="44" t="inlineStr">
        <is>
          <t>Module 11</t>
        </is>
      </c>
      <c r="B30" s="44" t="inlineStr">
        <is>
          <t>Day 2</t>
        </is>
      </c>
      <c r="C30" s="47" t="inlineStr">
        <is>
          <t>Spring 2026</t>
        </is>
      </c>
      <c r="D30" s="47" t="inlineStr">
        <is>
          <t>Kaiser</t>
        </is>
      </c>
      <c r="E30" s="55">
        <f>HYPERLINK("https://drive.google.com/file/d/1J9BeWya6ezWD15zmUgnZUF3R2Qlm-hhm/view","▶  Watch")</f>
        <v/>
      </c>
      <c r="F30" s="47" t="inlineStr">
        <is>
          <t>NUR234 M11d2.mp4</t>
        </is>
      </c>
      <c r="G30" s="47" t="inlineStr">
        <is>
          <t>Topic: Postpartum Assessment &amp; Hemorrhage</t>
        </is>
      </c>
    </row>
    <row r="31" ht="15.75" customHeight="1" s="113">
      <c r="A31" s="56" t="inlineStr">
        <is>
          <t>Module 12</t>
        </is>
      </c>
      <c r="B31" s="56" t="inlineStr">
        <is>
          <t>Day 1</t>
        </is>
      </c>
      <c r="C31" s="47" t="inlineStr">
        <is>
          <t>Spring 2026</t>
        </is>
      </c>
      <c r="D31" s="57" t="inlineStr">
        <is>
          <t>Kaiser</t>
        </is>
      </c>
      <c r="E31" s="58">
        <f>HYPERLINK("https://drive.google.com/file/d/1qcNw_OIsuyrFzVlLbAIgaGH_lb9RVNe0/view","▶  Watch")</f>
        <v/>
      </c>
      <c r="F31" s="57" t="inlineStr">
        <is>
          <t>NUR234 M12d1.mp4</t>
        </is>
      </c>
      <c r="G31" s="57" t="inlineStr">
        <is>
          <t>Topic: The Normal Newborn &amp; Thermoregulation</t>
        </is>
      </c>
    </row>
    <row r="32" ht="15.75" customHeight="1" s="113">
      <c r="A32" s="44" t="inlineStr">
        <is>
          <t>Module 12</t>
        </is>
      </c>
      <c r="B32" s="44" t="inlineStr">
        <is>
          <t>Day 2</t>
        </is>
      </c>
      <c r="C32" s="47" t="inlineStr">
        <is>
          <t>Spring 2026</t>
        </is>
      </c>
      <c r="D32" s="47" t="inlineStr">
        <is>
          <t>Kaiser</t>
        </is>
      </c>
      <c r="E32" s="55">
        <f>HYPERLINK("https://drive.google.com/file/d/1cu1ZuTYOyk2XjUeDljRL8sh--WKvu7J-/view","▶  Watch")</f>
        <v/>
      </c>
      <c r="F32" s="47" t="inlineStr">
        <is>
          <t>NUR234 M12d2.mp4</t>
        </is>
      </c>
      <c r="G32" s="47" t="inlineStr">
        <is>
          <t>Topic: The Normal Newborn &amp; Thermoregulation</t>
        </is>
      </c>
    </row>
    <row r="33" ht="15.75" customHeight="1" s="113">
      <c r="A33" s="56" t="inlineStr">
        <is>
          <t>Module 13</t>
        </is>
      </c>
      <c r="B33" s="56" t="inlineStr">
        <is>
          <t>Day 1</t>
        </is>
      </c>
      <c r="C33" s="47" t="inlineStr">
        <is>
          <t>Spring 2026</t>
        </is>
      </c>
      <c r="D33" s="57" t="inlineStr">
        <is>
          <t>Kaiser</t>
        </is>
      </c>
      <c r="E33" s="58">
        <f>HYPERLINK("https://drive.google.com/file/d/1HtFwGZg8qK_fQ8Tu9T7sHkXBWlLRVKaI/view","▶  Watch")</f>
        <v/>
      </c>
      <c r="F33" s="57" t="inlineStr">
        <is>
          <t>NUR234 M13D1.mp4</t>
        </is>
      </c>
      <c r="G33" s="57" t="inlineStr">
        <is>
          <t>Topic: Newborn Feeding</t>
        </is>
      </c>
    </row>
    <row r="34" ht="15.75" customHeight="1" s="113">
      <c r="A34" s="44" t="inlineStr">
        <is>
          <t>Module 13</t>
        </is>
      </c>
      <c r="B34" s="44" t="inlineStr">
        <is>
          <t>Day 2</t>
        </is>
      </c>
      <c r="C34" s="47" t="inlineStr">
        <is>
          <t>Spring 2026</t>
        </is>
      </c>
      <c r="D34" s="47" t="inlineStr">
        <is>
          <t>Kaiser</t>
        </is>
      </c>
      <c r="E34" s="55">
        <f>HYPERLINK("https://drive.google.com/file/d/1SIAOBsm4zGlMHs4Z5BAy__E3gjkbf5yI/view","▶  Watch")</f>
        <v/>
      </c>
      <c r="F34" s="47" t="inlineStr">
        <is>
          <t>NUR234 M13D2.mp4</t>
        </is>
      </c>
      <c r="G34" s="47" t="inlineStr">
        <is>
          <t>Topic: Newborn Feeding</t>
        </is>
      </c>
    </row>
    <row r="35" ht="15.75" customHeight="1" s="113">
      <c r="A35" s="44" t="inlineStr">
        <is>
          <t>Module 14</t>
        </is>
      </c>
      <c r="B35" s="44" t="inlineStr">
        <is>
          <t>Day 1</t>
        </is>
      </c>
      <c r="C35" s="47" t="inlineStr">
        <is>
          <t>Spring 2026</t>
        </is>
      </c>
      <c r="D35" s="47" t="inlineStr">
        <is>
          <t>Kaiser</t>
        </is>
      </c>
      <c r="E35" s="55">
        <f>HYPERLINK("https://drive.google.com/file/d/1IVUURpnc9Fvq64m_3K7sPNWRKkcmnfjK/view?usp=drive_link","▶  Watch")</f>
        <v/>
      </c>
      <c r="F35" s="47" t="n"/>
      <c r="G35" s="47" t="inlineStr">
        <is>
          <t>Topic: The High-Risk Newborn &amp; Course Review</t>
        </is>
      </c>
    </row>
    <row r="36" ht="15.75" customHeight="1" s="113">
      <c r="A36" s="44" t="inlineStr">
        <is>
          <t>Module 14</t>
        </is>
      </c>
      <c r="B36" s="44" t="inlineStr">
        <is>
          <t>Day 2</t>
        </is>
      </c>
      <c r="C36" s="47" t="inlineStr">
        <is>
          <t>Spring 2026</t>
        </is>
      </c>
      <c r="D36" s="47" t="inlineStr">
        <is>
          <t>Kaiser</t>
        </is>
      </c>
      <c r="E36" s="55">
        <f>HYPERLINK("https://drive.google.com/file/d/12LFXOcOPwZ40P442l0KmmsbYb3MRnrff/view?usp=drive_link","▶  Watch")</f>
        <v/>
      </c>
      <c r="F36" s="47" t="n"/>
      <c r="G36" s="47" t="inlineStr">
        <is>
          <t>Topic: The High-Risk Newborn &amp; Course Review</t>
        </is>
      </c>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66" t="n"/>
      <c r="B40" s="66" t="n"/>
      <c r="C40" s="66" t="n"/>
      <c r="D40" s="66" t="n"/>
      <c r="E40" s="66" t="n"/>
      <c r="F40" s="66" t="n"/>
      <c r="G40" s="66" t="n"/>
    </row>
    <row r="41" ht="15.75" customHeight="1" s="113">
      <c r="A41" s="66" t="n"/>
      <c r="B41" s="66" t="n"/>
      <c r="C41" s="66" t="n"/>
      <c r="D41" s="66" t="n"/>
      <c r="E41" s="66" t="n"/>
      <c r="F41" s="66" t="n"/>
      <c r="G41" s="66" t="n"/>
    </row>
    <row r="42" ht="15.75" customHeight="1" s="113">
      <c r="A42" s="66" t="n"/>
      <c r="B42" s="66" t="n"/>
      <c r="C42" s="66" t="n"/>
      <c r="D42" s="66" t="n"/>
      <c r="E42" s="66" t="n"/>
      <c r="F42" s="66" t="n"/>
      <c r="G42" s="66"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Buhler</t>
        </is>
      </c>
    </row>
    <row r="2">
      <c r="A2" s="9" t="inlineStr">
        <is>
          <t>NUR234</t>
        </is>
      </c>
      <c r="B2" s="11" t="inlineStr">
        <is>
          <t>NUR235</t>
        </is>
      </c>
      <c r="C2" s="11" t="inlineStr">
        <is>
          <t>NUR258</t>
        </is>
      </c>
      <c r="D2" s="18" t="inlineStr">
        <is>
          <t>🏠 START HERE</t>
        </is>
      </c>
      <c r="E2" s="21" t="inlineStr">
        <is>
          <t>📥 Sort me</t>
        </is>
      </c>
      <c r="F2" s="14" t="n"/>
      <c r="G2" s="14" t="n"/>
    </row>
    <row r="3">
      <c r="A3" s="24" t="inlineStr">
        <is>
          <t>Kaiser</t>
        </is>
      </c>
      <c r="B3" s="26"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0" t="inlineStr">
        <is>
          <t>Module 1</t>
        </is>
      </c>
      <c r="B6" s="40" t="inlineStr">
        <is>
          <t>Day 1</t>
        </is>
      </c>
      <c r="C6" s="43" t="inlineStr">
        <is>
          <t>Fall 2026</t>
        </is>
      </c>
      <c r="D6" s="43" t="inlineStr">
        <is>
          <t>Buhler</t>
        </is>
      </c>
      <c r="E6" s="49">
        <f>HYPERLINK("https://drive.google.com/open?id=1u4dmz5cUxg1cKSpzK5QEigVqQdw7ZAgV&amp;usp=drive_fs","▶  Watch")</f>
        <v/>
      </c>
      <c r="F6" s="50" t="inlineStr">
        <is>
          <t>NUR234_Buhler_Wk1_D1.mp4</t>
        </is>
      </c>
      <c r="G6" s="47" t="inlineStr">
        <is>
          <t>Chapter 6</t>
        </is>
      </c>
    </row>
    <row r="7">
      <c r="A7" s="44" t="inlineStr">
        <is>
          <t>Module 1</t>
        </is>
      </c>
      <c r="B7" s="44" t="inlineStr">
        <is>
          <t>Day 2</t>
        </is>
      </c>
      <c r="C7" s="47" t="inlineStr">
        <is>
          <t>Fall 2026</t>
        </is>
      </c>
      <c r="D7" s="47" t="inlineStr">
        <is>
          <t>Buhler</t>
        </is>
      </c>
      <c r="E7" s="55">
        <f>HYPERLINK("https://drive.google.com/file/d/1CnuSelmTyZAZC85GA3VHMHZZQq5ZtB-S/view","▶  Watch")</f>
        <v/>
      </c>
      <c r="F7" s="47" t="inlineStr">
        <is>
          <t>NUR234_Buhler_Wk1_D2.mp4</t>
        </is>
      </c>
      <c r="G7" s="47" t="inlineStr">
        <is>
          <t>Topic: Reproductive Life Planning &amp; Contraception</t>
        </is>
      </c>
    </row>
    <row r="8">
      <c r="A8" s="56" t="inlineStr">
        <is>
          <t>Module 2</t>
        </is>
      </c>
      <c r="B8" s="56" t="inlineStr">
        <is>
          <t>Day 1</t>
        </is>
      </c>
      <c r="C8" s="47" t="inlineStr">
        <is>
          <t>Fall 2026</t>
        </is>
      </c>
      <c r="D8" s="57" t="inlineStr">
        <is>
          <t>Buhler</t>
        </is>
      </c>
      <c r="E8" s="58">
        <f>HYPERLINK("https://drive.google.com/file/d/17VZ8oHKVfrKNkHLMkfalKuIqLrMv_okM/view","▶  Watch")</f>
        <v/>
      </c>
      <c r="F8" s="57" t="inlineStr">
        <is>
          <t>NUR234_Chapter_9_(Source).mp4</t>
        </is>
      </c>
      <c r="G8" s="57" t="inlineStr">
        <is>
          <t>Chapter 9 - placed by chapter order, move the row if it belongs elsewhere</t>
        </is>
      </c>
    </row>
    <row r="9">
      <c r="A9" s="44" t="inlineStr">
        <is>
          <t>Module 2</t>
        </is>
      </c>
      <c r="B9" s="44" t="inlineStr">
        <is>
          <t>Day 2</t>
        </is>
      </c>
      <c r="C9" s="47" t="inlineStr">
        <is>
          <t>Fall 2026</t>
        </is>
      </c>
      <c r="D9" s="47" t="inlineStr">
        <is>
          <t>Buhler</t>
        </is>
      </c>
      <c r="E9" s="59" t="n"/>
      <c r="F9" s="47" t="n"/>
      <c r="G9" s="47" t="n"/>
    </row>
    <row r="10">
      <c r="A10" s="56" t="inlineStr">
        <is>
          <t>Module 3</t>
        </is>
      </c>
      <c r="B10" s="56" t="inlineStr">
        <is>
          <t>Day 1</t>
        </is>
      </c>
      <c r="C10" s="47" t="inlineStr">
        <is>
          <t>Fall 2026</t>
        </is>
      </c>
      <c r="D10" s="57" t="inlineStr">
        <is>
          <t>Buhler</t>
        </is>
      </c>
      <c r="E10" s="58">
        <f>HYPERLINK("https://drive.google.com/file/d/13GSnMwCucMykxi0DP8aGTl_htiXv0mPZ/view","▶  Watch")</f>
        <v/>
      </c>
      <c r="F10" s="57" t="inlineStr">
        <is>
          <t>NUR234_Fall2026_Buhler_WkNA_DayNA_Chapter 10 Psychological and Physiological Changes of Pregnancy.mp4</t>
        </is>
      </c>
      <c r="G10" s="57" t="inlineStr">
        <is>
          <t>Chapter 10 - placed by chapter order, move the row if it belongs elsewhere</t>
        </is>
      </c>
    </row>
    <row r="11">
      <c r="A11" s="44" t="inlineStr">
        <is>
          <t>Module 3</t>
        </is>
      </c>
      <c r="B11" s="44" t="inlineStr">
        <is>
          <t>Day 2</t>
        </is>
      </c>
      <c r="C11" s="47" t="inlineStr">
        <is>
          <t>Fall 2026</t>
        </is>
      </c>
      <c r="D11" s="47" t="inlineStr">
        <is>
          <t>Buhler</t>
        </is>
      </c>
      <c r="E11" s="59" t="n"/>
      <c r="F11" s="47" t="n"/>
      <c r="G11" s="47" t="n"/>
    </row>
    <row r="12">
      <c r="A12" s="56" t="inlineStr">
        <is>
          <t>Module 4</t>
        </is>
      </c>
      <c r="B12" s="56" t="inlineStr">
        <is>
          <t>Day 1</t>
        </is>
      </c>
      <c r="C12" s="47" t="inlineStr">
        <is>
          <t>Fall 2026</t>
        </is>
      </c>
      <c r="D12" s="57" t="inlineStr">
        <is>
          <t>Not named</t>
        </is>
      </c>
      <c r="E12" s="58">
        <f>HYPERLINK("https://drive.google.com/file/d/1-DV8jAn3hFddHFvpr8kgYtyjI9t8QJZi/view","▶  Watch")</f>
        <v/>
      </c>
      <c r="F12" s="57" t="inlineStr">
        <is>
          <t>NUR234_Chapter_11_(Source).mp4</t>
        </is>
      </c>
      <c r="G12" s="57" t="inlineStr">
        <is>
          <t>Chapter 11 - lecturer is not named in the file. Placed by chapter order, move the row if it belongs elsewhere</t>
        </is>
      </c>
    </row>
    <row r="13">
      <c r="A13" s="44" t="inlineStr">
        <is>
          <t>Module 4</t>
        </is>
      </c>
      <c r="B13" s="44" t="inlineStr">
        <is>
          <t>Day 2</t>
        </is>
      </c>
      <c r="C13" s="47" t="inlineStr">
        <is>
          <t>Fall 2026</t>
        </is>
      </c>
      <c r="D13" s="47" t="inlineStr">
        <is>
          <t>Buhler</t>
        </is>
      </c>
      <c r="E13" s="59" t="n"/>
      <c r="F13" s="47" t="n"/>
      <c r="G13" s="47" t="n"/>
    </row>
    <row r="14">
      <c r="A14" s="56" t="inlineStr">
        <is>
          <t>Module 5</t>
        </is>
      </c>
      <c r="B14" s="56" t="inlineStr">
        <is>
          <t>Day 1</t>
        </is>
      </c>
      <c r="C14" s="47" t="inlineStr">
        <is>
          <t>Fall 2026</t>
        </is>
      </c>
      <c r="D14" s="57" t="inlineStr">
        <is>
          <t>Buhler</t>
        </is>
      </c>
      <c r="E14" s="58">
        <f>HYPERLINK("https://drive.google.com/file/d/1HQHKEoo2ntCRU3q8qmQ1y1F3tL6TOkJ2/view","▶  Watch")</f>
        <v/>
      </c>
      <c r="F14" s="57" t="inlineStr">
        <is>
          <t>NUR234_Fall2026_Buhler_Wk05_DayNA_Chapter 12.mp4</t>
        </is>
      </c>
      <c r="G14" s="57" t="inlineStr">
        <is>
          <t>Chapter 12</t>
        </is>
      </c>
    </row>
    <row r="15">
      <c r="A15" s="44" t="inlineStr">
        <is>
          <t>Module 5</t>
        </is>
      </c>
      <c r="B15" s="44" t="inlineStr">
        <is>
          <t>Day 2</t>
        </is>
      </c>
      <c r="C15" s="47" t="inlineStr">
        <is>
          <t>Fall 2026</t>
        </is>
      </c>
      <c r="D15" s="47" t="inlineStr">
        <is>
          <t>Buhler</t>
        </is>
      </c>
      <c r="E15" s="58">
        <f>HYPERLINK("https://drive.google.com/file/d/1z3U5EJf1WVte6o2sK-hdCtuE1Hos0YEj/view","▶  Watch")</f>
        <v/>
      </c>
      <c r="F15" s="57" t="inlineStr">
        <is>
          <t>NUR234_Fall2026_Buhler_Wk05_DayNA_Chapter 13.mp4</t>
        </is>
      </c>
      <c r="G15" s="57" t="inlineStr">
        <is>
          <t>Chapter 13</t>
        </is>
      </c>
    </row>
    <row r="16">
      <c r="A16" s="56" t="inlineStr">
        <is>
          <t>Module 6</t>
        </is>
      </c>
      <c r="B16" s="56" t="inlineStr">
        <is>
          <t>Day 1</t>
        </is>
      </c>
      <c r="C16" s="47" t="inlineStr">
        <is>
          <t>Fall 2026</t>
        </is>
      </c>
      <c r="D16" s="47" t="inlineStr">
        <is>
          <t>Not named</t>
        </is>
      </c>
      <c r="E16" s="58">
        <f>HYPERLINK("https://drive.google.com/file/d/1HvfwKXxW2MAssWfgSmFv9UD6rYShOYoa/view","▶  Watch")</f>
        <v/>
      </c>
      <c r="F16" s="57" t="inlineStr">
        <is>
          <t>NUR234_Fall2026_WkNA_DayNA_Chapter 15.mp4</t>
        </is>
      </c>
      <c r="G16" s="57"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4" t="inlineStr">
        <is>
          <t>Module 6</t>
        </is>
      </c>
      <c r="B17" s="44" t="inlineStr">
        <is>
          <t>Day 2</t>
        </is>
      </c>
      <c r="C17" s="47" t="inlineStr">
        <is>
          <t>Fall 2026</t>
        </is>
      </c>
      <c r="D17" s="47" t="inlineStr">
        <is>
          <t>Buhler</t>
        </is>
      </c>
      <c r="E17" s="59" t="n"/>
      <c r="F17" s="47" t="n"/>
      <c r="G17" s="47" t="n"/>
    </row>
    <row r="18">
      <c r="A18" s="56" t="inlineStr">
        <is>
          <t>Module 7</t>
        </is>
      </c>
      <c r="B18" s="56" t="inlineStr">
        <is>
          <t>Day 1</t>
        </is>
      </c>
      <c r="C18" s="47" t="inlineStr">
        <is>
          <t>Fall 2026</t>
        </is>
      </c>
      <c r="D18" s="57" t="inlineStr">
        <is>
          <t>Buhler</t>
        </is>
      </c>
      <c r="E18" s="58">
        <f>HYPERLINK("https://drive.google.com/file/d/1PIv85W-E3PUKMP_RCmbAdilOOO4FRkAi/view","▶  Watch")</f>
        <v/>
      </c>
      <c r="F18" s="57" t="inlineStr">
        <is>
          <t>NUR234_Fall2026_Buhler_Wk07_DayNA_Chapter 16 Providing Comfort During Labor and Birth.mp4</t>
        </is>
      </c>
      <c r="G18" s="57" t="inlineStr">
        <is>
          <t>Chapter 16 - Providing Comfort During Labor and Birth</t>
        </is>
      </c>
    </row>
    <row r="19">
      <c r="A19" s="44" t="inlineStr">
        <is>
          <t>Module 7</t>
        </is>
      </c>
      <c r="B19" s="44" t="inlineStr">
        <is>
          <t>Day 2</t>
        </is>
      </c>
      <c r="C19" s="47" t="inlineStr">
        <is>
          <t>Fall 2026</t>
        </is>
      </c>
      <c r="D19" s="47" t="inlineStr">
        <is>
          <t>Buhler</t>
        </is>
      </c>
      <c r="E19" s="59" t="n"/>
      <c r="F19" s="47" t="n"/>
      <c r="G19" s="47" t="n"/>
    </row>
    <row r="20">
      <c r="A20" s="56" t="inlineStr">
        <is>
          <t>Module 8</t>
        </is>
      </c>
      <c r="B20" s="56" t="inlineStr">
        <is>
          <t>Day 1</t>
        </is>
      </c>
      <c r="C20" s="47" t="inlineStr">
        <is>
          <t>Fall 2026</t>
        </is>
      </c>
      <c r="D20" s="57" t="inlineStr">
        <is>
          <t>Buhler</t>
        </is>
      </c>
      <c r="E20" s="63" t="n"/>
      <c r="F20" s="57" t="n"/>
      <c r="G20" s="57" t="n"/>
    </row>
    <row r="21" ht="15.75" customHeight="1" s="113">
      <c r="A21" s="56" t="inlineStr">
        <is>
          <t>Module 8</t>
        </is>
      </c>
      <c r="B21" s="56" t="inlineStr">
        <is>
          <t>Day 2</t>
        </is>
      </c>
      <c r="C21" s="47" t="inlineStr">
        <is>
          <t>Fall 2026</t>
        </is>
      </c>
      <c r="D21" s="57" t="inlineStr">
        <is>
          <t>Buhler</t>
        </is>
      </c>
      <c r="E21" s="63" t="n"/>
      <c r="F21" s="57" t="n"/>
      <c r="G21" s="57" t="n"/>
    </row>
    <row r="22" ht="15.75" customHeight="1" s="113">
      <c r="A22" s="56" t="inlineStr">
        <is>
          <t>Module 9</t>
        </is>
      </c>
      <c r="B22" s="56" t="inlineStr">
        <is>
          <t>Day 1</t>
        </is>
      </c>
      <c r="C22" s="47" t="inlineStr">
        <is>
          <t>Fall 2026</t>
        </is>
      </c>
      <c r="D22" s="57" t="inlineStr">
        <is>
          <t>Buhler</t>
        </is>
      </c>
      <c r="E22" s="63" t="n"/>
      <c r="F22" s="57" t="n"/>
      <c r="G22" s="57" t="n"/>
    </row>
    <row r="23" ht="15.75" customHeight="1" s="113">
      <c r="A23" s="44" t="inlineStr">
        <is>
          <t>Module 9</t>
        </is>
      </c>
      <c r="B23" s="44" t="inlineStr">
        <is>
          <t>Day 2</t>
        </is>
      </c>
      <c r="C23" s="47" t="inlineStr">
        <is>
          <t>Fall 2026</t>
        </is>
      </c>
      <c r="D23" s="47" t="inlineStr">
        <is>
          <t>Buhler</t>
        </is>
      </c>
      <c r="E23" s="59" t="n"/>
      <c r="F23" s="47" t="n"/>
      <c r="G23" s="47" t="n"/>
    </row>
    <row r="24" ht="15.75" customHeight="1" s="113">
      <c r="A24" s="56" t="inlineStr">
        <is>
          <t>Module 10</t>
        </is>
      </c>
      <c r="B24" s="56" t="inlineStr">
        <is>
          <t>Day 1</t>
        </is>
      </c>
      <c r="C24" s="47" t="inlineStr">
        <is>
          <t>Fall 2026</t>
        </is>
      </c>
      <c r="D24" s="57" t="inlineStr">
        <is>
          <t>Buhler</t>
        </is>
      </c>
      <c r="E24" s="63" t="n"/>
      <c r="F24" s="57" t="n"/>
      <c r="G24" s="57" t="n"/>
    </row>
    <row r="25" ht="15.75" customHeight="1" s="113">
      <c r="A25" s="44" t="inlineStr">
        <is>
          <t>Module 10</t>
        </is>
      </c>
      <c r="B25" s="44" t="inlineStr">
        <is>
          <t>Day 2</t>
        </is>
      </c>
      <c r="C25" s="47" t="inlineStr">
        <is>
          <t>Fall 2026</t>
        </is>
      </c>
      <c r="D25" s="47" t="inlineStr">
        <is>
          <t>Buhler</t>
        </is>
      </c>
      <c r="E25" s="59" t="n"/>
      <c r="F25" s="47" t="n"/>
      <c r="G25" s="47" t="n"/>
    </row>
    <row r="26" ht="15.75" customHeight="1" s="113">
      <c r="A26" s="56" t="inlineStr">
        <is>
          <t>Module 11</t>
        </is>
      </c>
      <c r="B26" s="56" t="inlineStr">
        <is>
          <t>Day 1</t>
        </is>
      </c>
      <c r="C26" s="47" t="inlineStr">
        <is>
          <t>Fall 2026</t>
        </is>
      </c>
      <c r="D26" s="57" t="inlineStr">
        <is>
          <t>Buhler</t>
        </is>
      </c>
      <c r="E26" s="63" t="n"/>
      <c r="F26" s="57" t="n"/>
      <c r="G26" s="57" t="n"/>
    </row>
    <row r="27" ht="15.75" customHeight="1" s="113">
      <c r="A27" s="44" t="inlineStr">
        <is>
          <t>Module 11</t>
        </is>
      </c>
      <c r="B27" s="44" t="inlineStr">
        <is>
          <t>Day 2</t>
        </is>
      </c>
      <c r="C27" s="47" t="inlineStr">
        <is>
          <t>Fall 2026</t>
        </is>
      </c>
      <c r="D27" s="47" t="inlineStr">
        <is>
          <t>Buhler</t>
        </is>
      </c>
      <c r="E27" s="59" t="n"/>
      <c r="F27" s="47" t="n"/>
      <c r="G27" s="47" t="n"/>
    </row>
    <row r="28" ht="15.75" customHeight="1" s="113">
      <c r="A28" s="56" t="inlineStr">
        <is>
          <t>Module 12</t>
        </is>
      </c>
      <c r="B28" s="56" t="inlineStr">
        <is>
          <t>Day 1</t>
        </is>
      </c>
      <c r="C28" s="47" t="inlineStr">
        <is>
          <t>Fall 2026</t>
        </is>
      </c>
      <c r="D28" s="57" t="inlineStr">
        <is>
          <t>Buhler</t>
        </is>
      </c>
      <c r="E28" s="63" t="n"/>
      <c r="F28" s="57" t="n"/>
      <c r="G28" s="57" t="n"/>
    </row>
    <row r="29" ht="15.75" customHeight="1" s="113">
      <c r="A29" s="44" t="inlineStr">
        <is>
          <t>Module 12</t>
        </is>
      </c>
      <c r="B29" s="44" t="inlineStr">
        <is>
          <t>Day 2</t>
        </is>
      </c>
      <c r="C29" s="47" t="inlineStr">
        <is>
          <t>Fall 2026</t>
        </is>
      </c>
      <c r="D29" s="47" t="inlineStr">
        <is>
          <t>Buhler</t>
        </is>
      </c>
      <c r="E29" s="59" t="n"/>
      <c r="F29" s="47" t="n"/>
      <c r="G29" s="47" t="n"/>
    </row>
    <row r="30" ht="15.75" customHeight="1" s="113">
      <c r="A30" s="56" t="inlineStr">
        <is>
          <t>Module 13</t>
        </is>
      </c>
      <c r="B30" s="56" t="inlineStr">
        <is>
          <t>Day 1</t>
        </is>
      </c>
      <c r="C30" s="47" t="inlineStr">
        <is>
          <t>Fall 2026</t>
        </is>
      </c>
      <c r="D30" s="57" t="inlineStr">
        <is>
          <t>Buhler</t>
        </is>
      </c>
      <c r="E30" s="63" t="n"/>
      <c r="F30" s="57" t="n"/>
      <c r="G30" s="57" t="n"/>
    </row>
    <row r="31" ht="15.75" customHeight="1" s="113">
      <c r="A31" s="44" t="inlineStr">
        <is>
          <t>Module 13</t>
        </is>
      </c>
      <c r="B31" s="44" t="inlineStr">
        <is>
          <t>Day 2</t>
        </is>
      </c>
      <c r="C31" s="47" t="inlineStr">
        <is>
          <t>Fall 2026</t>
        </is>
      </c>
      <c r="D31" s="47" t="inlineStr">
        <is>
          <t>Buhler</t>
        </is>
      </c>
      <c r="E31" s="59" t="n"/>
      <c r="F31" s="47" t="n"/>
      <c r="G31" s="47" t="n"/>
    </row>
    <row r="32" ht="15.75" customHeight="1" s="113">
      <c r="A32" s="44" t="inlineStr">
        <is>
          <t>Module 14</t>
        </is>
      </c>
      <c r="B32" s="44" t="inlineStr">
        <is>
          <t>Day 1</t>
        </is>
      </c>
      <c r="C32" s="47" t="inlineStr">
        <is>
          <t>Fall 2026</t>
        </is>
      </c>
      <c r="D32" s="47" t="inlineStr">
        <is>
          <t>Buhler</t>
        </is>
      </c>
      <c r="E32" s="59" t="n"/>
      <c r="F32" s="47" t="n"/>
      <c r="G32" s="47" t="n"/>
    </row>
    <row r="33" ht="15.75" customHeight="1" s="113">
      <c r="A33" s="44" t="inlineStr">
        <is>
          <t>Module 14</t>
        </is>
      </c>
      <c r="B33" s="44" t="inlineStr">
        <is>
          <t>Day 2</t>
        </is>
      </c>
      <c r="C33" s="47" t="inlineStr">
        <is>
          <t>Fall 2026</t>
        </is>
      </c>
      <c r="D33" s="47" t="inlineStr">
        <is>
          <t>Buhler</t>
        </is>
      </c>
      <c r="E33" s="59" t="n"/>
      <c r="F33" s="47" t="n"/>
      <c r="G33" s="47" t="n"/>
    </row>
    <row r="34" ht="15.75" customHeight="1" s="113">
      <c r="A34" s="66" t="n"/>
      <c r="B34" s="66" t="n"/>
      <c r="C34" s="66" t="n"/>
      <c r="D34" s="66" t="n"/>
      <c r="E34" s="66" t="n"/>
      <c r="F34" s="66" t="n"/>
      <c r="G34" s="66" t="n"/>
    </row>
    <row r="35" ht="15.75" customHeight="1" s="113">
      <c r="A35" s="66" t="n"/>
      <c r="B35" s="66" t="n"/>
      <c r="C35" s="66" t="n"/>
      <c r="D35" s="66" t="n"/>
      <c r="E35" s="66" t="n"/>
      <c r="F35" s="66" t="n"/>
      <c r="G35" s="66" t="n"/>
    </row>
    <row r="36" ht="15.75" customHeight="1" s="113">
      <c r="A36" s="66" t="n"/>
      <c r="B36" s="66" t="n"/>
      <c r="C36" s="66" t="n"/>
      <c r="D36" s="66" t="n"/>
      <c r="E36" s="66" t="n"/>
      <c r="F36" s="66" t="n"/>
      <c r="G36" s="66" t="n"/>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Glesner</t>
        </is>
      </c>
    </row>
    <row r="2">
      <c r="A2" s="9" t="inlineStr">
        <is>
          <t>NUR234</t>
        </is>
      </c>
      <c r="B2" s="11" t="inlineStr">
        <is>
          <t>NUR235</t>
        </is>
      </c>
      <c r="C2" s="11" t="inlineStr">
        <is>
          <t>NUR258</t>
        </is>
      </c>
      <c r="D2" s="18" t="inlineStr">
        <is>
          <t>🏠 START HERE</t>
        </is>
      </c>
      <c r="E2" s="21" t="inlineStr">
        <is>
          <t>📥 Sort me</t>
        </is>
      </c>
      <c r="F2" s="14" t="n"/>
      <c r="G2" s="14" t="n"/>
    </row>
    <row r="3">
      <c r="A3" s="24" t="inlineStr">
        <is>
          <t>Kaiser</t>
        </is>
      </c>
      <c r="B3" s="26"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56" t="inlineStr">
        <is>
          <t>Module 1</t>
        </is>
      </c>
      <c r="B6" s="56" t="inlineStr">
        <is>
          <t>Day 1</t>
        </is>
      </c>
      <c r="C6" s="57" t="inlineStr">
        <is>
          <t>Fall 2026</t>
        </is>
      </c>
      <c r="D6" s="57" t="inlineStr">
        <is>
          <t>Glesner</t>
        </is>
      </c>
      <c r="E6" s="58">
        <f>HYPERLINK("https://drive.google.com/file/d/15RBwcq_izjKd8bkaA19fLfSTZWiWQdIY/view","▶  Watch")</f>
        <v/>
      </c>
      <c r="F6" s="57" t="inlineStr">
        <is>
          <t>Glesner Wk 1.mp4</t>
        </is>
      </c>
      <c r="G6" s="57" t="inlineStr">
        <is>
          <t>Topic: Reproductive Life Planning &amp; Contraception</t>
        </is>
      </c>
    </row>
    <row r="7">
      <c r="A7" s="56" t="inlineStr">
        <is>
          <t>Module 1</t>
        </is>
      </c>
      <c r="B7" s="56" t="inlineStr">
        <is>
          <t>Day 2</t>
        </is>
      </c>
      <c r="C7" s="57" t="inlineStr">
        <is>
          <t>Fall 2026</t>
        </is>
      </c>
      <c r="D7" s="57" t="inlineStr">
        <is>
          <t>Glesner</t>
        </is>
      </c>
      <c r="E7" s="63" t="n"/>
      <c r="F7" s="57" t="n"/>
      <c r="G7" s="57" t="n"/>
    </row>
    <row r="8">
      <c r="A8" s="44" t="inlineStr">
        <is>
          <t>Module 2</t>
        </is>
      </c>
      <c r="B8" s="44" t="inlineStr">
        <is>
          <t>Day 1</t>
        </is>
      </c>
      <c r="C8" s="47" t="inlineStr">
        <is>
          <t>Fall 2026</t>
        </is>
      </c>
      <c r="D8" s="47" t="inlineStr">
        <is>
          <t>Glesner</t>
        </is>
      </c>
      <c r="E8" s="59" t="n"/>
      <c r="F8" s="47" t="n"/>
      <c r="G8" s="47" t="n"/>
    </row>
    <row r="9">
      <c r="A9" s="56" t="inlineStr">
        <is>
          <t>Module 2</t>
        </is>
      </c>
      <c r="B9" s="56" t="inlineStr">
        <is>
          <t>Day 2</t>
        </is>
      </c>
      <c r="C9" s="57" t="inlineStr">
        <is>
          <t>Fall 2026</t>
        </is>
      </c>
      <c r="D9" s="57" t="inlineStr">
        <is>
          <t>Glesner</t>
        </is>
      </c>
      <c r="E9" s="63" t="n"/>
      <c r="F9" s="57" t="n"/>
      <c r="G9" s="57" t="n"/>
    </row>
    <row r="10">
      <c r="A10" s="44" t="inlineStr">
        <is>
          <t>Module 3</t>
        </is>
      </c>
      <c r="B10" s="44" t="inlineStr">
        <is>
          <t>Day 1</t>
        </is>
      </c>
      <c r="C10" s="47" t="inlineStr">
        <is>
          <t>Fall 2026</t>
        </is>
      </c>
      <c r="D10" s="47" t="inlineStr">
        <is>
          <t>Glesner</t>
        </is>
      </c>
      <c r="E10" s="59" t="n"/>
      <c r="F10" s="47" t="n"/>
      <c r="G10" s="47" t="n"/>
    </row>
    <row r="11">
      <c r="A11" s="56" t="inlineStr">
        <is>
          <t>Module 3</t>
        </is>
      </c>
      <c r="B11" s="56" t="inlineStr">
        <is>
          <t>Day 2</t>
        </is>
      </c>
      <c r="C11" s="57" t="inlineStr">
        <is>
          <t>Fall 2026</t>
        </is>
      </c>
      <c r="D11" s="57" t="inlineStr">
        <is>
          <t>Glesner</t>
        </is>
      </c>
      <c r="E11" s="63" t="n"/>
      <c r="F11" s="57" t="n"/>
      <c r="G11" s="57" t="n"/>
    </row>
    <row r="12">
      <c r="A12" s="44" t="inlineStr">
        <is>
          <t>Module 4</t>
        </is>
      </c>
      <c r="B12" s="44" t="inlineStr">
        <is>
          <t>Day 1</t>
        </is>
      </c>
      <c r="C12" s="47" t="inlineStr">
        <is>
          <t>Fall 2026</t>
        </is>
      </c>
      <c r="D12" s="47" t="inlineStr">
        <is>
          <t>Glesner</t>
        </is>
      </c>
      <c r="E12" s="59" t="n"/>
      <c r="F12" s="47" t="n"/>
      <c r="G12" s="47" t="n"/>
    </row>
    <row r="13">
      <c r="A13" s="56" t="inlineStr">
        <is>
          <t>Module 4</t>
        </is>
      </c>
      <c r="B13" s="56" t="inlineStr">
        <is>
          <t>Day 2</t>
        </is>
      </c>
      <c r="C13" s="57" t="inlineStr">
        <is>
          <t>Fall 2026</t>
        </is>
      </c>
      <c r="D13" s="57" t="inlineStr">
        <is>
          <t>Glesner</t>
        </is>
      </c>
      <c r="E13" s="63" t="n"/>
      <c r="F13" s="57" t="n"/>
      <c r="G13" s="57" t="n"/>
    </row>
    <row r="14">
      <c r="A14" s="44" t="inlineStr">
        <is>
          <t>Module 5</t>
        </is>
      </c>
      <c r="B14" s="44" t="inlineStr">
        <is>
          <t>Day 1</t>
        </is>
      </c>
      <c r="C14" s="47" t="inlineStr">
        <is>
          <t>Fall 2026</t>
        </is>
      </c>
      <c r="D14" s="47" t="inlineStr">
        <is>
          <t>Glesner</t>
        </is>
      </c>
      <c r="E14" s="117">
        <f>HYPERLINK("https://drive.google.com/file/d/1qQg4ce98-3BjaaD-n_tYcdZosElOcHq0/view","▶  Watch")</f>
        <v/>
      </c>
      <c r="F14" s="93" t="inlineStr">
        <is>
          <t>NUR234_Fall2026_Glesner_Wk05_DayNA_Module 5 - Nutrition and health promotion in pregnancy (topic from the module number).mp4</t>
        </is>
      </c>
      <c r="G14" s="93" t="inlineStr">
        <is>
          <t>Topic: Nutrition &amp; Health Promotion in Pregnancy</t>
        </is>
      </c>
    </row>
    <row r="15">
      <c r="A15" s="56" t="inlineStr">
        <is>
          <t>Module 5</t>
        </is>
      </c>
      <c r="B15" s="56" t="inlineStr">
        <is>
          <t>Day 2</t>
        </is>
      </c>
      <c r="C15" s="57" t="inlineStr">
        <is>
          <t>Fall 2026</t>
        </is>
      </c>
      <c r="D15" s="57" t="inlineStr">
        <is>
          <t>Glesner</t>
        </is>
      </c>
      <c r="E15" s="63" t="n"/>
      <c r="F15" s="57" t="n"/>
      <c r="G15" s="57" t="n"/>
    </row>
    <row r="16">
      <c r="A16" s="44" t="inlineStr">
        <is>
          <t>Module 6</t>
        </is>
      </c>
      <c r="B16" s="44" t="inlineStr">
        <is>
          <t>Day 1</t>
        </is>
      </c>
      <c r="C16" s="47" t="inlineStr">
        <is>
          <t>Fall 2026</t>
        </is>
      </c>
      <c r="D16" s="47" t="inlineStr">
        <is>
          <t>Glesner</t>
        </is>
      </c>
      <c r="E16" s="59" t="n"/>
      <c r="F16" s="47" t="n"/>
      <c r="G16" s="47" t="n"/>
    </row>
    <row r="17">
      <c r="A17" s="56" t="inlineStr">
        <is>
          <t>Module 6</t>
        </is>
      </c>
      <c r="B17" s="56" t="inlineStr">
        <is>
          <t>Day 2</t>
        </is>
      </c>
      <c r="C17" s="57" t="inlineStr">
        <is>
          <t>Fall 2026</t>
        </is>
      </c>
      <c r="D17" s="57" t="inlineStr">
        <is>
          <t>Glesner</t>
        </is>
      </c>
      <c r="E17" s="63" t="n"/>
      <c r="F17" s="57" t="n"/>
      <c r="G17" s="57" t="n"/>
    </row>
    <row r="18">
      <c r="A18" s="44" t="inlineStr">
        <is>
          <t>Module 7</t>
        </is>
      </c>
      <c r="B18" s="44" t="inlineStr">
        <is>
          <t>Day 1</t>
        </is>
      </c>
      <c r="C18" s="47" t="inlineStr">
        <is>
          <t>Fall 2026</t>
        </is>
      </c>
      <c r="D18" s="47" t="inlineStr">
        <is>
          <t>Glesner</t>
        </is>
      </c>
      <c r="E18" s="59" t="n"/>
      <c r="F18" s="47" t="n"/>
      <c r="G18" s="47" t="n"/>
    </row>
    <row r="19">
      <c r="A19" s="56" t="inlineStr">
        <is>
          <t>Module 7</t>
        </is>
      </c>
      <c r="B19" s="56" t="inlineStr">
        <is>
          <t>Day 2</t>
        </is>
      </c>
      <c r="C19" s="57" t="inlineStr">
        <is>
          <t>Fall 2026</t>
        </is>
      </c>
      <c r="D19" s="57" t="inlineStr">
        <is>
          <t>Glesner</t>
        </is>
      </c>
      <c r="E19" s="63" t="n"/>
      <c r="F19" s="57" t="n"/>
      <c r="G19" s="57" t="n"/>
    </row>
    <row r="20">
      <c r="A20" s="44" t="inlineStr">
        <is>
          <t>Module 8</t>
        </is>
      </c>
      <c r="B20" s="44" t="inlineStr">
        <is>
          <t>Day 1</t>
        </is>
      </c>
      <c r="C20" s="47" t="inlineStr">
        <is>
          <t>Fall 2026</t>
        </is>
      </c>
      <c r="D20" s="47" t="inlineStr">
        <is>
          <t>Glesner</t>
        </is>
      </c>
      <c r="E20" s="59" t="n"/>
      <c r="F20" s="47" t="n"/>
      <c r="G20" s="47" t="n"/>
    </row>
    <row r="21" ht="15.75" customHeight="1" s="113">
      <c r="A21" s="56" t="inlineStr">
        <is>
          <t>Module 8</t>
        </is>
      </c>
      <c r="B21" s="56" t="inlineStr">
        <is>
          <t>Day 2</t>
        </is>
      </c>
      <c r="C21" s="57" t="inlineStr">
        <is>
          <t>Fall 2026</t>
        </is>
      </c>
      <c r="D21" s="57" t="inlineStr">
        <is>
          <t>Glesner</t>
        </is>
      </c>
      <c r="E21" s="63" t="n"/>
      <c r="F21" s="57" t="n"/>
      <c r="G21" s="57" t="n"/>
    </row>
    <row r="22" ht="15.75" customHeight="1" s="113">
      <c r="A22" s="44" t="inlineStr">
        <is>
          <t>Module 9</t>
        </is>
      </c>
      <c r="B22" s="44" t="inlineStr">
        <is>
          <t>Day 1</t>
        </is>
      </c>
      <c r="C22" s="47" t="inlineStr">
        <is>
          <t>Fall 2026</t>
        </is>
      </c>
      <c r="D22" s="47" t="inlineStr">
        <is>
          <t>Glesner</t>
        </is>
      </c>
      <c r="E22" s="59" t="n"/>
      <c r="F22" s="47" t="n"/>
      <c r="G22" s="47" t="n"/>
    </row>
    <row r="23" ht="15.75" customHeight="1" s="113">
      <c r="A23" s="56" t="inlineStr">
        <is>
          <t>Module 9</t>
        </is>
      </c>
      <c r="B23" s="56" t="inlineStr">
        <is>
          <t>Day 2</t>
        </is>
      </c>
      <c r="C23" s="57" t="inlineStr">
        <is>
          <t>Fall 2026</t>
        </is>
      </c>
      <c r="D23" s="57" t="inlineStr">
        <is>
          <t>Glesner</t>
        </is>
      </c>
      <c r="E23" s="63" t="n"/>
      <c r="F23" s="57" t="n"/>
      <c r="G23" s="57" t="n"/>
    </row>
    <row r="24" ht="15.75" customHeight="1" s="113">
      <c r="A24" s="44" t="inlineStr">
        <is>
          <t>Module 10</t>
        </is>
      </c>
      <c r="B24" s="44" t="inlineStr">
        <is>
          <t>Day 1</t>
        </is>
      </c>
      <c r="C24" s="47" t="inlineStr">
        <is>
          <t>Fall 2026</t>
        </is>
      </c>
      <c r="D24" s="47" t="inlineStr">
        <is>
          <t>Glesner</t>
        </is>
      </c>
      <c r="E24" s="59" t="n"/>
      <c r="F24" s="47" t="n"/>
      <c r="G24" s="47" t="n"/>
    </row>
    <row r="25" ht="15.75" customHeight="1" s="113">
      <c r="A25" s="56" t="inlineStr">
        <is>
          <t>Module 10</t>
        </is>
      </c>
      <c r="B25" s="56" t="inlineStr">
        <is>
          <t>Day 2</t>
        </is>
      </c>
      <c r="C25" s="57" t="inlineStr">
        <is>
          <t>Fall 2026</t>
        </is>
      </c>
      <c r="D25" s="57" t="inlineStr">
        <is>
          <t>Glesner</t>
        </is>
      </c>
      <c r="E25" s="63" t="n"/>
      <c r="F25" s="57" t="n"/>
      <c r="G25" s="57" t="n"/>
    </row>
    <row r="26" ht="15.75" customHeight="1" s="113">
      <c r="A26" s="44" t="inlineStr">
        <is>
          <t>Module 11</t>
        </is>
      </c>
      <c r="B26" s="44" t="inlineStr">
        <is>
          <t>Day 1</t>
        </is>
      </c>
      <c r="C26" s="47" t="inlineStr">
        <is>
          <t>Fall 2026</t>
        </is>
      </c>
      <c r="D26" s="47" t="inlineStr">
        <is>
          <t>Glesner</t>
        </is>
      </c>
      <c r="E26" s="59" t="n"/>
      <c r="F26" s="47" t="n"/>
      <c r="G26" s="47" t="n"/>
    </row>
    <row r="27" ht="15.75" customHeight="1" s="113">
      <c r="A27" s="56" t="inlineStr">
        <is>
          <t>Module 11</t>
        </is>
      </c>
      <c r="B27" s="56" t="inlineStr">
        <is>
          <t>Day 2</t>
        </is>
      </c>
      <c r="C27" s="57" t="inlineStr">
        <is>
          <t>Fall 2026</t>
        </is>
      </c>
      <c r="D27" s="57" t="inlineStr">
        <is>
          <t>Glesner</t>
        </is>
      </c>
      <c r="E27" s="63" t="n"/>
      <c r="F27" s="57" t="n"/>
      <c r="G27" s="57" t="n"/>
    </row>
    <row r="28" ht="15.75" customHeight="1" s="113">
      <c r="A28" s="44" t="inlineStr">
        <is>
          <t>Module 12</t>
        </is>
      </c>
      <c r="B28" s="44" t="inlineStr">
        <is>
          <t>Day 1</t>
        </is>
      </c>
      <c r="C28" s="47" t="inlineStr">
        <is>
          <t>Fall 2026</t>
        </is>
      </c>
      <c r="D28" s="47" t="inlineStr">
        <is>
          <t>Glesner</t>
        </is>
      </c>
      <c r="E28" s="59" t="n"/>
      <c r="F28" s="47" t="n"/>
      <c r="G28" s="47" t="n"/>
    </row>
    <row r="29" ht="15.75" customHeight="1" s="113">
      <c r="A29" s="56" t="inlineStr">
        <is>
          <t>Module 12</t>
        </is>
      </c>
      <c r="B29" s="56" t="inlineStr">
        <is>
          <t>Day 2</t>
        </is>
      </c>
      <c r="C29" s="57" t="inlineStr">
        <is>
          <t>Fall 2026</t>
        </is>
      </c>
      <c r="D29" s="57" t="inlineStr">
        <is>
          <t>Glesner</t>
        </is>
      </c>
      <c r="E29" s="63" t="n"/>
      <c r="F29" s="57" t="n"/>
      <c r="G29" s="57" t="n"/>
    </row>
    <row r="30" ht="15.75" customHeight="1" s="113">
      <c r="A30" s="44" t="inlineStr">
        <is>
          <t>Module 13</t>
        </is>
      </c>
      <c r="B30" s="44" t="inlineStr">
        <is>
          <t>Day 1</t>
        </is>
      </c>
      <c r="C30" s="47" t="inlineStr">
        <is>
          <t>Fall 2026</t>
        </is>
      </c>
      <c r="D30" s="47" t="inlineStr">
        <is>
          <t>Glesner</t>
        </is>
      </c>
      <c r="E30" s="59" t="n"/>
      <c r="F30" s="47" t="n"/>
      <c r="G30" s="47" t="n"/>
    </row>
    <row r="31" ht="15.75" customHeight="1" s="113">
      <c r="A31" s="56" t="inlineStr">
        <is>
          <t>Module 13</t>
        </is>
      </c>
      <c r="B31" s="56" t="inlineStr">
        <is>
          <t>Day 2</t>
        </is>
      </c>
      <c r="C31" s="57" t="inlineStr">
        <is>
          <t>Fall 2026</t>
        </is>
      </c>
      <c r="D31" s="57" t="inlineStr">
        <is>
          <t>Glesner</t>
        </is>
      </c>
      <c r="E31" s="63" t="n"/>
      <c r="F31" s="57" t="n"/>
      <c r="G31" s="57" t="n"/>
    </row>
    <row r="32" ht="15.75" customHeight="1" s="113">
      <c r="A32" s="44" t="inlineStr">
        <is>
          <t>Module 14</t>
        </is>
      </c>
      <c r="B32" s="44" t="inlineStr">
        <is>
          <t>Day 1</t>
        </is>
      </c>
      <c r="C32" s="47" t="inlineStr">
        <is>
          <t>Fall 2026</t>
        </is>
      </c>
      <c r="D32" s="47" t="inlineStr">
        <is>
          <t>Glesner</t>
        </is>
      </c>
      <c r="E32" s="59" t="n"/>
      <c r="F32" s="47" t="n"/>
      <c r="G32" s="47" t="n"/>
    </row>
    <row r="33" ht="15.75" customHeight="1" s="113">
      <c r="A33" s="56" t="inlineStr">
        <is>
          <t>Module 14</t>
        </is>
      </c>
      <c r="B33" s="56" t="inlineStr">
        <is>
          <t>Day 2</t>
        </is>
      </c>
      <c r="C33" s="57" t="inlineStr">
        <is>
          <t>Fall 2026</t>
        </is>
      </c>
      <c r="D33" s="57" t="inlineStr">
        <is>
          <t>Glesner</t>
        </is>
      </c>
      <c r="E33" s="63" t="n"/>
      <c r="F33" s="57" t="n"/>
      <c r="G33" s="57" t="n"/>
    </row>
    <row r="34" ht="15.75" customHeight="1" s="113">
      <c r="A34" s="66" t="n"/>
      <c r="B34" s="66" t="n"/>
      <c r="C34" s="66" t="n"/>
      <c r="D34" s="66" t="n"/>
      <c r="E34" s="66" t="n"/>
      <c r="F34" s="66" t="n"/>
      <c r="G34" s="66" t="n"/>
    </row>
    <row r="35" ht="15.75" customHeight="1" s="113">
      <c r="A35" s="66" t="n"/>
      <c r="B35" s="66" t="n"/>
      <c r="C35" s="66" t="n"/>
      <c r="D35" s="66" t="n"/>
      <c r="E35" s="66" t="n"/>
      <c r="F35" s="66" t="n"/>
      <c r="G35" s="66" t="n"/>
    </row>
    <row r="36" ht="15.75" customHeight="1" s="113">
      <c r="A36" s="66" t="n"/>
      <c r="B36" s="66" t="n"/>
      <c r="C36" s="66" t="n"/>
      <c r="D36" s="66" t="n"/>
      <c r="E36" s="66" t="n"/>
      <c r="F36" s="66" t="n"/>
      <c r="G36" s="66" t="n"/>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68.29000000000001" customWidth="1" style="113" min="3" max="3"/>
    <col width="16" customWidth="1" style="113" min="4" max="4"/>
    <col width="18" customWidth="1" style="113" min="5" max="5"/>
    <col width="20" customWidth="1" style="113" min="6" max="6"/>
    <col width="58.57" customWidth="1" style="113" min="7" max="7"/>
  </cols>
  <sheetData>
    <row r="1">
      <c r="A1" s="2" t="inlineStr">
        <is>
          <t>NUR234  ·  Exam Reviews</t>
        </is>
      </c>
    </row>
    <row r="2">
      <c r="A2" s="8" t="inlineStr">
        <is>
          <t>NUR234</t>
        </is>
      </c>
      <c r="B2" s="7" t="inlineStr">
        <is>
          <t>NUR235</t>
        </is>
      </c>
      <c r="C2" s="7" t="inlineStr">
        <is>
          <t>NUR258</t>
        </is>
      </c>
      <c r="D2" s="12" t="inlineStr">
        <is>
          <t>🏠 START HERE</t>
        </is>
      </c>
      <c r="E2" s="21" t="inlineStr">
        <is>
          <t>📥 Sort me</t>
        </is>
      </c>
      <c r="F2" s="69" t="n"/>
      <c r="G2" s="69" t="n"/>
    </row>
    <row r="3">
      <c r="A3" s="24" t="inlineStr">
        <is>
          <t>Kaiser</t>
        </is>
      </c>
      <c r="B3" s="24" t="inlineStr">
        <is>
          <t>Buhler</t>
        </is>
      </c>
      <c r="C3" s="24" t="inlineStr">
        <is>
          <t>Glesner</t>
        </is>
      </c>
      <c r="D3" s="71" t="inlineStr">
        <is>
          <t>Exams</t>
        </is>
      </c>
      <c r="E3" s="32" t="n"/>
      <c r="F3" s="69" t="n"/>
      <c r="G3" s="14" t="n"/>
    </row>
    <row r="4">
      <c r="A4" s="14" t="n"/>
      <c r="B4" s="14" t="n"/>
      <c r="C4" s="14" t="n"/>
      <c r="D4" s="14" t="n"/>
      <c r="E4" s="14" t="n"/>
      <c r="F4" s="69" t="n"/>
      <c r="G4" s="14" t="n"/>
    </row>
    <row r="5">
      <c r="A5" s="75" t="inlineStr">
        <is>
          <t>Exam</t>
        </is>
      </c>
      <c r="B5" s="75" t="inlineStr">
        <is>
          <t>Date</t>
        </is>
      </c>
      <c r="C5" s="75" t="inlineStr">
        <is>
          <t>Item</t>
        </is>
      </c>
      <c r="D5" s="75" t="inlineStr">
        <is>
          <t>Lecturer</t>
        </is>
      </c>
      <c r="E5" s="75" t="inlineStr">
        <is>
          <t>Type</t>
        </is>
      </c>
      <c r="F5" s="77" t="inlineStr">
        <is>
          <t>Link</t>
        </is>
      </c>
      <c r="G5" s="75" t="inlineStr">
        <is>
          <t>Notes</t>
        </is>
      </c>
    </row>
    <row r="6">
      <c r="A6" s="56" t="inlineStr">
        <is>
          <t>Exam 1</t>
        </is>
      </c>
      <c r="B6" s="56" t="n"/>
      <c r="C6" s="57" t="inlineStr">
        <is>
          <t>Study guide</t>
        </is>
      </c>
      <c r="D6" s="57" t="inlineStr">
        <is>
          <t>Course handout</t>
        </is>
      </c>
      <c r="E6" s="57" t="inlineStr">
        <is>
          <t>PDF</t>
        </is>
      </c>
      <c r="F6" s="80">
        <f>HYPERLINK("https://drive.google.com/file/d/1G-isAusr4xSiEajdswjxRKPg2ZXah-E9/view","📄  Open")</f>
        <v/>
      </c>
      <c r="G6" s="57" t="inlineStr">
        <is>
          <t>Maternal study guide</t>
        </is>
      </c>
    </row>
    <row r="7">
      <c r="A7" s="44" t="inlineStr">
        <is>
          <t>Exam 1</t>
        </is>
      </c>
      <c r="B7" s="44" t="n"/>
      <c r="C7" s="47" t="inlineStr">
        <is>
          <t>Practice questions</t>
        </is>
      </c>
      <c r="D7" s="47" t="inlineStr">
        <is>
          <t>Dr. Renee Hansen</t>
        </is>
      </c>
      <c r="E7" s="47" t="inlineStr">
        <is>
          <t>PDF</t>
        </is>
      </c>
      <c r="F7" s="82">
        <f>HYPERLINK("https://drive.google.com/file/d/18sXhH2IZ8qhFlQThhjENr3rB-P8La9BX/view","📄  Open")</f>
        <v/>
      </c>
      <c r="G7" s="47" t="inlineStr">
        <is>
          <t>Exam prep sessions hosted by Hansen (Student Success Coach)</t>
        </is>
      </c>
    </row>
    <row r="8">
      <c r="A8" s="56" t="inlineStr">
        <is>
          <t>Exam 1</t>
        </is>
      </c>
      <c r="B8" s="56" t="n"/>
      <c r="C8" s="57" t="inlineStr">
        <is>
          <t>Module 1 - Reproductive Life Planning</t>
        </is>
      </c>
      <c r="D8" s="57" t="inlineStr">
        <is>
          <t>Exam prep (LSC)</t>
        </is>
      </c>
      <c r="E8" s="57" t="n"/>
      <c r="F8" s="80">
        <f>HYPERLINK("https://drive.google.com/file/d/1BzJX0H7asjyK1qzOoVAj85MSXLDimJYx/view","▶  Watch")</f>
        <v/>
      </c>
      <c r="G8" s="57" t="inlineStr">
        <is>
          <t>Topic: Module 1 - Reproductive Life Planning</t>
        </is>
      </c>
    </row>
    <row r="9">
      <c r="A9" s="44" t="inlineStr">
        <is>
          <t>Exam 1</t>
        </is>
      </c>
      <c r="B9" s="44" t="n"/>
      <c r="C9" s="47" t="inlineStr">
        <is>
          <t>Module 2 - Normal Pregnancy and Care of the Growing Fetus</t>
        </is>
      </c>
      <c r="D9" s="47" t="inlineStr">
        <is>
          <t>Exam prep (LSC)</t>
        </is>
      </c>
      <c r="E9" s="47" t="n"/>
      <c r="F9" s="82">
        <f>HYPERLINK("https://drive.google.com/file/d/1Bk0lxp-seYQORXcarpIuO88Viox4fuOZ/view","▶  Watch")</f>
        <v/>
      </c>
      <c r="G9" s="47" t="inlineStr">
        <is>
          <t>Topic: Module 2 - Normal Pregnancy and Care of the Growing Fetus</t>
        </is>
      </c>
    </row>
    <row r="10">
      <c r="A10" s="56" t="inlineStr">
        <is>
          <t>Exam 1</t>
        </is>
      </c>
      <c r="B10" s="56" t="n"/>
      <c r="C10" s="57" t="inlineStr">
        <is>
          <t>Module 3 - Physiologic Changes of Pregnancy</t>
        </is>
      </c>
      <c r="D10" s="57" t="inlineStr">
        <is>
          <t>Exam prep (LSC)</t>
        </is>
      </c>
      <c r="E10" s="57" t="n"/>
      <c r="F10" s="80">
        <f>HYPERLINK("https://drive.google.com/file/d/1B4wu9ddK2huKEVy10lawIK1_YhYzO6bS/view","▶  Watch")</f>
        <v/>
      </c>
      <c r="G10" s="57" t="inlineStr">
        <is>
          <t>Topic: Module 3 - Physiologic Changes of Pregnancy</t>
        </is>
      </c>
    </row>
    <row r="11">
      <c r="A11" s="44" t="inlineStr">
        <is>
          <t>Exam 1</t>
        </is>
      </c>
      <c r="B11" s="44" t="n"/>
      <c r="C11" s="47" t="inlineStr">
        <is>
          <t>Module 3 - Psychological Changes of Pregnancy</t>
        </is>
      </c>
      <c r="D11" s="47" t="inlineStr">
        <is>
          <t>Exam prep (LSC)</t>
        </is>
      </c>
      <c r="E11" s="47" t="n"/>
      <c r="F11" s="82">
        <f>HYPERLINK("https://drive.google.com/file/d/15AJVaRpwi7uCi97zYj2Cd01PrGjJ5xTs/view","▶  Watch")</f>
        <v/>
      </c>
      <c r="G11" s="47" t="inlineStr">
        <is>
          <t>Topic: Module 3 - Psychological Changes of Pregnancy</t>
        </is>
      </c>
    </row>
    <row r="12">
      <c r="A12" s="56" t="inlineStr">
        <is>
          <t>Exam 1</t>
        </is>
      </c>
      <c r="B12" s="56" t="n"/>
      <c r="C12" s="57" t="inlineStr">
        <is>
          <t>Module 4 - Assessment of a Pregnant Family</t>
        </is>
      </c>
      <c r="D12" s="57" t="inlineStr">
        <is>
          <t>Exam prep (LSC)</t>
        </is>
      </c>
      <c r="E12" s="57" t="n"/>
      <c r="F12" s="80">
        <f>HYPERLINK("https://drive.google.com/file/d/1IQCgJ3dr5ipTv2VGO7t_8Vd16_cwFRKK/view","▶  Watch")</f>
        <v/>
      </c>
      <c r="G12" s="57" t="inlineStr">
        <is>
          <t>Topic: Module 4 - Assessment of a Pregnant Family</t>
        </is>
      </c>
    </row>
    <row r="13">
      <c r="A13" s="56" t="inlineStr">
        <is>
          <t>Exam 2</t>
        </is>
      </c>
      <c r="B13" s="56" t="n"/>
      <c r="C13" s="57" t="inlineStr">
        <is>
          <t>Module 5 - Prenatal</t>
        </is>
      </c>
      <c r="D13" s="57" t="inlineStr">
        <is>
          <t>Exam prep (LSC)</t>
        </is>
      </c>
      <c r="E13" s="57" t="n"/>
      <c r="F13" s="80">
        <f>HYPERLINK("https://drive.google.com/file/d/1C00mJ7cLrMjmrEFDRQPwrgq8w56Bjj3_/view","▶  Watch")</f>
        <v/>
      </c>
      <c r="G13" s="57" t="inlineStr">
        <is>
          <t>NUR234_Fall2026_LSC_Wk05_DayNA_Prenatal.mp4</t>
        </is>
      </c>
    </row>
    <row r="14">
      <c r="A14" s="56" t="inlineStr">
        <is>
          <t>Exam 2</t>
        </is>
      </c>
      <c r="B14" s="56" t="n"/>
      <c r="C14" s="57" t="inlineStr">
        <is>
          <t>Module 5 - Promoting Maternal Health</t>
        </is>
      </c>
      <c r="D14" s="57" t="inlineStr">
        <is>
          <t>Exam prep (LSC)</t>
        </is>
      </c>
      <c r="E14" s="57" t="n"/>
      <c r="F14" s="80">
        <f>HYPERLINK("https://drive.google.com/file/d/1LCdbszibb4W0yRbF9nLhKKKFeIHTmtug/view","▶  Watch")</f>
        <v/>
      </c>
      <c r="G14" s="57" t="inlineStr">
        <is>
          <t>NUR234_Fall2026_LSC_Wk05_DayNA_Promoting Maternal Health.mp4</t>
        </is>
      </c>
    </row>
    <row r="15">
      <c r="A15" s="56" t="inlineStr">
        <is>
          <t>Exam 2</t>
        </is>
      </c>
      <c r="B15" s="56" t="n"/>
      <c r="C15" s="57" t="inlineStr">
        <is>
          <t>Module 5 - Promoting Fetal Health</t>
        </is>
      </c>
      <c r="D15" s="57" t="inlineStr">
        <is>
          <t>Exam prep (LSC)</t>
        </is>
      </c>
      <c r="E15" s="57" t="n"/>
      <c r="F15" s="80">
        <f>HYPERLINK("https://drive.google.com/file/d/1ZizDdJyPX2SIYbCaVpnN9ncjhNtft7ii/view","▶  Watch")</f>
        <v/>
      </c>
      <c r="G15" s="57" t="inlineStr">
        <is>
          <t>NUR234_Fall2026_LSC_Wk05_DayNA_Promoting Fetal Health.mp4</t>
        </is>
      </c>
    </row>
    <row r="16">
      <c r="A16" s="56" t="inlineStr">
        <is>
          <t>Exam 2</t>
        </is>
      </c>
      <c r="B16" s="56" t="inlineStr">
        <is>
          <t>Fall 2026</t>
        </is>
      </c>
      <c r="C16" s="57" t="inlineStr">
        <is>
          <t>Module 6 - Care of a Family During Labor and Birth</t>
        </is>
      </c>
      <c r="D16" s="57" t="inlineStr">
        <is>
          <t>Exam prep (LSC)</t>
        </is>
      </c>
      <c r="E16" s="57" t="n"/>
      <c r="F16" s="80">
        <f>HYPERLINK("https://drive.google.com/file/d/1upYrXBwo5fWpYW8jlqTg8mS_DqrR1RrN/view","▶  Watch")</f>
        <v/>
      </c>
      <c r="G16" s="57" t="inlineStr">
        <is>
          <t>LSC exam prep, 76:16 on Canvas. Your phone capture of 5 Oct 11:01 PM (545 MB). NUR234_Fall2026_LSC_Wk06_DayNA_Module 6 - Care of a Family During Labor and Birth (exam prep, phone capture 5 Oct).mp4</t>
        </is>
      </c>
    </row>
    <row r="17">
      <c r="A17" s="56" t="inlineStr">
        <is>
          <t>Exam 2</t>
        </is>
      </c>
      <c r="B17" s="56" t="inlineStr">
        <is>
          <t>Fall 2026</t>
        </is>
      </c>
      <c r="C17" s="57" t="inlineStr">
        <is>
          <t>My materials - Tue 6 Oct 2:40 PM labor and birth (PC screen recording, 2.3 GB)</t>
        </is>
      </c>
      <c r="D17" s="57" t="inlineStr">
        <is>
          <t>Not named</t>
        </is>
      </c>
      <c r="E17" s="57" t="n"/>
      <c r="F17" s="80">
        <f>HYPERLINK("https://drive.google.com/file/d/15lwQeA3CG1kxZ3EC8HVENaR9QRodgD4Y/view","▶  Watch")</f>
        <v/>
      </c>
      <c r="G17" s="57" t="inlineStr">
        <is>
          <t>Topic from the speech index (labor, contractions, cervix, oxytocin, decelerations, newborn). Could be a second capture of the Module 6 exam prep or a class lecture - open it and tell me.</t>
        </is>
      </c>
    </row>
    <row r="18">
      <c r="A18" s="44" t="inlineStr">
        <is>
          <t>Exam 3</t>
        </is>
      </c>
      <c r="B18" s="44" t="n"/>
      <c r="C18" s="47" t="n"/>
      <c r="D18" s="47" t="n"/>
      <c r="E18" s="47" t="n"/>
      <c r="F18" s="43" t="n"/>
      <c r="G18" s="47" t="n"/>
    </row>
    <row r="19">
      <c r="A19" s="44" t="inlineStr">
        <is>
          <t>Exam 3</t>
        </is>
      </c>
      <c r="B19" s="44" t="n"/>
      <c r="C19" s="47" t="n"/>
      <c r="D19" s="47" t="n"/>
      <c r="E19" s="47" t="n"/>
      <c r="F19" s="43" t="n"/>
      <c r="G19" s="47" t="n"/>
    </row>
    <row r="20" ht="15.75" customHeight="1" s="113">
      <c r="A20" s="56" t="inlineStr">
        <is>
          <t>FINAL</t>
        </is>
      </c>
      <c r="B20" s="56" t="n"/>
      <c r="C20" s="57" t="n"/>
      <c r="D20" s="57" t="n"/>
      <c r="E20" s="57" t="n"/>
      <c r="F20" s="50" t="n"/>
      <c r="G20" s="57" t="n"/>
    </row>
    <row r="21" ht="15.75" customHeight="1" s="113">
      <c r="A21" s="44" t="inlineStr">
        <is>
          <t>FINAL</t>
        </is>
      </c>
      <c r="B21" s="44" t="n"/>
      <c r="C21" s="47" t="n"/>
      <c r="D21" s="47" t="n"/>
      <c r="E21" s="47" t="n"/>
      <c r="F21" s="43" t="n"/>
      <c r="G21" s="47" t="n"/>
    </row>
    <row r="22" ht="15.75" customHeight="1" s="113">
      <c r="A22" s="56" t="inlineStr">
        <is>
          <t>FINAL</t>
        </is>
      </c>
      <c r="B22" s="56" t="n"/>
      <c r="C22" s="57" t="n"/>
      <c r="D22" s="57" t="inlineStr">
        <is>
          <t>Kaiser</t>
        </is>
      </c>
      <c r="E22" s="57" t="inlineStr">
        <is>
          <t>Video</t>
        </is>
      </c>
      <c r="F22" s="49">
        <f>HYPERLINK("https://drive.google.com/file/d/1osViOBDNkX1DvBYY87Q6e9YPmC2yXvWZ/view","▶  Watch")</f>
        <v/>
      </c>
      <c r="G22" s="57" t="inlineStr">
        <is>
          <t>Kaiser final review.mp4</t>
        </is>
      </c>
    </row>
    <row r="23" ht="15.75" customHeight="1" s="113">
      <c r="A23" s="44" t="inlineStr">
        <is>
          <t>FINAL</t>
        </is>
      </c>
      <c r="B23" s="44" t="n"/>
      <c r="C23" s="47" t="n"/>
      <c r="D23" s="47" t="inlineStr">
        <is>
          <t>Kaiser</t>
        </is>
      </c>
      <c r="E23" s="47" t="inlineStr">
        <is>
          <t>Video</t>
        </is>
      </c>
      <c r="F23" s="52">
        <f>HYPERLINK("https://drive.google.com/file/d/1o5rlqxPFoHyGm38nNnVlNWZFdmCAcwJg/view","▶  Watch")</f>
        <v/>
      </c>
      <c r="G23" s="47" t="inlineStr">
        <is>
          <t>Kaiser final review 2.mp4</t>
        </is>
      </c>
    </row>
    <row r="24" ht="15.75" customHeight="1" s="113">
      <c r="A24" s="56" t="inlineStr">
        <is>
          <t>FINAL</t>
        </is>
      </c>
      <c r="B24" s="57" t="inlineStr">
        <is>
          <t>Summer 2026</t>
        </is>
      </c>
      <c r="C24" s="57" t="inlineStr">
        <is>
          <t>Final exam review - fetal heart rate monitoring and decelerations (6 Aug)</t>
        </is>
      </c>
      <c r="D24" s="57" t="inlineStr">
        <is>
          <t>Kaiser</t>
        </is>
      </c>
      <c r="E24" s="57" t="inlineStr">
        <is>
          <t>Video</t>
        </is>
      </c>
      <c r="F24" s="49">
        <f>HYPERLINK("https://drive.google.com/file/d/1AF4APNVK1nUVKVsDeOE_Mepqj-en-ldM/view","▶  Watch")</f>
        <v/>
      </c>
      <c r="G24" s="57" t="inlineStr">
        <is>
          <t>190 MB. The duplicate copy this row linked before was trashed on 6 Oct.</t>
        </is>
      </c>
    </row>
    <row r="25" ht="15.75" customHeight="1" s="113">
      <c r="A25" s="44" t="inlineStr">
        <is>
          <t>FINAL</t>
        </is>
      </c>
      <c r="B25" s="47" t="inlineStr">
        <is>
          <t>Summer 2026</t>
        </is>
      </c>
      <c r="C25" s="47" t="inlineStr">
        <is>
          <t>Final exam review day 2 - obstetric concepts and exam logistics (7 Aug)</t>
        </is>
      </c>
      <c r="D25" s="47" t="inlineStr">
        <is>
          <t>Kaiser</t>
        </is>
      </c>
      <c r="E25" s="47" t="inlineStr">
        <is>
          <t>Video</t>
        </is>
      </c>
      <c r="F25" s="52">
        <f>HYPERLINK("https://drive.google.com/file/d/10tLIx65hCfOM86q3mZgMt6S33lH0fiIs/view","▶  Watch")</f>
        <v/>
      </c>
      <c r="G25" s="47" t="inlineStr">
        <is>
          <t>237 MB. The duplicate copy this row linked before was trashed on 6 Oct.</t>
        </is>
      </c>
    </row>
    <row r="26" ht="15.75" customHeight="1" s="113">
      <c r="A26" s="66" t="n"/>
      <c r="B26" s="66" t="n"/>
      <c r="C26" s="66" t="n"/>
      <c r="D26" s="66" t="n"/>
      <c r="E26" s="66" t="n"/>
      <c r="F26" s="83" t="n"/>
      <c r="G26" s="66" t="n"/>
    </row>
    <row r="27" ht="15.75" customHeight="1" s="113">
      <c r="A27" s="66" t="n"/>
      <c r="B27" s="66" t="n"/>
      <c r="C27" s="66" t="n"/>
      <c r="D27" s="66" t="n"/>
      <c r="E27" s="66" t="n"/>
      <c r="F27" s="83" t="n"/>
      <c r="G27" s="66" t="n"/>
    </row>
    <row r="28" ht="15.75" customHeight="1" s="113">
      <c r="A28" s="66" t="n"/>
      <c r="B28" s="66" t="n"/>
      <c r="C28" s="66" t="n"/>
      <c r="D28" s="66" t="n"/>
      <c r="E28" s="66" t="n"/>
      <c r="F28" s="83" t="n"/>
      <c r="G28" s="66" t="n"/>
    </row>
    <row r="29" ht="15.75" customHeight="1" s="113">
      <c r="A29" s="66" t="n"/>
      <c r="B29" s="66" t="n"/>
      <c r="C29" s="66" t="n"/>
      <c r="D29" s="66" t="n"/>
      <c r="E29" s="66" t="n"/>
      <c r="F29" s="83" t="n"/>
      <c r="G29" s="66" t="n"/>
    </row>
    <row r="30" ht="15.75" customHeight="1" s="113">
      <c r="A30" s="66" t="n"/>
      <c r="B30" s="66" t="n"/>
      <c r="C30" s="66" t="n"/>
      <c r="D30" s="66" t="n"/>
      <c r="E30" s="66" t="n"/>
      <c r="F30" s="83" t="n"/>
      <c r="G30" s="66" t="n"/>
    </row>
    <row r="31" ht="15.75" customHeight="1" s="113">
      <c r="A31" s="66" t="n"/>
      <c r="B31" s="66" t="n"/>
      <c r="C31" s="66" t="n"/>
      <c r="D31" s="66" t="n"/>
      <c r="E31" s="66" t="n"/>
      <c r="F31" s="83" t="n"/>
      <c r="G31" s="66" t="n"/>
    </row>
    <row r="32" ht="15.75" customHeight="1" s="113">
      <c r="A32" s="5" t="n"/>
      <c r="B32" s="5" t="n"/>
      <c r="C32" s="5" t="n"/>
      <c r="D32" s="5" t="n"/>
      <c r="E32" s="5" t="n"/>
      <c r="F32" s="84" t="n"/>
      <c r="G32" s="5" t="n"/>
    </row>
    <row r="33" ht="15.75" customHeight="1" s="113">
      <c r="A33" s="5" t="n"/>
      <c r="B33" s="5" t="n"/>
      <c r="C33" s="5" t="n"/>
      <c r="D33" s="5" t="n"/>
      <c r="E33" s="5" t="n"/>
      <c r="F33" s="84" t="n"/>
      <c r="G33" s="5" t="n"/>
    </row>
    <row r="34" ht="15.75" customHeight="1" s="113">
      <c r="A34" s="5" t="n"/>
      <c r="B34" s="5" t="n"/>
      <c r="C34" s="5" t="n"/>
      <c r="D34" s="5" t="n"/>
      <c r="E34" s="5" t="n"/>
      <c r="F34" s="84" t="n"/>
      <c r="G34" s="5" t="n"/>
    </row>
    <row r="35" ht="15.75" customHeight="1" s="113">
      <c r="A35" s="5" t="n"/>
      <c r="B35" s="5" t="n"/>
      <c r="C35" s="5" t="n"/>
      <c r="D35" s="5" t="n"/>
      <c r="E35" s="5" t="n"/>
      <c r="F35" s="84" t="n"/>
      <c r="G35" s="5" t="n"/>
    </row>
    <row r="36" ht="15.75" customHeight="1" s="113">
      <c r="A36" s="5" t="n"/>
      <c r="B36" s="5" t="n"/>
      <c r="C36" s="5" t="n"/>
      <c r="D36" s="5" t="n"/>
      <c r="E36" s="5" t="n"/>
      <c r="F36" s="84" t="n"/>
      <c r="G36" s="5" t="n"/>
    </row>
    <row r="37" ht="15.75" customHeight="1" s="113">
      <c r="A37" s="5" t="n"/>
      <c r="B37" s="5" t="n"/>
      <c r="C37" s="5" t="n"/>
      <c r="D37" s="5" t="n"/>
      <c r="E37" s="5" t="n"/>
      <c r="F37" s="84" t="n"/>
      <c r="G37" s="5" t="n"/>
    </row>
    <row r="38" ht="15.75" customHeight="1" s="113">
      <c r="A38" s="5" t="n"/>
      <c r="B38" s="5" t="n"/>
      <c r="C38" s="5" t="n"/>
      <c r="D38" s="5" t="n"/>
      <c r="E38" s="5" t="n"/>
      <c r="F38" s="84" t="n"/>
      <c r="G38" s="5" t="n"/>
    </row>
    <row r="39" ht="15.75" customHeight="1" s="113">
      <c r="A39" s="5" t="n"/>
      <c r="B39" s="5" t="n"/>
      <c r="C39" s="5" t="n"/>
      <c r="D39" s="5" t="n"/>
      <c r="E39" s="5" t="n"/>
      <c r="F39" s="84" t="n"/>
      <c r="G39" s="5" t="n"/>
    </row>
    <row r="40" ht="15.75" customHeight="1" s="113">
      <c r="A40" s="5" t="n"/>
      <c r="B40" s="5" t="n"/>
      <c r="C40" s="5" t="n"/>
      <c r="D40" s="5" t="n"/>
      <c r="E40" s="5" t="n"/>
      <c r="F40" s="84" t="n"/>
      <c r="G40" s="5" t="n"/>
    </row>
    <row r="41" ht="15.75" customHeight="1" s="113">
      <c r="A41" s="5" t="n"/>
      <c r="B41" s="5" t="n"/>
      <c r="C41" s="5" t="n"/>
      <c r="D41" s="5" t="n"/>
      <c r="E41" s="5" t="n"/>
      <c r="F41" s="84" t="n"/>
      <c r="G41" s="5" t="n"/>
    </row>
    <row r="42" ht="15.75" customHeight="1" s="113">
      <c r="A42" s="5" t="n"/>
      <c r="B42" s="5" t="n"/>
      <c r="C42" s="5" t="n"/>
      <c r="D42" s="5" t="n"/>
      <c r="E42" s="5" t="n"/>
      <c r="F42" s="84" t="n"/>
      <c r="G42" s="5" t="n"/>
    </row>
    <row r="43" ht="15.75" customHeight="1" s="113">
      <c r="A43" s="5" t="n"/>
      <c r="B43" s="5" t="n"/>
      <c r="C43" s="5" t="n"/>
      <c r="D43" s="5" t="n"/>
      <c r="E43" s="5" t="n"/>
      <c r="F43" s="84" t="n"/>
      <c r="G43" s="5" t="n"/>
    </row>
    <row r="44" ht="15.75" customHeight="1" s="113">
      <c r="A44" s="5" t="n"/>
      <c r="B44" s="5" t="n"/>
      <c r="C44" s="5" t="n"/>
      <c r="D44" s="5" t="n"/>
      <c r="E44" s="5" t="n"/>
      <c r="F44" s="84" t="n"/>
      <c r="G44" s="5" t="n"/>
    </row>
    <row r="45" ht="15.75" customHeight="1" s="113">
      <c r="A45" s="5" t="n"/>
      <c r="B45" s="5" t="n"/>
      <c r="C45" s="5" t="n"/>
      <c r="D45" s="5" t="n"/>
      <c r="E45" s="5" t="n"/>
      <c r="F45" s="84" t="n"/>
      <c r="G45" s="5" t="n"/>
    </row>
    <row r="46" ht="15.75" customHeight="1" s="113">
      <c r="A46" s="5" t="n"/>
      <c r="B46" s="5" t="n"/>
      <c r="C46" s="5" t="n"/>
      <c r="D46" s="5" t="n"/>
      <c r="E46" s="5" t="n"/>
      <c r="F46" s="84" t="n"/>
      <c r="G46" s="5" t="n"/>
    </row>
    <row r="47" ht="15.75" customHeight="1" s="113">
      <c r="A47" s="5" t="n"/>
      <c r="B47" s="5" t="n"/>
      <c r="C47" s="5" t="n"/>
      <c r="D47" s="5" t="n"/>
      <c r="E47" s="5" t="n"/>
      <c r="F47" s="84" t="n"/>
      <c r="G47" s="5" t="n"/>
    </row>
    <row r="48" ht="15.75" customHeight="1" s="113">
      <c r="A48" s="5" t="n"/>
      <c r="B48" s="5" t="n"/>
      <c r="C48" s="5" t="n"/>
      <c r="D48" s="5" t="n"/>
      <c r="E48" s="5" t="n"/>
      <c r="F48" s="84" t="n"/>
      <c r="G48" s="5" t="n"/>
    </row>
    <row r="49" ht="15.75" customHeight="1" s="113">
      <c r="A49" s="5" t="n"/>
      <c r="B49" s="5" t="n"/>
      <c r="C49" s="5" t="n"/>
      <c r="D49" s="5" t="n"/>
      <c r="E49" s="5" t="n"/>
      <c r="F49" s="84" t="n"/>
      <c r="G49" s="5" t="n"/>
    </row>
    <row r="50" ht="15.75" customHeight="1" s="113">
      <c r="A50" s="5" t="n"/>
      <c r="B50" s="5" t="n"/>
      <c r="C50" s="5" t="n"/>
      <c r="D50" s="5" t="n"/>
      <c r="E50" s="5" t="n"/>
      <c r="F50" s="84" t="n"/>
      <c r="G50" s="5" t="n"/>
    </row>
    <row r="51" ht="15.75" customHeight="1" s="113">
      <c r="A51" s="5" t="n"/>
      <c r="B51" s="5" t="n"/>
      <c r="C51" s="5" t="n"/>
      <c r="D51" s="5" t="n"/>
      <c r="E51" s="5" t="n"/>
      <c r="F51" s="84" t="n"/>
      <c r="G51" s="5" t="n"/>
    </row>
    <row r="52" ht="15.75" customHeight="1" s="113">
      <c r="A52" s="5" t="n"/>
      <c r="B52" s="5" t="n"/>
      <c r="C52" s="5" t="n"/>
      <c r="D52" s="5" t="n"/>
      <c r="E52" s="5" t="n"/>
      <c r="F52" s="84" t="n"/>
      <c r="G52" s="5" t="n"/>
    </row>
    <row r="53" ht="15.75" customHeight="1" s="113">
      <c r="A53" s="5" t="n"/>
      <c r="B53" s="5" t="n"/>
      <c r="C53" s="5" t="n"/>
      <c r="D53" s="5" t="n"/>
      <c r="E53" s="5" t="n"/>
      <c r="F53" s="84" t="n"/>
      <c r="G53" s="5" t="n"/>
    </row>
    <row r="54" ht="15.75" customHeight="1" s="113">
      <c r="A54" s="5" t="n"/>
      <c r="B54" s="5" t="n"/>
      <c r="C54" s="5" t="n"/>
      <c r="D54" s="5" t="n"/>
      <c r="E54" s="5" t="n"/>
      <c r="F54" s="84" t="n"/>
      <c r="G54" s="5" t="n"/>
    </row>
    <row r="55" ht="15.75" customHeight="1" s="113">
      <c r="A55" s="5" t="n"/>
      <c r="B55" s="5" t="n"/>
      <c r="C55" s="5" t="n"/>
      <c r="D55" s="5" t="n"/>
      <c r="E55" s="5" t="n"/>
      <c r="F55" s="84" t="n"/>
      <c r="G55" s="5" t="n"/>
    </row>
    <row r="56" ht="15.75" customHeight="1" s="113">
      <c r="A56" s="5" t="n"/>
      <c r="B56" s="5" t="n"/>
      <c r="C56" s="5" t="n"/>
      <c r="D56" s="5" t="n"/>
      <c r="E56" s="5" t="n"/>
      <c r="F56" s="84" t="n"/>
      <c r="G56" s="5" t="n"/>
    </row>
    <row r="57" ht="15.75" customHeight="1" s="113">
      <c r="A57" s="5" t="n"/>
      <c r="B57" s="5" t="n"/>
      <c r="C57" s="5" t="n"/>
      <c r="D57" s="5" t="n"/>
      <c r="E57" s="5" t="n"/>
      <c r="F57" s="84" t="n"/>
      <c r="G57" s="5" t="n"/>
    </row>
    <row r="58" ht="15.75" customHeight="1" s="113">
      <c r="A58" s="5" t="n"/>
      <c r="B58" s="5" t="n"/>
      <c r="C58" s="5" t="n"/>
      <c r="D58" s="5" t="n"/>
      <c r="E58" s="5" t="n"/>
      <c r="F58" s="84" t="n"/>
      <c r="G58" s="5" t="n"/>
    </row>
    <row r="59" ht="15.75" customHeight="1" s="113">
      <c r="A59" s="5" t="n"/>
      <c r="B59" s="5" t="n"/>
      <c r="C59" s="5" t="n"/>
      <c r="D59" s="5" t="n"/>
      <c r="E59" s="5" t="n"/>
      <c r="F59" s="84" t="n"/>
      <c r="G59" s="5" t="n"/>
    </row>
    <row r="60" ht="15.75" customHeight="1" s="113">
      <c r="A60" s="5" t="n"/>
      <c r="B60" s="5" t="n"/>
      <c r="C60" s="5" t="n"/>
      <c r="D60" s="5" t="n"/>
      <c r="E60" s="5" t="n"/>
      <c r="F60" s="84" t="n"/>
      <c r="G60" s="5" t="n"/>
    </row>
    <row r="61" ht="15.75" customHeight="1" s="113">
      <c r="A61" s="5" t="n"/>
      <c r="B61" s="5" t="n"/>
      <c r="C61" s="5" t="n"/>
      <c r="D61" s="5" t="n"/>
      <c r="E61" s="5" t="n"/>
      <c r="F61" s="84" t="n"/>
      <c r="G61" s="5" t="n"/>
    </row>
    <row r="62" ht="15.75" customHeight="1" s="113">
      <c r="A62" s="5" t="n"/>
      <c r="B62" s="5" t="n"/>
      <c r="C62" s="5" t="n"/>
      <c r="D62" s="5" t="n"/>
      <c r="E62" s="5" t="n"/>
      <c r="F62" s="85" t="n"/>
      <c r="G62" s="5" t="n"/>
    </row>
    <row r="63" ht="15.75" customHeight="1" s="113">
      <c r="A63" s="5" t="n"/>
      <c r="B63" s="5" t="n"/>
      <c r="C63" s="5" t="n"/>
      <c r="D63" s="5" t="n"/>
      <c r="E63" s="5" t="n"/>
      <c r="F63" s="85" t="n"/>
      <c r="G63" s="5" t="n"/>
    </row>
    <row r="64" ht="15.75" customHeight="1" s="113">
      <c r="A64" s="5" t="n"/>
      <c r="B64" s="5" t="n"/>
      <c r="C64" s="5" t="n"/>
      <c r="D64" s="5" t="n"/>
      <c r="E64" s="5" t="n"/>
      <c r="F64" s="85" t="n"/>
      <c r="G64" s="5" t="n"/>
    </row>
    <row r="65" ht="15.75" customHeight="1" s="113">
      <c r="A65" s="5" t="n"/>
      <c r="B65" s="5" t="n"/>
      <c r="C65" s="5" t="n"/>
      <c r="D65" s="5" t="n"/>
      <c r="E65" s="5" t="n"/>
      <c r="F65" s="85" t="n"/>
      <c r="G65" s="5" t="n"/>
    </row>
    <row r="66" ht="15.75" customHeight="1" s="113">
      <c r="A66" s="5" t="n"/>
      <c r="B66" s="5" t="n"/>
      <c r="C66" s="5" t="n"/>
      <c r="D66" s="5" t="n"/>
      <c r="E66" s="5" t="n"/>
      <c r="F66" s="85" t="n"/>
      <c r="G66" s="5" t="n"/>
    </row>
    <row r="67" ht="15.75" customHeight="1" s="113">
      <c r="A67" s="5" t="n"/>
      <c r="B67" s="5" t="n"/>
      <c r="C67" s="5" t="n"/>
      <c r="D67" s="5" t="n"/>
      <c r="E67" s="5" t="n"/>
      <c r="F67" s="85" t="n"/>
      <c r="G67" s="5" t="n"/>
    </row>
    <row r="68" ht="15.75" customHeight="1" s="113">
      <c r="A68" s="5" t="n"/>
      <c r="B68" s="5" t="n"/>
      <c r="C68" s="5" t="n"/>
      <c r="D68" s="5" t="n"/>
      <c r="E68" s="5" t="n"/>
      <c r="F68" s="85" t="n"/>
      <c r="G68" s="5" t="n"/>
    </row>
    <row r="69" ht="15.75" customHeight="1" s="113">
      <c r="A69" s="5" t="n"/>
      <c r="B69" s="5" t="n"/>
      <c r="C69" s="5" t="n"/>
      <c r="D69" s="5" t="n"/>
      <c r="E69" s="5" t="n"/>
      <c r="F69" s="85" t="n"/>
      <c r="G69" s="5" t="n"/>
    </row>
    <row r="70" ht="15.75" customHeight="1" s="113">
      <c r="A70" s="5" t="n"/>
      <c r="B70" s="5" t="n"/>
      <c r="C70" s="5" t="n"/>
      <c r="D70" s="5" t="n"/>
      <c r="E70" s="5" t="n"/>
      <c r="F70" s="85" t="n"/>
      <c r="G70" s="5" t="n"/>
    </row>
    <row r="71" ht="15.75" customHeight="1" s="113">
      <c r="A71" s="5" t="n"/>
      <c r="B71" s="5" t="n"/>
      <c r="C71" s="5" t="n"/>
      <c r="D71" s="5" t="n"/>
      <c r="E71" s="5" t="n"/>
      <c r="F71" s="85" t="n"/>
      <c r="G71" s="5" t="n"/>
    </row>
    <row r="72" ht="15.75" customHeight="1" s="113">
      <c r="A72" s="5" t="n"/>
      <c r="B72" s="5" t="n"/>
      <c r="C72" s="5" t="n"/>
      <c r="D72" s="5" t="n"/>
      <c r="E72" s="5" t="n"/>
      <c r="F72" s="85" t="n"/>
      <c r="G72" s="5" t="n"/>
    </row>
    <row r="73" ht="15.75" customHeight="1" s="113">
      <c r="A73" s="5" t="n"/>
      <c r="B73" s="5" t="n"/>
      <c r="C73" s="5" t="n"/>
      <c r="D73" s="5" t="n"/>
      <c r="E73" s="5" t="n"/>
      <c r="F73" s="85" t="n"/>
      <c r="G73" s="5" t="n"/>
    </row>
    <row r="74" ht="15.75" customHeight="1" s="113">
      <c r="A74" s="5" t="n"/>
      <c r="B74" s="5" t="n"/>
      <c r="C74" s="5" t="n"/>
      <c r="D74" s="5" t="n"/>
      <c r="E74" s="5" t="n"/>
      <c r="F74" s="85" t="n"/>
      <c r="G74" s="5" t="n"/>
    </row>
    <row r="75" ht="15.75" customHeight="1" s="113">
      <c r="A75" s="5" t="n"/>
      <c r="B75" s="5" t="n"/>
      <c r="C75" s="5" t="n"/>
      <c r="D75" s="5" t="n"/>
      <c r="E75" s="5" t="n"/>
      <c r="F75" s="85" t="n"/>
      <c r="G75" s="5" t="n"/>
    </row>
    <row r="76" ht="15.75" customHeight="1" s="113">
      <c r="A76" s="5" t="n"/>
      <c r="B76" s="5" t="n"/>
      <c r="C76" s="5" t="n"/>
      <c r="D76" s="5" t="n"/>
      <c r="E76" s="5" t="n"/>
      <c r="F76" s="85" t="n"/>
      <c r="G76" s="5" t="n"/>
    </row>
    <row r="77" ht="15.75" customHeight="1" s="113">
      <c r="A77" s="5" t="n"/>
      <c r="B77" s="5" t="n"/>
      <c r="C77" s="5" t="n"/>
      <c r="D77" s="5" t="n"/>
      <c r="E77" s="5" t="n"/>
      <c r="F77" s="85" t="n"/>
      <c r="G77" s="5" t="n"/>
    </row>
    <row r="78" ht="15.75" customHeight="1" s="113">
      <c r="A78" s="5" t="n"/>
      <c r="B78" s="5" t="n"/>
      <c r="C78" s="5" t="n"/>
      <c r="D78" s="5" t="n"/>
      <c r="E78" s="5" t="n"/>
      <c r="F78" s="85" t="n"/>
      <c r="G78" s="5" t="n"/>
    </row>
    <row r="79" ht="15.75" customHeight="1" s="113">
      <c r="A79" s="5" t="n"/>
      <c r="B79" s="5" t="n"/>
      <c r="C79" s="5" t="n"/>
      <c r="D79" s="5" t="n"/>
      <c r="E79" s="5" t="n"/>
      <c r="F79" s="85" t="n"/>
      <c r="G79" s="5" t="n"/>
    </row>
    <row r="80" ht="15.75" customHeight="1" s="113">
      <c r="A80" s="5" t="n"/>
      <c r="B80" s="5" t="n"/>
      <c r="C80" s="5" t="n"/>
      <c r="D80" s="5" t="n"/>
      <c r="E80" s="5" t="n"/>
      <c r="F80" s="85" t="n"/>
      <c r="G80" s="5" t="n"/>
    </row>
    <row r="81" ht="15.75" customHeight="1" s="113">
      <c r="A81" s="5" t="n"/>
      <c r="B81" s="5" t="n"/>
      <c r="C81" s="5" t="n"/>
      <c r="D81" s="5" t="n"/>
      <c r="E81" s="5" t="n"/>
      <c r="F81" s="85" t="n"/>
      <c r="G81" s="5" t="n"/>
    </row>
    <row r="82" ht="15.75" customHeight="1" s="113">
      <c r="A82" s="5" t="n"/>
      <c r="B82" s="5" t="n"/>
      <c r="C82" s="5" t="n"/>
      <c r="D82" s="5" t="n"/>
      <c r="E82" s="5" t="n"/>
      <c r="F82" s="85" t="n"/>
      <c r="G82" s="5" t="n"/>
    </row>
    <row r="83" ht="15.75" customHeight="1" s="113">
      <c r="A83" s="5" t="n"/>
      <c r="B83" s="5" t="n"/>
      <c r="C83" s="5" t="n"/>
      <c r="D83" s="5" t="n"/>
      <c r="E83" s="5" t="n"/>
      <c r="F83" s="85" t="n"/>
      <c r="G83" s="5" t="n"/>
    </row>
    <row r="84" ht="15.75" customHeight="1" s="113">
      <c r="A84" s="5" t="n"/>
      <c r="B84" s="5" t="n"/>
      <c r="C84" s="5" t="n"/>
      <c r="D84" s="5" t="n"/>
      <c r="E84" s="5" t="n"/>
      <c r="F84" s="85" t="n"/>
      <c r="G84" s="5" t="n"/>
    </row>
    <row r="85" ht="15.75" customHeight="1" s="113">
      <c r="A85" s="5" t="n"/>
      <c r="B85" s="5" t="n"/>
      <c r="C85" s="5" t="n"/>
      <c r="D85" s="5" t="n"/>
      <c r="E85" s="5" t="n"/>
      <c r="F85" s="85" t="n"/>
      <c r="G85" s="5" t="n"/>
    </row>
    <row r="86" ht="15.75" customHeight="1" s="113">
      <c r="A86" s="5" t="n"/>
      <c r="B86" s="5" t="n"/>
      <c r="C86" s="5" t="n"/>
      <c r="D86" s="5" t="n"/>
      <c r="E86" s="5" t="n"/>
      <c r="F86" s="85" t="n"/>
      <c r="G86" s="5" t="n"/>
    </row>
    <row r="87" ht="15.75" customHeight="1" s="113">
      <c r="A87" s="5" t="n"/>
      <c r="B87" s="5" t="n"/>
      <c r="C87" s="5" t="n"/>
      <c r="D87" s="5" t="n"/>
      <c r="E87" s="5" t="n"/>
      <c r="F87" s="85" t="n"/>
      <c r="G87" s="5" t="n"/>
    </row>
    <row r="88" ht="15.75" customHeight="1" s="113">
      <c r="A88" s="5" t="n"/>
      <c r="B88" s="5" t="n"/>
      <c r="C88" s="5" t="n"/>
      <c r="D88" s="5" t="n"/>
      <c r="E88" s="5" t="n"/>
      <c r="F88" s="85" t="n"/>
      <c r="G88" s="5" t="n"/>
    </row>
    <row r="89" ht="15.75" customHeight="1" s="113">
      <c r="A89" s="5" t="n"/>
      <c r="B89" s="5" t="n"/>
      <c r="C89" s="5" t="n"/>
      <c r="D89" s="5" t="n"/>
      <c r="E89" s="5" t="n"/>
      <c r="F89" s="85" t="n"/>
      <c r="G89" s="5" t="n"/>
    </row>
    <row r="90" ht="15.75" customHeight="1" s="113">
      <c r="A90" s="5" t="n"/>
      <c r="B90" s="5" t="n"/>
      <c r="C90" s="5" t="n"/>
      <c r="D90" s="5" t="n"/>
      <c r="E90" s="5" t="n"/>
      <c r="F90" s="85" t="n"/>
      <c r="G90" s="5" t="n"/>
    </row>
    <row r="91" ht="15.75" customHeight="1" s="113">
      <c r="A91" s="5" t="n"/>
      <c r="B91" s="5" t="n"/>
      <c r="C91" s="5" t="n"/>
      <c r="D91" s="5" t="n"/>
      <c r="E91" s="5" t="n"/>
      <c r="F91" s="85" t="n"/>
      <c r="G91" s="5" t="n"/>
    </row>
    <row r="92" ht="15.75" customHeight="1" s="113">
      <c r="A92" s="5" t="n"/>
      <c r="B92" s="5" t="n"/>
      <c r="C92" s="5" t="n"/>
      <c r="D92" s="5" t="n"/>
      <c r="E92" s="5" t="n"/>
      <c r="F92" s="85" t="n"/>
      <c r="G92" s="5" t="n"/>
    </row>
    <row r="93" ht="15.75" customHeight="1" s="113">
      <c r="A93" s="5" t="n"/>
      <c r="B93" s="5" t="n"/>
      <c r="C93" s="5" t="n"/>
      <c r="D93" s="5" t="n"/>
      <c r="E93" s="5" t="n"/>
      <c r="F93" s="85" t="n"/>
      <c r="G93" s="5" t="n"/>
    </row>
    <row r="94" ht="15.75" customHeight="1" s="113">
      <c r="A94" s="5" t="n"/>
      <c r="B94" s="5" t="n"/>
      <c r="C94" s="5" t="n"/>
      <c r="D94" s="5" t="n"/>
      <c r="E94" s="5" t="n"/>
      <c r="F94" s="85" t="n"/>
      <c r="G94" s="5" t="n"/>
    </row>
    <row r="95" ht="15.75" customHeight="1" s="113">
      <c r="A95" s="5" t="n"/>
      <c r="B95" s="5" t="n"/>
      <c r="C95" s="5" t="n"/>
      <c r="D95" s="5" t="n"/>
      <c r="E95" s="5" t="n"/>
      <c r="F95" s="85" t="n"/>
      <c r="G95" s="5" t="n"/>
    </row>
    <row r="96" ht="15.75" customHeight="1" s="113">
      <c r="A96" s="5" t="n"/>
      <c r="B96" s="5" t="n"/>
      <c r="C96" s="5" t="n"/>
      <c r="D96" s="5" t="n"/>
      <c r="E96" s="5" t="n"/>
      <c r="F96" s="85" t="n"/>
      <c r="G96" s="5" t="n"/>
    </row>
    <row r="97" ht="15.75" customHeight="1" s="113">
      <c r="A97" s="5" t="n"/>
      <c r="B97" s="5" t="n"/>
      <c r="C97" s="5" t="n"/>
      <c r="D97" s="5" t="n"/>
      <c r="E97" s="5" t="n"/>
      <c r="F97" s="85" t="n"/>
      <c r="G97" s="5" t="n"/>
    </row>
    <row r="98" ht="15.75" customHeight="1" s="113">
      <c r="A98" s="5" t="n"/>
      <c r="B98" s="5" t="n"/>
      <c r="C98" s="5" t="n"/>
      <c r="D98" s="5" t="n"/>
      <c r="E98" s="5" t="n"/>
      <c r="F98" s="85" t="n"/>
      <c r="G98" s="5" t="n"/>
    </row>
    <row r="99" ht="15.75" customHeight="1" s="113">
      <c r="A99" s="5" t="n"/>
      <c r="B99" s="5" t="n"/>
      <c r="C99" s="5" t="n"/>
      <c r="D99" s="5" t="n"/>
      <c r="E99" s="5" t="n"/>
      <c r="F99" s="85" t="n"/>
      <c r="G99" s="5" t="n"/>
    </row>
    <row r="100" ht="15.75" customHeight="1" s="113">
      <c r="A100" s="5" t="n"/>
      <c r="B100" s="5" t="n"/>
      <c r="C100" s="5" t="n"/>
      <c r="D100" s="5" t="n"/>
      <c r="E100" s="5" t="n"/>
      <c r="F100" s="85" t="n"/>
      <c r="G100" s="5" t="n"/>
    </row>
    <row r="101" ht="15.75" customHeight="1" s="113">
      <c r="A101" s="5" t="n"/>
      <c r="B101" s="5" t="n"/>
      <c r="C101" s="5" t="n"/>
      <c r="D101" s="5" t="n"/>
      <c r="E101" s="5" t="n"/>
      <c r="F101" s="85" t="n"/>
      <c r="G101" s="5" t="n"/>
    </row>
    <row r="102" ht="15.75" customHeight="1" s="113">
      <c r="A102" s="5" t="n"/>
      <c r="B102" s="5" t="n"/>
      <c r="C102" s="5" t="n"/>
      <c r="D102" s="5" t="n"/>
      <c r="E102" s="5" t="n"/>
      <c r="F102" s="85" t="n"/>
      <c r="G102" s="5" t="n"/>
    </row>
    <row r="103" ht="15.75" customHeight="1" s="113">
      <c r="A103" s="5" t="n"/>
      <c r="B103" s="5" t="n"/>
      <c r="C103" s="5" t="n"/>
      <c r="D103" s="5" t="n"/>
      <c r="E103" s="5" t="n"/>
      <c r="F103" s="85" t="n"/>
      <c r="G103" s="5" t="n"/>
    </row>
    <row r="104" ht="15.75" customHeight="1" s="113">
      <c r="A104" s="5" t="n"/>
      <c r="B104" s="5" t="n"/>
      <c r="C104" s="5" t="n"/>
      <c r="D104" s="5" t="n"/>
      <c r="E104" s="5" t="n"/>
      <c r="F104" s="85" t="n"/>
      <c r="G104" s="5" t="n"/>
    </row>
    <row r="105" ht="15.75" customHeight="1" s="113">
      <c r="A105" s="5" t="n"/>
      <c r="B105" s="5" t="n"/>
      <c r="C105" s="5" t="n"/>
      <c r="D105" s="5" t="n"/>
      <c r="E105" s="5" t="n"/>
      <c r="F105" s="85" t="n"/>
      <c r="G105" s="5" t="n"/>
    </row>
    <row r="106" ht="15.75" customHeight="1" s="113">
      <c r="A106" s="5" t="n"/>
      <c r="B106" s="5" t="n"/>
      <c r="C106" s="5" t="n"/>
      <c r="D106" s="5" t="n"/>
      <c r="E106" s="5" t="n"/>
      <c r="F106" s="85" t="n"/>
      <c r="G106" s="5" t="n"/>
    </row>
    <row r="107" ht="15.75" customHeight="1" s="113">
      <c r="A107" s="5" t="n"/>
      <c r="B107" s="5" t="n"/>
      <c r="C107" s="5" t="n"/>
      <c r="D107" s="5" t="n"/>
      <c r="E107" s="5" t="n"/>
      <c r="F107" s="85" t="n"/>
      <c r="G107" s="5" t="n"/>
    </row>
    <row r="108" ht="15.75" customHeight="1" s="113">
      <c r="A108" s="5" t="n"/>
      <c r="B108" s="5" t="n"/>
      <c r="C108" s="5" t="n"/>
      <c r="D108" s="5" t="n"/>
      <c r="E108" s="5" t="n"/>
      <c r="F108" s="85" t="n"/>
      <c r="G108" s="5" t="n"/>
    </row>
    <row r="109" ht="15.75" customHeight="1" s="113">
      <c r="A109" s="5" t="n"/>
      <c r="B109" s="5" t="n"/>
      <c r="C109" s="5" t="n"/>
      <c r="D109" s="5" t="n"/>
      <c r="E109" s="5" t="n"/>
      <c r="F109" s="85" t="n"/>
      <c r="G109" s="5" t="n"/>
    </row>
    <row r="110" ht="15.75" customHeight="1" s="113">
      <c r="A110" s="5" t="n"/>
      <c r="B110" s="5" t="n"/>
      <c r="C110" s="5" t="n"/>
      <c r="D110" s="5" t="n"/>
      <c r="E110" s="5" t="n"/>
      <c r="F110" s="85" t="n"/>
      <c r="G110" s="5" t="n"/>
    </row>
    <row r="111" ht="15.75" customHeight="1" s="113">
      <c r="A111" s="5" t="n"/>
      <c r="B111" s="5" t="n"/>
      <c r="C111" s="5" t="n"/>
      <c r="D111" s="5" t="n"/>
      <c r="E111" s="5" t="n"/>
      <c r="F111" s="85" t="n"/>
      <c r="G111" s="5" t="n"/>
    </row>
    <row r="112" ht="15.75" customHeight="1" s="113">
      <c r="A112" s="5" t="n"/>
      <c r="B112" s="5" t="n"/>
      <c r="C112" s="5" t="n"/>
      <c r="D112" s="5" t="n"/>
      <c r="E112" s="5" t="n"/>
      <c r="F112" s="85" t="n"/>
      <c r="G112" s="5" t="n"/>
    </row>
    <row r="113" ht="15.75" customHeight="1" s="113">
      <c r="A113" s="5" t="n"/>
      <c r="B113" s="5" t="n"/>
      <c r="C113" s="5" t="n"/>
      <c r="D113" s="5" t="n"/>
      <c r="E113" s="5" t="n"/>
      <c r="F113" s="85" t="n"/>
      <c r="G113" s="5" t="n"/>
    </row>
    <row r="114" ht="15.75" customHeight="1" s="113">
      <c r="A114" s="5" t="n"/>
      <c r="B114" s="5" t="n"/>
      <c r="C114" s="5" t="n"/>
      <c r="D114" s="5" t="n"/>
      <c r="E114" s="5" t="n"/>
      <c r="F114" s="85" t="n"/>
      <c r="G114" s="5" t="n"/>
    </row>
    <row r="115" ht="15.75" customHeight="1" s="113">
      <c r="A115" s="5" t="n"/>
      <c r="B115" s="5" t="n"/>
      <c r="C115" s="5" t="n"/>
      <c r="D115" s="5" t="n"/>
      <c r="E115" s="5" t="n"/>
      <c r="F115" s="85" t="n"/>
      <c r="G115" s="5" t="n"/>
    </row>
    <row r="116" ht="15.75" customHeight="1" s="113">
      <c r="A116" s="5" t="n"/>
      <c r="B116" s="5" t="n"/>
      <c r="C116" s="5" t="n"/>
      <c r="D116" s="5" t="n"/>
      <c r="E116" s="5" t="n"/>
      <c r="F116" s="85" t="n"/>
      <c r="G116" s="5" t="n"/>
    </row>
    <row r="117" ht="15.75" customHeight="1" s="113">
      <c r="A117" s="5" t="n"/>
      <c r="B117" s="5" t="n"/>
      <c r="C117" s="5" t="n"/>
      <c r="D117" s="5" t="n"/>
      <c r="E117" s="5" t="n"/>
      <c r="F117" s="85" t="n"/>
      <c r="G117" s="5" t="n"/>
    </row>
    <row r="118" ht="15.75" customHeight="1" s="113">
      <c r="A118" s="5" t="n"/>
      <c r="B118" s="5" t="n"/>
      <c r="C118" s="5" t="n"/>
      <c r="D118" s="5" t="n"/>
      <c r="E118" s="5" t="n"/>
      <c r="F118" s="85" t="n"/>
      <c r="G118" s="5" t="n"/>
    </row>
    <row r="119" ht="15.75" customHeight="1" s="113">
      <c r="A119" s="5" t="n"/>
      <c r="B119" s="5" t="n"/>
      <c r="C119" s="5" t="n"/>
      <c r="D119" s="5" t="n"/>
      <c r="E119" s="5" t="n"/>
      <c r="F119" s="85" t="n"/>
      <c r="G119" s="5" t="n"/>
    </row>
    <row r="120" ht="15.75" customHeight="1" s="113">
      <c r="A120" s="5" t="n"/>
      <c r="B120" s="5" t="n"/>
      <c r="C120" s="5" t="n"/>
      <c r="D120" s="5" t="n"/>
      <c r="E120" s="5" t="n"/>
      <c r="F120" s="85" t="n"/>
      <c r="G120" s="5" t="n"/>
    </row>
    <row r="121" ht="15.75" customHeight="1" s="113">
      <c r="A121" s="5" t="n"/>
      <c r="B121" s="5" t="n"/>
      <c r="C121" s="5" t="n"/>
      <c r="D121" s="5" t="n"/>
      <c r="E121" s="5" t="n"/>
      <c r="F121" s="85" t="n"/>
      <c r="G121" s="5" t="n"/>
    </row>
    <row r="122" ht="15.75" customHeight="1" s="113">
      <c r="A122" s="5" t="n"/>
      <c r="B122" s="5" t="n"/>
      <c r="C122" s="5" t="n"/>
      <c r="D122" s="5" t="n"/>
      <c r="E122" s="5" t="n"/>
      <c r="F122" s="85" t="n"/>
      <c r="G122" s="5" t="n"/>
    </row>
    <row r="123" ht="15.75" customHeight="1" s="113">
      <c r="A123" s="5" t="n"/>
      <c r="B123" s="5" t="n"/>
      <c r="C123" s="5" t="n"/>
      <c r="D123" s="5" t="n"/>
      <c r="E123" s="5" t="n"/>
      <c r="F123" s="85" t="n"/>
      <c r="G123" s="5" t="n"/>
    </row>
    <row r="124" ht="15.75" customHeight="1" s="113">
      <c r="A124" s="5" t="n"/>
      <c r="B124" s="5" t="n"/>
      <c r="C124" s="5" t="n"/>
      <c r="D124" s="5" t="n"/>
      <c r="E124" s="5" t="n"/>
      <c r="F124" s="85" t="n"/>
      <c r="G124" s="5" t="n"/>
    </row>
    <row r="125" ht="15.75" customHeight="1" s="113">
      <c r="A125" s="5" t="n"/>
      <c r="B125" s="5" t="n"/>
      <c r="C125" s="5" t="n"/>
      <c r="D125" s="5" t="n"/>
      <c r="E125" s="5" t="n"/>
      <c r="F125" s="85" t="n"/>
      <c r="G125" s="5" t="n"/>
    </row>
    <row r="126" ht="15.75" customHeight="1" s="113">
      <c r="A126" s="5" t="n"/>
      <c r="B126" s="5" t="n"/>
      <c r="C126" s="5" t="n"/>
      <c r="D126" s="5" t="n"/>
      <c r="E126" s="5" t="n"/>
      <c r="F126" s="85" t="n"/>
      <c r="G126" s="5" t="n"/>
    </row>
    <row r="127" ht="15.75" customHeight="1" s="113">
      <c r="A127" s="5" t="n"/>
      <c r="B127" s="5" t="n"/>
      <c r="C127" s="5" t="n"/>
      <c r="D127" s="5" t="n"/>
      <c r="E127" s="5" t="n"/>
      <c r="F127" s="85" t="n"/>
      <c r="G127" s="5" t="n"/>
    </row>
    <row r="128" ht="15.75" customHeight="1" s="113">
      <c r="A128" s="5" t="n"/>
      <c r="B128" s="5" t="n"/>
      <c r="C128" s="5" t="n"/>
      <c r="D128" s="5" t="n"/>
      <c r="E128" s="5" t="n"/>
      <c r="F128" s="85" t="n"/>
      <c r="G128" s="5" t="n"/>
    </row>
    <row r="129" ht="15.75" customHeight="1" s="113">
      <c r="A129" s="5" t="n"/>
      <c r="B129" s="5" t="n"/>
      <c r="C129" s="5" t="n"/>
      <c r="D129" s="5" t="n"/>
      <c r="E129" s="5" t="n"/>
      <c r="F129" s="85" t="n"/>
      <c r="G129" s="5" t="n"/>
    </row>
    <row r="130" ht="15.75" customHeight="1" s="113">
      <c r="A130" s="5" t="n"/>
      <c r="B130" s="5" t="n"/>
      <c r="C130" s="5" t="n"/>
      <c r="D130" s="5" t="n"/>
      <c r="E130" s="5" t="n"/>
      <c r="F130" s="85" t="n"/>
      <c r="G130" s="5" t="n"/>
    </row>
    <row r="131" ht="15.75" customHeight="1" s="113">
      <c r="A131" s="5" t="n"/>
      <c r="B131" s="5" t="n"/>
      <c r="C131" s="5" t="n"/>
      <c r="D131" s="5" t="n"/>
      <c r="E131" s="5" t="n"/>
      <c r="F131" s="85" t="n"/>
      <c r="G131" s="5" t="n"/>
    </row>
    <row r="132" ht="15.75" customHeight="1" s="113">
      <c r="A132" s="5" t="n"/>
      <c r="B132" s="5" t="n"/>
      <c r="C132" s="5" t="n"/>
      <c r="D132" s="5" t="n"/>
      <c r="E132" s="5" t="n"/>
      <c r="F132" s="85" t="n"/>
      <c r="G132" s="5" t="n"/>
    </row>
    <row r="133" ht="15.75" customHeight="1" s="113">
      <c r="A133" s="5" t="n"/>
      <c r="B133" s="5" t="n"/>
      <c r="C133" s="5" t="n"/>
      <c r="D133" s="5" t="n"/>
      <c r="E133" s="5" t="n"/>
      <c r="F133" s="85" t="n"/>
      <c r="G133" s="5" t="n"/>
    </row>
    <row r="134" ht="15.75" customHeight="1" s="113">
      <c r="A134" s="5" t="n"/>
      <c r="B134" s="5" t="n"/>
      <c r="C134" s="5" t="n"/>
      <c r="D134" s="5" t="n"/>
      <c r="E134" s="5" t="n"/>
      <c r="F134" s="85" t="n"/>
      <c r="G134" s="5" t="n"/>
    </row>
    <row r="135" ht="15.75" customHeight="1" s="113">
      <c r="A135" s="5" t="n"/>
      <c r="B135" s="5" t="n"/>
      <c r="C135" s="5" t="n"/>
      <c r="D135" s="5" t="n"/>
      <c r="E135" s="5" t="n"/>
      <c r="F135" s="85" t="n"/>
      <c r="G135" s="5" t="n"/>
    </row>
    <row r="136" ht="15.75" customHeight="1" s="113">
      <c r="A136" s="5" t="n"/>
      <c r="B136" s="5" t="n"/>
      <c r="C136" s="5" t="n"/>
      <c r="D136" s="5" t="n"/>
      <c r="E136" s="5" t="n"/>
      <c r="F136" s="85" t="n"/>
      <c r="G136" s="5" t="n"/>
    </row>
    <row r="137" ht="15.75" customHeight="1" s="113">
      <c r="A137" s="5" t="n"/>
      <c r="B137" s="5" t="n"/>
      <c r="C137" s="5" t="n"/>
      <c r="D137" s="5" t="n"/>
      <c r="E137" s="5" t="n"/>
      <c r="F137" s="85" t="n"/>
      <c r="G137" s="5" t="n"/>
    </row>
    <row r="138" ht="15.75" customHeight="1" s="113">
      <c r="A138" s="5" t="n"/>
      <c r="B138" s="5" t="n"/>
      <c r="C138" s="5" t="n"/>
      <c r="D138" s="5" t="n"/>
      <c r="E138" s="5" t="n"/>
      <c r="F138" s="85" t="n"/>
      <c r="G138" s="5" t="n"/>
    </row>
    <row r="139" ht="15.75" customHeight="1" s="113">
      <c r="A139" s="5" t="n"/>
      <c r="B139" s="5" t="n"/>
      <c r="C139" s="5" t="n"/>
      <c r="D139" s="5" t="n"/>
      <c r="E139" s="5" t="n"/>
      <c r="F139" s="85" t="n"/>
      <c r="G139" s="5" t="n"/>
    </row>
    <row r="140" ht="15.75" customHeight="1" s="113">
      <c r="A140" s="5" t="n"/>
      <c r="B140" s="5" t="n"/>
      <c r="C140" s="5" t="n"/>
      <c r="D140" s="5" t="n"/>
      <c r="E140" s="5" t="n"/>
      <c r="F140" s="85" t="n"/>
      <c r="G140" s="5" t="n"/>
    </row>
    <row r="141" ht="15.75" customHeight="1" s="113">
      <c r="A141" s="5" t="n"/>
      <c r="B141" s="5" t="n"/>
      <c r="C141" s="5" t="n"/>
      <c r="D141" s="5" t="n"/>
      <c r="E141" s="5" t="n"/>
      <c r="F141" s="85" t="n"/>
      <c r="G141" s="5" t="n"/>
    </row>
    <row r="142" ht="15.75" customHeight="1" s="113">
      <c r="A142" s="5" t="n"/>
      <c r="B142" s="5" t="n"/>
      <c r="C142" s="5" t="n"/>
      <c r="D142" s="5" t="n"/>
      <c r="E142" s="5" t="n"/>
      <c r="F142" s="85" t="n"/>
      <c r="G142" s="5" t="n"/>
    </row>
    <row r="143" ht="15.75" customHeight="1" s="113">
      <c r="A143" s="5" t="n"/>
      <c r="B143" s="5" t="n"/>
      <c r="C143" s="5" t="n"/>
      <c r="D143" s="5" t="n"/>
      <c r="E143" s="5" t="n"/>
      <c r="F143" s="85" t="n"/>
      <c r="G143" s="5" t="n"/>
    </row>
    <row r="144" ht="15.75" customHeight="1" s="113">
      <c r="A144" s="5" t="n"/>
      <c r="B144" s="5" t="n"/>
      <c r="C144" s="5" t="n"/>
      <c r="D144" s="5" t="n"/>
      <c r="E144" s="5" t="n"/>
      <c r="F144" s="85" t="n"/>
      <c r="G144" s="5" t="n"/>
    </row>
    <row r="145" ht="15.75" customHeight="1" s="113">
      <c r="A145" s="5" t="n"/>
      <c r="B145" s="5" t="n"/>
      <c r="C145" s="5" t="n"/>
      <c r="D145" s="5" t="n"/>
      <c r="E145" s="5" t="n"/>
      <c r="F145" s="85" t="n"/>
      <c r="G145" s="5" t="n"/>
    </row>
    <row r="146" ht="15.75" customHeight="1" s="113">
      <c r="A146" s="5" t="n"/>
      <c r="B146" s="5" t="n"/>
      <c r="C146" s="5" t="n"/>
      <c r="D146" s="5" t="n"/>
      <c r="E146" s="5" t="n"/>
      <c r="F146" s="85" t="n"/>
      <c r="G146" s="5" t="n"/>
    </row>
    <row r="147" ht="15.75" customHeight="1" s="113">
      <c r="A147" s="5" t="n"/>
      <c r="B147" s="5" t="n"/>
      <c r="C147" s="5" t="n"/>
      <c r="D147" s="5" t="n"/>
      <c r="E147" s="5" t="n"/>
      <c r="F147" s="85" t="n"/>
      <c r="G147" s="5" t="n"/>
    </row>
    <row r="148" ht="15.75" customHeight="1" s="113">
      <c r="A148" s="5" t="n"/>
      <c r="B148" s="5" t="n"/>
      <c r="C148" s="5" t="n"/>
      <c r="D148" s="5" t="n"/>
      <c r="E148" s="5" t="n"/>
      <c r="F148" s="85" t="n"/>
      <c r="G148" s="5" t="n"/>
    </row>
    <row r="149" ht="15.75" customHeight="1" s="113">
      <c r="A149" s="5" t="n"/>
      <c r="B149" s="5" t="n"/>
      <c r="C149" s="5" t="n"/>
      <c r="D149" s="5" t="n"/>
      <c r="E149" s="5" t="n"/>
      <c r="F149" s="85" t="n"/>
      <c r="G149" s="5" t="n"/>
    </row>
    <row r="150" ht="15.75" customHeight="1" s="113">
      <c r="A150" s="5" t="n"/>
      <c r="B150" s="5" t="n"/>
      <c r="C150" s="5" t="n"/>
      <c r="D150" s="5" t="n"/>
      <c r="E150" s="5" t="n"/>
      <c r="F150" s="85" t="n"/>
      <c r="G150" s="5" t="n"/>
    </row>
    <row r="151" ht="15.75" customHeight="1" s="113">
      <c r="A151" s="5" t="n"/>
      <c r="B151" s="5" t="n"/>
      <c r="C151" s="5" t="n"/>
      <c r="D151" s="5" t="n"/>
      <c r="E151" s="5" t="n"/>
      <c r="F151" s="85" t="n"/>
      <c r="G151" s="5" t="n"/>
    </row>
    <row r="152" ht="15.75" customHeight="1" s="113">
      <c r="A152" s="5" t="n"/>
      <c r="B152" s="5" t="n"/>
      <c r="C152" s="5" t="n"/>
      <c r="D152" s="5" t="n"/>
      <c r="E152" s="5" t="n"/>
      <c r="F152" s="85" t="n"/>
      <c r="G152" s="5" t="n"/>
    </row>
    <row r="153" ht="15.75" customHeight="1" s="113">
      <c r="A153" s="5" t="n"/>
      <c r="B153" s="5" t="n"/>
      <c r="C153" s="5" t="n"/>
      <c r="D153" s="5" t="n"/>
      <c r="E153" s="5" t="n"/>
      <c r="F153" s="85" t="n"/>
      <c r="G153" s="5" t="n"/>
    </row>
    <row r="154" ht="15.75" customHeight="1" s="113">
      <c r="A154" s="5" t="n"/>
      <c r="B154" s="5" t="n"/>
      <c r="C154" s="5" t="n"/>
      <c r="D154" s="5" t="n"/>
      <c r="E154" s="5" t="n"/>
      <c r="F154" s="85" t="n"/>
      <c r="G154" s="5" t="n"/>
    </row>
    <row r="155" ht="15.75" customHeight="1" s="113">
      <c r="A155" s="5" t="n"/>
      <c r="B155" s="5" t="n"/>
      <c r="C155" s="5" t="n"/>
      <c r="D155" s="5" t="n"/>
      <c r="E155" s="5" t="n"/>
      <c r="F155" s="85" t="n"/>
      <c r="G155" s="5" t="n"/>
    </row>
    <row r="156" ht="15.75" customHeight="1" s="113">
      <c r="A156" s="5" t="n"/>
      <c r="B156" s="5" t="n"/>
      <c r="C156" s="5" t="n"/>
      <c r="D156" s="5" t="n"/>
      <c r="E156" s="5" t="n"/>
      <c r="F156" s="85" t="n"/>
      <c r="G156" s="5" t="n"/>
    </row>
    <row r="157" ht="15.75" customHeight="1" s="113">
      <c r="A157" s="5" t="n"/>
      <c r="B157" s="5" t="n"/>
      <c r="C157" s="5" t="n"/>
      <c r="D157" s="5" t="n"/>
      <c r="E157" s="5" t="n"/>
      <c r="F157" s="85" t="n"/>
      <c r="G157" s="5" t="n"/>
    </row>
    <row r="158" ht="15.75" customHeight="1" s="113">
      <c r="A158" s="5" t="n"/>
      <c r="B158" s="5" t="n"/>
      <c r="C158" s="5" t="n"/>
      <c r="D158" s="5" t="n"/>
      <c r="E158" s="5" t="n"/>
      <c r="F158" s="85" t="n"/>
      <c r="G158" s="5" t="n"/>
    </row>
    <row r="159" ht="15.75" customHeight="1" s="113">
      <c r="A159" s="5" t="n"/>
      <c r="B159" s="5" t="n"/>
      <c r="C159" s="5" t="n"/>
      <c r="D159" s="5" t="n"/>
      <c r="E159" s="5" t="n"/>
      <c r="F159" s="85" t="n"/>
      <c r="G159" s="5" t="n"/>
    </row>
    <row r="160" ht="15.75" customHeight="1" s="113">
      <c r="A160" s="5" t="n"/>
      <c r="B160" s="5" t="n"/>
      <c r="C160" s="5" t="n"/>
      <c r="D160" s="5" t="n"/>
      <c r="E160" s="5" t="n"/>
      <c r="F160" s="85" t="n"/>
      <c r="G160" s="5" t="n"/>
    </row>
    <row r="161" ht="15.75" customHeight="1" s="113">
      <c r="A161" s="5" t="n"/>
      <c r="B161" s="5" t="n"/>
      <c r="C161" s="5" t="n"/>
      <c r="D161" s="5" t="n"/>
      <c r="E161" s="5" t="n"/>
      <c r="F161" s="85" t="n"/>
      <c r="G161" s="5" t="n"/>
    </row>
    <row r="162" ht="15.75" customHeight="1" s="113">
      <c r="A162" s="5" t="n"/>
      <c r="B162" s="5" t="n"/>
      <c r="C162" s="5" t="n"/>
      <c r="D162" s="5" t="n"/>
      <c r="E162" s="5" t="n"/>
      <c r="F162" s="85" t="n"/>
      <c r="G162" s="5" t="n"/>
    </row>
    <row r="163" ht="15.75" customHeight="1" s="113">
      <c r="A163" s="5" t="n"/>
      <c r="B163" s="5" t="n"/>
      <c r="C163" s="5" t="n"/>
      <c r="D163" s="5" t="n"/>
      <c r="E163" s="5" t="n"/>
      <c r="F163" s="85" t="n"/>
      <c r="G163" s="5" t="n"/>
    </row>
    <row r="164" ht="15.75" customHeight="1" s="113">
      <c r="A164" s="5" t="n"/>
      <c r="B164" s="5" t="n"/>
      <c r="C164" s="5" t="n"/>
      <c r="D164" s="5" t="n"/>
      <c r="E164" s="5" t="n"/>
      <c r="F164" s="85" t="n"/>
      <c r="G164" s="5" t="n"/>
    </row>
    <row r="165" ht="15.75" customHeight="1" s="113">
      <c r="A165" s="5" t="n"/>
      <c r="B165" s="5" t="n"/>
      <c r="C165" s="5" t="n"/>
      <c r="D165" s="5" t="n"/>
      <c r="E165" s="5" t="n"/>
      <c r="F165" s="85" t="n"/>
      <c r="G165" s="5" t="n"/>
    </row>
    <row r="166" ht="15.75" customHeight="1" s="113">
      <c r="A166" s="5" t="n"/>
      <c r="B166" s="5" t="n"/>
      <c r="C166" s="5" t="n"/>
      <c r="D166" s="5" t="n"/>
      <c r="E166" s="5" t="n"/>
      <c r="F166" s="85" t="n"/>
      <c r="G166" s="5" t="n"/>
    </row>
    <row r="167" ht="15.75" customHeight="1" s="113">
      <c r="A167" s="5" t="n"/>
      <c r="B167" s="5" t="n"/>
      <c r="C167" s="5" t="n"/>
      <c r="D167" s="5" t="n"/>
      <c r="E167" s="5" t="n"/>
      <c r="F167" s="85" t="n"/>
      <c r="G167" s="5" t="n"/>
    </row>
    <row r="168" ht="15.75" customHeight="1" s="113">
      <c r="A168" s="5" t="n"/>
      <c r="B168" s="5" t="n"/>
      <c r="C168" s="5" t="n"/>
      <c r="D168" s="5" t="n"/>
      <c r="E168" s="5" t="n"/>
      <c r="F168" s="85" t="n"/>
      <c r="G168" s="5" t="n"/>
    </row>
    <row r="169" ht="15.75" customHeight="1" s="113">
      <c r="A169" s="5" t="n"/>
      <c r="B169" s="5" t="n"/>
      <c r="C169" s="5" t="n"/>
      <c r="D169" s="5" t="n"/>
      <c r="E169" s="5" t="n"/>
      <c r="F169" s="85" t="n"/>
      <c r="G169" s="5" t="n"/>
    </row>
    <row r="170" ht="15.75" customHeight="1" s="113">
      <c r="A170" s="5" t="n"/>
      <c r="B170" s="5" t="n"/>
      <c r="C170" s="5" t="n"/>
      <c r="D170" s="5" t="n"/>
      <c r="E170" s="5" t="n"/>
      <c r="F170" s="85" t="n"/>
      <c r="G170" s="5" t="n"/>
    </row>
    <row r="171" ht="15.75" customHeight="1" s="113">
      <c r="A171" s="5" t="n"/>
      <c r="B171" s="5" t="n"/>
      <c r="C171" s="5" t="n"/>
      <c r="D171" s="5" t="n"/>
      <c r="E171" s="5" t="n"/>
      <c r="F171" s="85" t="n"/>
      <c r="G171" s="5" t="n"/>
    </row>
    <row r="172" ht="15.75" customHeight="1" s="113">
      <c r="A172" s="5" t="n"/>
      <c r="B172" s="5" t="n"/>
      <c r="C172" s="5" t="n"/>
      <c r="D172" s="5" t="n"/>
      <c r="E172" s="5" t="n"/>
      <c r="F172" s="85" t="n"/>
      <c r="G172" s="5" t="n"/>
    </row>
    <row r="173" ht="15.75" customHeight="1" s="113">
      <c r="A173" s="5" t="n"/>
      <c r="B173" s="5" t="n"/>
      <c r="C173" s="5" t="n"/>
      <c r="D173" s="5" t="n"/>
      <c r="E173" s="5" t="n"/>
      <c r="F173" s="85" t="n"/>
      <c r="G173" s="5" t="n"/>
    </row>
    <row r="174" ht="15.75" customHeight="1" s="113">
      <c r="A174" s="5" t="n"/>
      <c r="B174" s="5" t="n"/>
      <c r="C174" s="5" t="n"/>
      <c r="D174" s="5" t="n"/>
      <c r="E174" s="5" t="n"/>
      <c r="F174" s="85" t="n"/>
      <c r="G174" s="5" t="n"/>
    </row>
    <row r="175" ht="15.75" customHeight="1" s="113">
      <c r="A175" s="5" t="n"/>
      <c r="B175" s="5" t="n"/>
      <c r="C175" s="5" t="n"/>
      <c r="D175" s="5" t="n"/>
      <c r="E175" s="5" t="n"/>
      <c r="F175" s="85" t="n"/>
      <c r="G175" s="5" t="n"/>
    </row>
    <row r="176" ht="15.75" customHeight="1" s="113">
      <c r="A176" s="5" t="n"/>
      <c r="B176" s="5" t="n"/>
      <c r="C176" s="5" t="n"/>
      <c r="D176" s="5" t="n"/>
      <c r="E176" s="5" t="n"/>
      <c r="F176" s="85" t="n"/>
      <c r="G176" s="5" t="n"/>
    </row>
    <row r="177" ht="15.75" customHeight="1" s="113">
      <c r="A177" s="5" t="n"/>
      <c r="B177" s="5" t="n"/>
      <c r="C177" s="5" t="n"/>
      <c r="D177" s="5" t="n"/>
      <c r="E177" s="5" t="n"/>
      <c r="F177" s="85" t="n"/>
      <c r="G177" s="5" t="n"/>
    </row>
    <row r="178" ht="15.75" customHeight="1" s="113">
      <c r="A178" s="5" t="n"/>
      <c r="B178" s="5" t="n"/>
      <c r="C178" s="5" t="n"/>
      <c r="D178" s="5" t="n"/>
      <c r="E178" s="5" t="n"/>
      <c r="F178" s="85" t="n"/>
      <c r="G178" s="5" t="n"/>
    </row>
    <row r="179" ht="15.75" customHeight="1" s="113">
      <c r="A179" s="5" t="n"/>
      <c r="B179" s="5" t="n"/>
      <c r="C179" s="5" t="n"/>
      <c r="D179" s="5" t="n"/>
      <c r="E179" s="5" t="n"/>
      <c r="F179" s="85" t="n"/>
      <c r="G179" s="5" t="n"/>
    </row>
    <row r="180" ht="15.75" customHeight="1" s="113">
      <c r="A180" s="5" t="n"/>
      <c r="B180" s="5" t="n"/>
      <c r="C180" s="5" t="n"/>
      <c r="D180" s="5" t="n"/>
      <c r="E180" s="5" t="n"/>
      <c r="F180" s="85" t="n"/>
      <c r="G180" s="5" t="n"/>
    </row>
    <row r="181" ht="15.75" customHeight="1" s="113">
      <c r="A181" s="5" t="n"/>
      <c r="B181" s="5" t="n"/>
      <c r="C181" s="5" t="n"/>
      <c r="D181" s="5" t="n"/>
      <c r="E181" s="5" t="n"/>
      <c r="F181" s="85" t="n"/>
      <c r="G181" s="5" t="n"/>
    </row>
    <row r="182" ht="15.75" customHeight="1" s="113">
      <c r="A182" s="5" t="n"/>
      <c r="B182" s="5" t="n"/>
      <c r="C182" s="5" t="n"/>
      <c r="D182" s="5" t="n"/>
      <c r="E182" s="5" t="n"/>
      <c r="F182" s="85" t="n"/>
      <c r="G182" s="5" t="n"/>
    </row>
    <row r="183" ht="15.75" customHeight="1" s="113">
      <c r="A183" s="5" t="n"/>
      <c r="B183" s="5" t="n"/>
      <c r="C183" s="5" t="n"/>
      <c r="D183" s="5" t="n"/>
      <c r="E183" s="5" t="n"/>
      <c r="F183" s="85" t="n"/>
      <c r="G183" s="5" t="n"/>
    </row>
    <row r="184" ht="15.75" customHeight="1" s="113">
      <c r="A184" s="5" t="n"/>
      <c r="B184" s="5" t="n"/>
      <c r="C184" s="5" t="n"/>
      <c r="D184" s="5" t="n"/>
      <c r="E184" s="5" t="n"/>
      <c r="F184" s="85" t="n"/>
      <c r="G184" s="5" t="n"/>
    </row>
    <row r="185" ht="15.75" customHeight="1" s="113">
      <c r="A185" s="5" t="n"/>
      <c r="B185" s="5" t="n"/>
      <c r="C185" s="5" t="n"/>
      <c r="D185" s="5" t="n"/>
      <c r="E185" s="5" t="n"/>
      <c r="F185" s="85" t="n"/>
      <c r="G185" s="5" t="n"/>
    </row>
    <row r="186" ht="15.75" customHeight="1" s="113">
      <c r="A186" s="5" t="n"/>
      <c r="B186" s="5" t="n"/>
      <c r="C186" s="5" t="n"/>
      <c r="D186" s="5" t="n"/>
      <c r="E186" s="5" t="n"/>
      <c r="F186" s="85" t="n"/>
      <c r="G186" s="5" t="n"/>
    </row>
    <row r="187" ht="15.75" customHeight="1" s="113">
      <c r="A187" s="5" t="n"/>
      <c r="B187" s="5" t="n"/>
      <c r="C187" s="5" t="n"/>
      <c r="D187" s="5" t="n"/>
      <c r="E187" s="5" t="n"/>
      <c r="F187" s="85" t="n"/>
      <c r="G187" s="5" t="n"/>
    </row>
    <row r="188" ht="15.75" customHeight="1" s="113">
      <c r="A188" s="5" t="n"/>
      <c r="B188" s="5" t="n"/>
      <c r="C188" s="5" t="n"/>
      <c r="D188" s="5" t="n"/>
      <c r="E188" s="5" t="n"/>
      <c r="F188" s="85" t="n"/>
      <c r="G188" s="5" t="n"/>
    </row>
    <row r="189" ht="15.75" customHeight="1" s="113">
      <c r="A189" s="5" t="n"/>
      <c r="B189" s="5" t="n"/>
      <c r="C189" s="5" t="n"/>
      <c r="D189" s="5" t="n"/>
      <c r="E189" s="5" t="n"/>
      <c r="F189" s="85" t="n"/>
      <c r="G189" s="5" t="n"/>
    </row>
    <row r="190" ht="15.75" customHeight="1" s="113">
      <c r="A190" s="5" t="n"/>
      <c r="B190" s="5" t="n"/>
      <c r="C190" s="5" t="n"/>
      <c r="D190" s="5" t="n"/>
      <c r="E190" s="5" t="n"/>
      <c r="F190" s="85" t="n"/>
      <c r="G190" s="5" t="n"/>
    </row>
    <row r="191" ht="15.75" customHeight="1" s="113">
      <c r="A191" s="5" t="n"/>
      <c r="B191" s="5" t="n"/>
      <c r="C191" s="5" t="n"/>
      <c r="D191" s="5" t="n"/>
      <c r="E191" s="5" t="n"/>
      <c r="F191" s="85" t="n"/>
      <c r="G191" s="5" t="n"/>
    </row>
    <row r="192" ht="15.75" customHeight="1" s="113">
      <c r="A192" s="5" t="n"/>
      <c r="B192" s="5" t="n"/>
      <c r="C192" s="5" t="n"/>
      <c r="D192" s="5" t="n"/>
      <c r="E192" s="5" t="n"/>
      <c r="F192" s="85" t="n"/>
      <c r="G192" s="5" t="n"/>
    </row>
    <row r="193" ht="15.75" customHeight="1" s="113">
      <c r="A193" s="5" t="n"/>
      <c r="B193" s="5" t="n"/>
      <c r="C193" s="5" t="n"/>
      <c r="D193" s="5" t="n"/>
      <c r="E193" s="5" t="n"/>
      <c r="F193" s="85" t="n"/>
      <c r="G193" s="5" t="n"/>
    </row>
    <row r="194" ht="15.75" customHeight="1" s="113">
      <c r="A194" s="5" t="n"/>
      <c r="B194" s="5" t="n"/>
      <c r="C194" s="5" t="n"/>
      <c r="D194" s="5" t="n"/>
      <c r="E194" s="5" t="n"/>
      <c r="F194" s="85" t="n"/>
      <c r="G194" s="5" t="n"/>
    </row>
    <row r="195" ht="15.75" customHeight="1" s="113">
      <c r="A195" s="5" t="n"/>
      <c r="B195" s="5" t="n"/>
      <c r="C195" s="5" t="n"/>
      <c r="D195" s="5" t="n"/>
      <c r="E195" s="5" t="n"/>
      <c r="F195" s="85" t="n"/>
      <c r="G195" s="5" t="n"/>
    </row>
    <row r="196" ht="15.75" customHeight="1" s="113">
      <c r="A196" s="5" t="n"/>
      <c r="B196" s="5" t="n"/>
      <c r="C196" s="5" t="n"/>
      <c r="D196" s="5" t="n"/>
      <c r="E196" s="5" t="n"/>
      <c r="F196" s="85" t="n"/>
      <c r="G196" s="5" t="n"/>
    </row>
    <row r="197" ht="15.75" customHeight="1" s="113">
      <c r="A197" s="5" t="n"/>
      <c r="B197" s="5" t="n"/>
      <c r="C197" s="5" t="n"/>
      <c r="D197" s="5" t="n"/>
      <c r="E197" s="5" t="n"/>
      <c r="F197" s="85" t="n"/>
      <c r="G197" s="5" t="n"/>
    </row>
    <row r="198" ht="15.75" customHeight="1" s="113">
      <c r="A198" s="5" t="n"/>
      <c r="B198" s="5" t="n"/>
      <c r="C198" s="5" t="n"/>
      <c r="D198" s="5" t="n"/>
      <c r="E198" s="5" t="n"/>
      <c r="F198" s="85" t="n"/>
      <c r="G198" s="5" t="n"/>
    </row>
    <row r="199" ht="15.75" customHeight="1" s="113">
      <c r="A199" s="5" t="n"/>
      <c r="B199" s="5" t="n"/>
      <c r="C199" s="5" t="n"/>
      <c r="D199" s="5" t="n"/>
      <c r="E199" s="5" t="n"/>
      <c r="F199" s="85" t="n"/>
      <c r="G199" s="5" t="n"/>
    </row>
    <row r="200" ht="15.75" customHeight="1" s="113">
      <c r="A200" s="5" t="n"/>
      <c r="B200" s="5" t="n"/>
      <c r="C200" s="5" t="n"/>
      <c r="D200" s="5" t="n"/>
      <c r="E200" s="5" t="n"/>
      <c r="F200" s="85" t="n"/>
      <c r="G200" s="5" t="n"/>
    </row>
    <row r="201" ht="15.75" customHeight="1" s="113">
      <c r="A201" s="5" t="n"/>
      <c r="B201" s="5" t="n"/>
      <c r="C201" s="5" t="n"/>
      <c r="D201" s="5" t="n"/>
      <c r="E201" s="5" t="n"/>
      <c r="F201" s="85" t="n"/>
      <c r="G201" s="5" t="n"/>
    </row>
    <row r="202" ht="15.75" customHeight="1" s="113">
      <c r="A202" s="5" t="n"/>
      <c r="B202" s="5" t="n"/>
      <c r="C202" s="5" t="n"/>
      <c r="D202" s="5" t="n"/>
      <c r="E202" s="5" t="n"/>
      <c r="F202" s="85" t="n"/>
      <c r="G202" s="5" t="n"/>
    </row>
    <row r="203" ht="15.75" customHeight="1" s="113">
      <c r="A203" s="5" t="n"/>
      <c r="B203" s="5" t="n"/>
      <c r="C203" s="5" t="n"/>
      <c r="D203" s="5" t="n"/>
      <c r="E203" s="5" t="n"/>
      <c r="F203" s="85" t="n"/>
      <c r="G203" s="5" t="n"/>
    </row>
    <row r="204" ht="15.75" customHeight="1" s="113">
      <c r="A204" s="5" t="n"/>
      <c r="B204" s="5" t="n"/>
      <c r="C204" s="5" t="n"/>
      <c r="D204" s="5" t="n"/>
      <c r="E204" s="5" t="n"/>
      <c r="F204" s="85" t="n"/>
      <c r="G204" s="5" t="n"/>
    </row>
    <row r="205" ht="15.75" customHeight="1" s="113">
      <c r="A205" s="5" t="n"/>
      <c r="B205" s="5" t="n"/>
      <c r="C205" s="5" t="n"/>
      <c r="D205" s="5" t="n"/>
      <c r="E205" s="5" t="n"/>
      <c r="F205" s="85" t="n"/>
      <c r="G205" s="5" t="n"/>
    </row>
    <row r="206" ht="15.75" customHeight="1" s="113">
      <c r="A206" s="5" t="n"/>
      <c r="B206" s="5" t="n"/>
      <c r="C206" s="5" t="n"/>
      <c r="D206" s="5" t="n"/>
      <c r="E206" s="5" t="n"/>
      <c r="F206" s="85" t="n"/>
      <c r="G206" s="5" t="n"/>
    </row>
    <row r="207" ht="15.75" customHeight="1" s="113">
      <c r="A207" s="5" t="n"/>
      <c r="B207" s="5" t="n"/>
      <c r="C207" s="5" t="n"/>
      <c r="D207" s="5" t="n"/>
      <c r="E207" s="5" t="n"/>
      <c r="F207" s="85" t="n"/>
      <c r="G207" s="5" t="n"/>
    </row>
    <row r="208" ht="15.75" customHeight="1" s="113">
      <c r="A208" s="5" t="n"/>
      <c r="B208" s="5" t="n"/>
      <c r="C208" s="5" t="n"/>
      <c r="D208" s="5" t="n"/>
      <c r="E208" s="5" t="n"/>
      <c r="F208" s="85" t="n"/>
      <c r="G208" s="5" t="n"/>
    </row>
    <row r="209" ht="15.75" customHeight="1" s="113">
      <c r="A209" s="5" t="n"/>
      <c r="B209" s="5" t="n"/>
      <c r="C209" s="5" t="n"/>
      <c r="D209" s="5" t="n"/>
      <c r="E209" s="5" t="n"/>
      <c r="F209" s="85" t="n"/>
      <c r="G209" s="5" t="n"/>
    </row>
    <row r="210" ht="15.75" customHeight="1" s="113">
      <c r="A210" s="5" t="n"/>
      <c r="B210" s="5" t="n"/>
      <c r="C210" s="5" t="n"/>
      <c r="D210" s="5" t="n"/>
      <c r="E210" s="5" t="n"/>
      <c r="F210" s="85" t="n"/>
      <c r="G210" s="5" t="n"/>
    </row>
    <row r="211" ht="15.75" customHeight="1" s="113">
      <c r="A211" s="5" t="n"/>
      <c r="B211" s="5" t="n"/>
      <c r="C211" s="5" t="n"/>
      <c r="D211" s="5" t="n"/>
      <c r="E211" s="5" t="n"/>
      <c r="F211" s="85" t="n"/>
      <c r="G211" s="5" t="n"/>
    </row>
    <row r="212" ht="15.75" customHeight="1" s="113">
      <c r="A212" s="5" t="n"/>
      <c r="B212" s="5" t="n"/>
      <c r="C212" s="5" t="n"/>
      <c r="D212" s="5" t="n"/>
      <c r="E212" s="5" t="n"/>
      <c r="F212" s="85" t="n"/>
      <c r="G212" s="5" t="n"/>
    </row>
    <row r="213" ht="15.75" customHeight="1" s="113">
      <c r="A213" s="5" t="n"/>
      <c r="B213" s="5" t="n"/>
      <c r="C213" s="5" t="n"/>
      <c r="D213" s="5" t="n"/>
      <c r="E213" s="5" t="n"/>
      <c r="F213" s="85" t="n"/>
      <c r="G213" s="5" t="n"/>
    </row>
    <row r="214" ht="15.75" customHeight="1" s="113">
      <c r="A214" s="5" t="n"/>
      <c r="B214" s="5" t="n"/>
      <c r="C214" s="5" t="n"/>
      <c r="D214" s="5" t="n"/>
      <c r="E214" s="5" t="n"/>
      <c r="F214" s="85" t="n"/>
      <c r="G214" s="5" t="n"/>
    </row>
    <row r="215" ht="15.75" customHeight="1" s="113">
      <c r="A215" s="5" t="n"/>
      <c r="B215" s="5" t="n"/>
      <c r="C215" s="5" t="n"/>
      <c r="D215" s="5" t="n"/>
      <c r="E215" s="5" t="n"/>
      <c r="F215" s="85" t="n"/>
      <c r="G215" s="5" t="n"/>
    </row>
    <row r="216" ht="15.75" customHeight="1" s="113">
      <c r="A216" s="5" t="n"/>
      <c r="B216" s="5" t="n"/>
      <c r="C216" s="5" t="n"/>
      <c r="D216" s="5" t="n"/>
      <c r="E216" s="5" t="n"/>
      <c r="F216" s="85" t="n"/>
      <c r="G216" s="5" t="n"/>
    </row>
    <row r="217" ht="15.75" customHeight="1" s="113">
      <c r="A217" s="5" t="n"/>
      <c r="B217" s="5" t="n"/>
      <c r="C217" s="5" t="n"/>
      <c r="D217" s="5" t="n"/>
      <c r="E217" s="5" t="n"/>
      <c r="F217" s="85" t="n"/>
      <c r="G217" s="5" t="n"/>
    </row>
    <row r="218" ht="15.75" customHeight="1" s="113">
      <c r="A218" s="5" t="n"/>
      <c r="B218" s="5" t="n"/>
      <c r="C218" s="5" t="n"/>
      <c r="D218" s="5" t="n"/>
      <c r="E218" s="5" t="n"/>
      <c r="F218" s="85" t="n"/>
      <c r="G218" s="5" t="n"/>
    </row>
    <row r="219" ht="15.75" customHeight="1" s="113">
      <c r="A219" s="5" t="n"/>
      <c r="B219" s="5" t="n"/>
      <c r="C219" s="5" t="n"/>
      <c r="D219" s="5" t="n"/>
      <c r="E219" s="5" t="n"/>
      <c r="F219" s="85" t="n"/>
      <c r="G219" s="5" t="n"/>
    </row>
    <row r="220" ht="15.75" customHeight="1" s="113">
      <c r="A220" s="5" t="n"/>
      <c r="B220" s="5" t="n"/>
      <c r="C220" s="5" t="n"/>
      <c r="D220" s="5" t="n"/>
      <c r="E220" s="5" t="n"/>
      <c r="F220" s="85" t="n"/>
      <c r="G220" s="5" t="n"/>
    </row>
    <row r="221" ht="15.75" customHeight="1" s="113">
      <c r="A221" s="5" t="n"/>
      <c r="B221" s="5" t="n"/>
      <c r="C221" s="5" t="n"/>
      <c r="D221" s="5" t="n"/>
      <c r="E221" s="5" t="n"/>
      <c r="F221" s="85" t="n"/>
      <c r="G221" s="5" t="n"/>
    </row>
    <row r="222" ht="15.75" customHeight="1" s="113">
      <c r="A222" s="5" t="n"/>
      <c r="B222" s="5" t="n"/>
      <c r="C222" s="5" t="n"/>
      <c r="D222" s="5" t="n"/>
      <c r="E222" s="5" t="n"/>
      <c r="F222" s="85" t="n"/>
      <c r="G222" s="5" t="n"/>
    </row>
    <row r="223" ht="15.75" customHeight="1" s="113">
      <c r="A223" s="5" t="n"/>
      <c r="B223" s="5" t="n"/>
      <c r="C223" s="5" t="n"/>
      <c r="D223" s="5" t="n"/>
      <c r="E223" s="5" t="n"/>
      <c r="F223" s="85" t="n"/>
      <c r="G223" s="5" t="n"/>
    </row>
    <row r="224" ht="15.75" customHeight="1" s="113">
      <c r="A224" s="5" t="n"/>
      <c r="B224" s="5" t="n"/>
      <c r="C224" s="5" t="n"/>
      <c r="D224" s="5" t="n"/>
      <c r="E224" s="5" t="n"/>
      <c r="F224" s="85" t="n"/>
      <c r="G224" s="5" t="n"/>
    </row>
    <row r="225" ht="15.75" customHeight="1" s="113">
      <c r="A225" s="5" t="n"/>
      <c r="B225" s="5" t="n"/>
      <c r="C225" s="5" t="n"/>
      <c r="D225" s="5" t="n"/>
      <c r="E225" s="5" t="n"/>
      <c r="F225" s="8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3" min="1" max="1"/>
    <col width="10" customWidth="1" style="113" min="2" max="2"/>
    <col width="14" customWidth="1" style="113" min="3" max="3"/>
    <col width="8.710000000000001" customWidth="1" style="113" min="4" max="4"/>
    <col width="20" customWidth="1" style="113" min="5" max="5"/>
    <col width="28" customWidth="1" style="113" min="6" max="6"/>
    <col width="44" customWidth="1" style="113" min="7" max="7"/>
  </cols>
  <sheetData>
    <row r="1">
      <c r="A1" s="68"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7" t="inlineStr">
        <is>
          <t>NUR234</t>
        </is>
      </c>
      <c r="B2" s="10" t="inlineStr">
        <is>
          <t>NUR235</t>
        </is>
      </c>
      <c r="C2" s="7" t="inlineStr">
        <is>
          <t>NUR258</t>
        </is>
      </c>
      <c r="D2" s="12" t="inlineStr">
        <is>
          <t>🏠 START HERE</t>
        </is>
      </c>
      <c r="E2" s="21" t="inlineStr">
        <is>
          <t>📥 Sort me</t>
        </is>
      </c>
      <c r="F2" s="14" t="n"/>
      <c r="G2" s="14" t="n"/>
      <c r="H2" s="5" t="n"/>
      <c r="I2" s="5" t="n"/>
      <c r="J2" s="5" t="n"/>
      <c r="K2" s="5" t="n"/>
      <c r="L2" s="5" t="n"/>
      <c r="M2" s="5" t="n"/>
      <c r="N2" s="5" t="n"/>
      <c r="O2" s="5" t="n"/>
      <c r="P2" s="5" t="n"/>
      <c r="Q2" s="5" t="n"/>
      <c r="R2" s="5" t="n"/>
      <c r="S2" s="5" t="n"/>
      <c r="T2" s="5" t="n"/>
      <c r="U2" s="5" t="n"/>
      <c r="V2" s="5" t="n"/>
      <c r="W2" s="5" t="n"/>
      <c r="X2" s="5" t="n"/>
      <c r="Y2" s="5" t="n"/>
      <c r="Z2" s="5" t="n"/>
    </row>
    <row r="3">
      <c r="A3" s="24" t="inlineStr">
        <is>
          <t>Fadell</t>
        </is>
      </c>
      <c r="B3" s="24" t="inlineStr">
        <is>
          <t>Fuller</t>
        </is>
      </c>
      <c r="C3" s="24" t="inlineStr">
        <is>
          <t>Exam Reviews</t>
        </is>
      </c>
      <c r="D3" s="24" t="n"/>
      <c r="E3" s="32" t="n"/>
      <c r="F3" s="14" t="n"/>
      <c r="G3" s="14"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4" t="n"/>
      <c r="B4" s="14" t="n"/>
      <c r="C4" s="14" t="n"/>
      <c r="D4" s="14" t="n"/>
      <c r="E4" s="14" t="n"/>
      <c r="F4" s="14" t="n"/>
      <c r="G4" s="14" t="n"/>
      <c r="H4" s="5" t="n"/>
      <c r="I4" s="5" t="n"/>
      <c r="J4" s="5" t="n"/>
      <c r="K4" s="5" t="n"/>
      <c r="L4" s="5" t="n"/>
      <c r="M4" s="5" t="n"/>
      <c r="N4" s="5" t="n"/>
      <c r="O4" s="5" t="n"/>
      <c r="P4" s="5" t="n"/>
      <c r="Q4" s="5" t="n"/>
      <c r="R4" s="5" t="n"/>
      <c r="S4" s="5" t="n"/>
      <c r="T4" s="5" t="n"/>
      <c r="U4" s="5" t="n"/>
      <c r="V4" s="5" t="n"/>
      <c r="W4" s="5" t="n"/>
      <c r="X4" s="5" t="n"/>
      <c r="Y4" s="5" t="n"/>
      <c r="Z4" s="5" t="n"/>
    </row>
    <row r="5">
      <c r="A5" s="70" t="inlineStr">
        <is>
          <t>Module</t>
        </is>
      </c>
      <c r="B5" s="70" t="inlineStr">
        <is>
          <t>Day</t>
        </is>
      </c>
      <c r="C5" s="70" t="inlineStr">
        <is>
          <t>Date</t>
        </is>
      </c>
      <c r="D5" s="70" t="inlineStr">
        <is>
          <t>Lecturer</t>
        </is>
      </c>
      <c r="E5" s="70" t="inlineStr">
        <is>
          <t>Recording</t>
        </is>
      </c>
      <c r="F5" s="70" t="inlineStr">
        <is>
          <t>File</t>
        </is>
      </c>
      <c r="G5" s="70" t="inlineStr">
        <is>
          <t>Notes</t>
        </is>
      </c>
      <c r="H5" s="5" t="n"/>
      <c r="I5" s="5" t="n"/>
      <c r="J5" s="5" t="n"/>
      <c r="K5" s="5" t="n"/>
      <c r="L5" s="5" t="n"/>
      <c r="M5" s="5" t="n"/>
      <c r="N5" s="5" t="n"/>
      <c r="O5" s="5" t="n"/>
      <c r="P5" s="5" t="n"/>
      <c r="Q5" s="5" t="n"/>
      <c r="R5" s="5" t="n"/>
      <c r="S5" s="5" t="n"/>
      <c r="T5" s="5" t="n"/>
      <c r="U5" s="5" t="n"/>
      <c r="V5" s="5" t="n"/>
      <c r="W5" s="5" t="n"/>
      <c r="X5" s="5" t="n"/>
      <c r="Y5" s="5" t="n"/>
      <c r="Z5" s="5" t="n"/>
    </row>
    <row r="6">
      <c r="A6" s="72" t="inlineStr">
        <is>
          <t>Module 1</t>
        </is>
      </c>
      <c r="B6" s="72" t="inlineStr">
        <is>
          <t>Day 1</t>
        </is>
      </c>
      <c r="C6" s="73" t="inlineStr">
        <is>
          <t>Spring 2026</t>
        </is>
      </c>
      <c r="D6" s="73" t="inlineStr">
        <is>
          <t>Fadell</t>
        </is>
      </c>
      <c r="E6" s="74">
        <f>HYPERLINK("https://drive.google.com/file/d/1pdrIxvRlTvmP6KratKznradt22HLDzo1/view","▶  Watch")</f>
        <v/>
      </c>
      <c r="F6" s="73" t="inlineStr">
        <is>
          <t>NUR235 M1d1.mp4</t>
        </is>
      </c>
      <c r="G6" s="7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76" t="inlineStr">
        <is>
          <t>Module 1</t>
        </is>
      </c>
      <c r="B7" s="76" t="inlineStr">
        <is>
          <t>Day 2</t>
        </is>
      </c>
      <c r="C7" s="73" t="inlineStr">
        <is>
          <t>Spring 2026</t>
        </is>
      </c>
      <c r="D7" s="78" t="inlineStr">
        <is>
          <t>Fadell</t>
        </is>
      </c>
      <c r="E7" s="79">
        <f>HYPERLINK("https://drive.google.com/file/d/16CuSniyXHzQ9ZFqCLcKE3p5Q4Q5oeyxS/view","▶  Watch")</f>
        <v/>
      </c>
      <c r="F7" s="78" t="inlineStr">
        <is>
          <t>NUR235 M1d2.mp4</t>
        </is>
      </c>
      <c r="G7" s="78"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72" t="inlineStr">
        <is>
          <t>Module 2</t>
        </is>
      </c>
      <c r="B8" s="72" t="inlineStr">
        <is>
          <t>Day 1</t>
        </is>
      </c>
      <c r="C8" s="73" t="inlineStr">
        <is>
          <t>Spring 2026</t>
        </is>
      </c>
      <c r="D8" s="73" t="inlineStr">
        <is>
          <t>Fadell</t>
        </is>
      </c>
      <c r="E8" s="74">
        <f>HYPERLINK("https://drive.google.com/file/d/1Q5517-Mrq2k7R3wP0PxYutd5G6FPN9cx/view","▶  Watch")</f>
        <v/>
      </c>
      <c r="F8" s="73" t="inlineStr">
        <is>
          <t>NUR235 M2d1.mp4</t>
        </is>
      </c>
      <c r="G8" s="81"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76" t="inlineStr">
        <is>
          <t>Module 2</t>
        </is>
      </c>
      <c r="B9" s="76" t="inlineStr">
        <is>
          <t>Day 2</t>
        </is>
      </c>
      <c r="C9" s="73" t="inlineStr">
        <is>
          <t>Spring 2026</t>
        </is>
      </c>
      <c r="D9" s="78" t="inlineStr">
        <is>
          <t>Fadell</t>
        </is>
      </c>
      <c r="E9" s="79">
        <f>HYPERLINK("https://drive.google.com/file/d/1QGoHeK_bKBeYzZq4vorX8dX8ZWt03EUh/view","▶  Watch")</f>
        <v/>
      </c>
      <c r="F9" s="78" t="inlineStr">
        <is>
          <t>NUR235 M2d2.mp4</t>
        </is>
      </c>
      <c r="G9" s="78"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72" t="inlineStr">
        <is>
          <t>Module 3</t>
        </is>
      </c>
      <c r="B10" s="72" t="inlineStr">
        <is>
          <t>Day 1</t>
        </is>
      </c>
      <c r="C10" s="73" t="inlineStr">
        <is>
          <t>Spring 2026</t>
        </is>
      </c>
      <c r="D10" s="73" t="inlineStr">
        <is>
          <t>Fadell</t>
        </is>
      </c>
      <c r="E10" s="74">
        <f>HYPERLINK("https://drive.google.com/file/d/14JFpgO_aAbyd7-U8h2MQg0daKpNZ76Zo/view","▶  Watch")</f>
        <v/>
      </c>
      <c r="F10" s="73" t="inlineStr">
        <is>
          <t>NUR235 M3d1.mp4</t>
        </is>
      </c>
      <c r="G10" s="7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76" t="inlineStr">
        <is>
          <t>Module 3</t>
        </is>
      </c>
      <c r="B11" s="76" t="inlineStr">
        <is>
          <t>Day 2</t>
        </is>
      </c>
      <c r="C11" s="73" t="inlineStr">
        <is>
          <t>Spring 2026</t>
        </is>
      </c>
      <c r="D11" s="78" t="inlineStr">
        <is>
          <t>Fadell</t>
        </is>
      </c>
      <c r="E11" s="79">
        <f>HYPERLINK("https://drive.google.com/file/d/1k1EZ2L6NQIZhAcEQWpdLBFOIhAzVUMuV/view","▶  Watch")</f>
        <v/>
      </c>
      <c r="F11" s="78" t="inlineStr">
        <is>
          <t>NUR235 M3d2.mp4</t>
        </is>
      </c>
      <c r="G11" s="78"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72" t="inlineStr">
        <is>
          <t>Module 4</t>
        </is>
      </c>
      <c r="B12" s="72" t="inlineStr">
        <is>
          <t>Day 1</t>
        </is>
      </c>
      <c r="C12" s="73" t="inlineStr">
        <is>
          <t>Spring 2026</t>
        </is>
      </c>
      <c r="D12" s="73" t="inlineStr">
        <is>
          <t>Fadell</t>
        </is>
      </c>
      <c r="E12" s="74">
        <f>HYPERLINK("https://drive.google.com/file/d/1b5bege6Dfibd8Ep1josxjnccr0sqen9l/view","▶  Watch")</f>
        <v/>
      </c>
      <c r="F12" s="73" t="inlineStr">
        <is>
          <t>NUR235 M4d1.mp4</t>
        </is>
      </c>
      <c r="G12" s="7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76" t="inlineStr">
        <is>
          <t>Module 4</t>
        </is>
      </c>
      <c r="B13" s="76" t="inlineStr">
        <is>
          <t>Day 2</t>
        </is>
      </c>
      <c r="C13" s="73" t="inlineStr">
        <is>
          <t>Spring 2026</t>
        </is>
      </c>
      <c r="D13" s="78" t="inlineStr">
        <is>
          <t>Fadell</t>
        </is>
      </c>
      <c r="E13" s="79">
        <f>HYPERLINK("https://drive.google.com/file/d/1pbfj4UN1PY9frn9xIKc394A_wJkYLkgq/view","▶  Watch")</f>
        <v/>
      </c>
      <c r="F13" s="78" t="inlineStr">
        <is>
          <t>NUR235 M4d2.mp4</t>
        </is>
      </c>
      <c r="G13" s="78"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72" t="inlineStr">
        <is>
          <t>Module 5</t>
        </is>
      </c>
      <c r="B14" s="72" t="inlineStr">
        <is>
          <t>Day 1</t>
        </is>
      </c>
      <c r="C14" s="73" t="inlineStr">
        <is>
          <t>Spring 2026</t>
        </is>
      </c>
      <c r="D14" s="73" t="inlineStr">
        <is>
          <t>Fadell</t>
        </is>
      </c>
      <c r="E14" s="74">
        <f>HYPERLINK("https://drive.google.com/file/d/1kwB7srewINjZ8iX9yoFK8dBuH3_n41Qz/view","▶  Watch")</f>
        <v/>
      </c>
      <c r="F14" s="73" t="inlineStr">
        <is>
          <t>NUR235 M5d1.mp4</t>
        </is>
      </c>
      <c r="G14" s="7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76" t="inlineStr">
        <is>
          <t>Module 5</t>
        </is>
      </c>
      <c r="B15" s="76" t="inlineStr">
        <is>
          <t>Day 2</t>
        </is>
      </c>
      <c r="C15" s="73" t="inlineStr">
        <is>
          <t>Spring 2026</t>
        </is>
      </c>
      <c r="D15" s="78" t="inlineStr">
        <is>
          <t>Fadell</t>
        </is>
      </c>
      <c r="E15" s="79">
        <f>HYPERLINK("https://drive.google.com/file/d/1Gm7nRAm5aRuW3FfYXVDtq8acaYaeaadN/view","▶  Watch")</f>
        <v/>
      </c>
      <c r="F15" s="78" t="inlineStr">
        <is>
          <t>NUR235 M5d2.mp4</t>
        </is>
      </c>
      <c r="G15" s="78"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3">
      <c r="A16" s="72" t="inlineStr">
        <is>
          <t>Module 6</t>
        </is>
      </c>
      <c r="B16" s="72" t="inlineStr">
        <is>
          <t>Day 1</t>
        </is>
      </c>
      <c r="C16" s="73" t="inlineStr">
        <is>
          <t>Spring 2026</t>
        </is>
      </c>
      <c r="D16" s="73" t="inlineStr">
        <is>
          <t>Fadell</t>
        </is>
      </c>
      <c r="E16" s="74">
        <f>HYPERLINK("https://drive.google.com/file/d/1oBOb2A9oL_AyWlu27fJovaWgvJ2uh8BP/view","▶  Watch")</f>
        <v/>
      </c>
      <c r="F16" s="73" t="inlineStr">
        <is>
          <t>NUR235 M6d1.mp4</t>
        </is>
      </c>
      <c r="G16" s="7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3">
      <c r="A17" s="76" t="inlineStr">
        <is>
          <t>Module 6</t>
        </is>
      </c>
      <c r="B17" s="76" t="inlineStr">
        <is>
          <t>Day 2</t>
        </is>
      </c>
      <c r="C17" s="73" t="inlineStr">
        <is>
          <t>Spring 2026</t>
        </is>
      </c>
      <c r="D17" s="78" t="inlineStr">
        <is>
          <t>Fadell</t>
        </is>
      </c>
      <c r="E17" s="79">
        <f>HYPERLINK("https://drive.google.com/file/d/1-cj742kGJJpy4aS0qcDwSAPrgN9b-EBi/view","▶  Watch")</f>
        <v/>
      </c>
      <c r="F17" s="78" t="inlineStr">
        <is>
          <t>NUR235 M6d2.mp4</t>
        </is>
      </c>
      <c r="G17" s="78"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3">
      <c r="A18" s="72" t="inlineStr">
        <is>
          <t>Module 7</t>
        </is>
      </c>
      <c r="B18" s="72" t="inlineStr">
        <is>
          <t>Day 1</t>
        </is>
      </c>
      <c r="C18" s="73" t="inlineStr">
        <is>
          <t>Spring 2026</t>
        </is>
      </c>
      <c r="D18" s="73" t="inlineStr">
        <is>
          <t>Fadell</t>
        </is>
      </c>
      <c r="E18" s="74">
        <f>HYPERLINK("https://drive.google.com/file/d/1qQMvemEiqmBOftgCnu0DbmTReiY9jQ6Z/view","▶  Watch")</f>
        <v/>
      </c>
      <c r="F18" s="73" t="inlineStr">
        <is>
          <t>NUR235 M7d1.mp4</t>
        </is>
      </c>
      <c r="G18" s="7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3">
      <c r="A19" s="76" t="inlineStr">
        <is>
          <t>Module 7</t>
        </is>
      </c>
      <c r="B19" s="76" t="inlineStr">
        <is>
          <t>Day 2</t>
        </is>
      </c>
      <c r="C19" s="73" t="inlineStr">
        <is>
          <t>Spring 2026</t>
        </is>
      </c>
      <c r="D19" s="78" t="inlineStr">
        <is>
          <t>Fadell</t>
        </is>
      </c>
      <c r="E19" s="79">
        <f>HYPERLINK("https://drive.google.com/file/d/1MyPdbWpWRub7BfbX4l2laIuFgfTbkU1A/view","▶  Watch")</f>
        <v/>
      </c>
      <c r="F19" s="78" t="inlineStr">
        <is>
          <t>NUR235 M7d2.mp4</t>
        </is>
      </c>
      <c r="G19" s="78"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3">
      <c r="A20" s="72" t="inlineStr">
        <is>
          <t>Module 8</t>
        </is>
      </c>
      <c r="B20" s="72" t="inlineStr">
        <is>
          <t>Day 1</t>
        </is>
      </c>
      <c r="C20" s="73" t="inlineStr">
        <is>
          <t>Spring 2026</t>
        </is>
      </c>
      <c r="D20" s="73" t="inlineStr">
        <is>
          <t>Fadell</t>
        </is>
      </c>
      <c r="E20" s="74">
        <f>HYPERLINK("https://drive.google.com/file/d/1r6A_uGiCKxkRitxZHuHmA6zLzKanD4ir/view","▶  Watch")</f>
        <v/>
      </c>
      <c r="F20" s="73" t="inlineStr">
        <is>
          <t>NUR235 M8d1.mp4</t>
        </is>
      </c>
      <c r="G20" s="7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3">
      <c r="A21" s="76" t="inlineStr">
        <is>
          <t>Module 8</t>
        </is>
      </c>
      <c r="B21" s="76" t="inlineStr">
        <is>
          <t>Day 2</t>
        </is>
      </c>
      <c r="C21" s="73" t="inlineStr">
        <is>
          <t>Spring 2026</t>
        </is>
      </c>
      <c r="D21" s="78" t="inlineStr">
        <is>
          <t>Fadell</t>
        </is>
      </c>
      <c r="E21" s="79">
        <f>HYPERLINK("https://drive.google.com/file/d/1wg2iUowJw1j_3I6HhBUtsWiOp0nEpRfl/view","▶  Watch")</f>
        <v/>
      </c>
      <c r="F21" s="78" t="inlineStr">
        <is>
          <t>NUR235 M8d2.mp4</t>
        </is>
      </c>
      <c r="G21" s="78"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3">
      <c r="A22" s="72" t="inlineStr">
        <is>
          <t>Module 9</t>
        </is>
      </c>
      <c r="B22" s="72" t="inlineStr">
        <is>
          <t>Day 1</t>
        </is>
      </c>
      <c r="C22" s="73" t="inlineStr">
        <is>
          <t>Spring 2026</t>
        </is>
      </c>
      <c r="D22" s="73" t="inlineStr">
        <is>
          <t>Fadell</t>
        </is>
      </c>
      <c r="E22" s="74">
        <f>HYPERLINK("https://drive.google.com/file/d/1tf4BrUHxHQhTZhu8Vf8l4IvIt1PjQvJw/view","▶  Watch")</f>
        <v/>
      </c>
      <c r="F22" s="73" t="inlineStr">
        <is>
          <t>NUR235 M9d1.mp4</t>
        </is>
      </c>
      <c r="G22" s="7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3">
      <c r="A23" s="76" t="inlineStr">
        <is>
          <t>Module 9</t>
        </is>
      </c>
      <c r="B23" s="76" t="inlineStr">
        <is>
          <t>Day 2</t>
        </is>
      </c>
      <c r="C23" s="73" t="inlineStr">
        <is>
          <t>Spring 2026</t>
        </is>
      </c>
      <c r="D23" s="78" t="inlineStr">
        <is>
          <t>Fadell</t>
        </is>
      </c>
      <c r="E23" s="79">
        <f>HYPERLINK("https://drive.google.com/file/d/1_mWuyKEdd8H2uFXBB6wKuMxXVY_XWxKL/view","▶  Watch")</f>
        <v/>
      </c>
      <c r="F23" s="78" t="inlineStr">
        <is>
          <t>NUR235 M9d2.mp4</t>
        </is>
      </c>
      <c r="G23" s="78"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3">
      <c r="A24" s="72" t="inlineStr">
        <is>
          <t>Module 10</t>
        </is>
      </c>
      <c r="B24" s="72" t="inlineStr">
        <is>
          <t>Day 1</t>
        </is>
      </c>
      <c r="C24" s="73" t="inlineStr">
        <is>
          <t>Spring 2026</t>
        </is>
      </c>
      <c r="D24" s="73" t="inlineStr">
        <is>
          <t>Fadell</t>
        </is>
      </c>
      <c r="E24" s="74">
        <f>HYPERLINK("https://drive.google.com/file/d/1qNKdQOx07nNIYi8b7Xa5Jq-WQHM1m9Dv/view","▶  Watch")</f>
        <v/>
      </c>
      <c r="F24" s="73" t="inlineStr">
        <is>
          <t>NUR235 M10d1.mp4</t>
        </is>
      </c>
      <c r="G24" s="7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3">
      <c r="A25" s="76" t="inlineStr">
        <is>
          <t>Module 10</t>
        </is>
      </c>
      <c r="B25" s="76" t="inlineStr">
        <is>
          <t>Day 2</t>
        </is>
      </c>
      <c r="C25" s="73" t="inlineStr">
        <is>
          <t>Spring 2026</t>
        </is>
      </c>
      <c r="D25" s="78" t="inlineStr">
        <is>
          <t>Fadell</t>
        </is>
      </c>
      <c r="E25" s="79">
        <f>HYPERLINK("https://drive.google.com/file/d/1rp_QqODgVYxyyc0oRtgYWHDEw_WbZVXp/view","▶  Watch")</f>
        <v/>
      </c>
      <c r="F25" s="78" t="inlineStr">
        <is>
          <t>NUR235 M10d2.mp4</t>
        </is>
      </c>
      <c r="G25" s="78"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3">
      <c r="A26" s="72" t="inlineStr">
        <is>
          <t>Module 11</t>
        </is>
      </c>
      <c r="B26" s="72" t="inlineStr">
        <is>
          <t>Day 1</t>
        </is>
      </c>
      <c r="C26" s="73" t="inlineStr">
        <is>
          <t>Spring 2026</t>
        </is>
      </c>
      <c r="D26" s="73" t="inlineStr">
        <is>
          <t>Fadell</t>
        </is>
      </c>
      <c r="E26" s="74">
        <f>HYPERLINK("https://drive.google.com/file/d/1nNvAV6DNOEi-TYkpk6W6YMbNMdhEThQG/view","▶  Watch")</f>
        <v/>
      </c>
      <c r="F26" s="73" t="inlineStr">
        <is>
          <t>NUR235 M11d1.mp4</t>
        </is>
      </c>
      <c r="G26" s="7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3">
      <c r="A27" s="76" t="inlineStr">
        <is>
          <t>Module 11</t>
        </is>
      </c>
      <c r="B27" s="76" t="inlineStr">
        <is>
          <t>Day 2</t>
        </is>
      </c>
      <c r="C27" s="73" t="inlineStr">
        <is>
          <t>Spring 2026</t>
        </is>
      </c>
      <c r="D27" s="78" t="inlineStr">
        <is>
          <t>Fadell</t>
        </is>
      </c>
      <c r="E27" s="79">
        <f>HYPERLINK("https://drive.google.com/file/d/1EHnsY3ZF-i5_2B2iQwCfhMnBr9e57G4X/view","▶  Watch")</f>
        <v/>
      </c>
      <c r="F27" s="78" t="inlineStr">
        <is>
          <t>NUR235 M11d2.mp4</t>
        </is>
      </c>
      <c r="G27" s="78"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3">
      <c r="A28" s="72" t="inlineStr">
        <is>
          <t>Module 12</t>
        </is>
      </c>
      <c r="B28" s="72" t="inlineStr">
        <is>
          <t>Day 1</t>
        </is>
      </c>
      <c r="C28" s="73" t="inlineStr">
        <is>
          <t>Spring 2026</t>
        </is>
      </c>
      <c r="D28" s="73" t="inlineStr">
        <is>
          <t>Fadell</t>
        </is>
      </c>
      <c r="E28" s="74">
        <f>HYPERLINK("https://drive.google.com/file/d/1AEBfWcK7bCeZpj11ndmTYUdt9P_0AiuP/view","▶  Watch")</f>
        <v/>
      </c>
      <c r="F28" s="73" t="inlineStr">
        <is>
          <t>NUR235 M12d1.mp4</t>
        </is>
      </c>
      <c r="G28" s="7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3">
      <c r="A29" s="76" t="inlineStr">
        <is>
          <t>Module 12</t>
        </is>
      </c>
      <c r="B29" s="76" t="inlineStr">
        <is>
          <t>Day 2</t>
        </is>
      </c>
      <c r="C29" s="73" t="inlineStr">
        <is>
          <t>Spring 2026</t>
        </is>
      </c>
      <c r="D29" s="78" t="inlineStr">
        <is>
          <t>Fadell</t>
        </is>
      </c>
      <c r="E29" s="79">
        <f>HYPERLINK("https://drive.google.com/file/d/1gotI7xgoH5xvWNyZfCTLevKg4FZ29tDH/view","▶  Watch")</f>
        <v/>
      </c>
      <c r="F29" s="78" t="inlineStr">
        <is>
          <t>NUR235 M12d2.mp4</t>
        </is>
      </c>
      <c r="G29" s="78"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3">
      <c r="A30" s="72" t="inlineStr">
        <is>
          <t>Module 13</t>
        </is>
      </c>
      <c r="B30" s="72" t="inlineStr">
        <is>
          <t>Day 1</t>
        </is>
      </c>
      <c r="C30" s="73" t="inlineStr">
        <is>
          <t>Spring 2026</t>
        </is>
      </c>
      <c r="D30" s="73" t="inlineStr">
        <is>
          <t>Fadell</t>
        </is>
      </c>
      <c r="E30" s="74">
        <f>HYPERLINK("https://drive.google.com/file/d/1rhpS77OIMEqr6sA63U0xa-HomMkKMa-V/view","▶  Watch")</f>
        <v/>
      </c>
      <c r="F30" s="73" t="inlineStr">
        <is>
          <t>NUR235 M13d1.mp4</t>
        </is>
      </c>
      <c r="G30" s="7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3">
      <c r="A31" s="76" t="inlineStr">
        <is>
          <t>Module 13</t>
        </is>
      </c>
      <c r="B31" s="76" t="inlineStr">
        <is>
          <t>Day 2</t>
        </is>
      </c>
      <c r="C31" s="73" t="inlineStr">
        <is>
          <t>Spring 2026</t>
        </is>
      </c>
      <c r="D31" s="78" t="inlineStr">
        <is>
          <t>Fadell</t>
        </is>
      </c>
      <c r="E31" s="79">
        <f>HYPERLINK("https://drive.google.com/file/d/11NU0OBr1x-oT03jwejIFgD4mUQ7KhmtM/view","▶  Watch")</f>
        <v/>
      </c>
      <c r="F31" s="78" t="inlineStr">
        <is>
          <t>NUR235 M13d2.mp4</t>
        </is>
      </c>
      <c r="G31" s="78"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3">
      <c r="A32" s="76" t="inlineStr">
        <is>
          <t>Module 14</t>
        </is>
      </c>
      <c r="B32" s="76" t="inlineStr">
        <is>
          <t>Day 1</t>
        </is>
      </c>
      <c r="C32" s="73" t="inlineStr">
        <is>
          <t>Spring 2026</t>
        </is>
      </c>
      <c r="D32" s="78" t="inlineStr">
        <is>
          <t>Fadell</t>
        </is>
      </c>
      <c r="E32" s="79">
        <f>HYPERLINK("https://drive.google.com/file/d/1Xd7riWCGJ-FYd7Jt2c7Q50Hz92ww5hpw/view","▶  Watch")</f>
        <v/>
      </c>
      <c r="F32" s="78" t="n"/>
      <c r="G32" s="78"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3">
      <c r="A33" s="76" t="inlineStr">
        <is>
          <t>Module 14</t>
        </is>
      </c>
      <c r="B33" s="76" t="inlineStr">
        <is>
          <t>Day 2</t>
        </is>
      </c>
      <c r="C33" s="73" t="inlineStr">
        <is>
          <t>Spring 2026</t>
        </is>
      </c>
      <c r="D33" s="78" t="inlineStr">
        <is>
          <t>Fadell</t>
        </is>
      </c>
      <c r="E33" s="78" t="n"/>
      <c r="F33" s="78" t="n"/>
      <c r="G33" s="78"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68" t="inlineStr">
        <is>
          <t>NUR235  ·  Fuller</t>
        </is>
      </c>
    </row>
    <row r="2">
      <c r="A2" s="7" t="inlineStr">
        <is>
          <t>NUR234</t>
        </is>
      </c>
      <c r="B2" s="10" t="inlineStr">
        <is>
          <t>NUR235</t>
        </is>
      </c>
      <c r="C2" s="7" t="inlineStr">
        <is>
          <t>NUR258</t>
        </is>
      </c>
      <c r="D2" s="12" t="inlineStr">
        <is>
          <t>🏠 START HERE</t>
        </is>
      </c>
      <c r="E2" s="21" t="inlineStr">
        <is>
          <t>📥 Sort me</t>
        </is>
      </c>
      <c r="F2" s="14" t="n"/>
      <c r="G2" s="14" t="n"/>
    </row>
    <row r="3">
      <c r="A3" s="24" t="inlineStr">
        <is>
          <t>Fadell</t>
        </is>
      </c>
      <c r="B3" s="24" t="inlineStr">
        <is>
          <t>Fuller</t>
        </is>
      </c>
      <c r="C3" s="24" t="inlineStr">
        <is>
          <t>Exam Reviews</t>
        </is>
      </c>
      <c r="D3" s="24" t="n"/>
      <c r="E3" s="32" t="n"/>
      <c r="F3" s="14" t="n"/>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70" t="inlineStr">
        <is>
          <t>Module</t>
        </is>
      </c>
      <c r="B5" s="70" t="inlineStr">
        <is>
          <t>Day</t>
        </is>
      </c>
      <c r="C5" s="70" t="inlineStr">
        <is>
          <t>Date</t>
        </is>
      </c>
      <c r="D5" s="70" t="inlineStr">
        <is>
          <t>Lecturer</t>
        </is>
      </c>
      <c r="E5" s="70" t="inlineStr">
        <is>
          <t>Recording</t>
        </is>
      </c>
      <c r="F5" s="70" t="inlineStr">
        <is>
          <t>File</t>
        </is>
      </c>
      <c r="G5" s="70" t="inlineStr">
        <is>
          <t>Notes</t>
        </is>
      </c>
    </row>
    <row r="6">
      <c r="A6" s="72" t="inlineStr">
        <is>
          <t>Module 1</t>
        </is>
      </c>
      <c r="B6" s="72" t="inlineStr">
        <is>
          <t>Weekly lecture</t>
        </is>
      </c>
      <c r="C6" s="73" t="inlineStr">
        <is>
          <t>Fall 2026</t>
        </is>
      </c>
      <c r="D6" s="73" t="inlineStr">
        <is>
          <t>Fuller</t>
        </is>
      </c>
      <c r="E6" s="74">
        <f>HYPERLINK("https://drive.google.com/file/d/1GlaHvD23YFvTD18u35eRDP7UPtDT4rzC/view","▶  Watch")</f>
        <v/>
      </c>
      <c r="F6" s="73" t="inlineStr">
        <is>
          <t>Fuller M1.mp4</t>
        </is>
      </c>
      <c r="G6" s="73" t="inlineStr">
        <is>
          <t>Intro to pediatric nursing. Also filed as NUR235_Fall2026_Fuller_Wk01 in the NUR 235 videos folder</t>
        </is>
      </c>
    </row>
    <row r="7">
      <c r="A7" s="72" t="inlineStr">
        <is>
          <t>Module 1</t>
        </is>
      </c>
      <c r="B7" s="72" t="inlineStr">
        <is>
          <t>Module recording</t>
        </is>
      </c>
      <c r="C7" s="73" t="inlineStr">
        <is>
          <t>Fall 2026</t>
        </is>
      </c>
      <c r="D7" s="73" t="inlineStr">
        <is>
          <t>Fuller</t>
        </is>
      </c>
      <c r="E7" s="74">
        <f>HYPERLINK("https://drive.google.com/file/d/15dl0VLLa6YnG3voHKOp-LPls4SIQHGSw/view","▶  Watch")</f>
        <v/>
      </c>
      <c r="F7" s="73" t="inlineStr">
        <is>
          <t>NUR235_Fall2026_Fuller_Wk01_DayNA_Welcome to Pediatrics - asynchronous intro.mp4</t>
        </is>
      </c>
      <c r="G7" s="73" t="inlineStr">
        <is>
          <t>Welcome to Pediatrics - asynchronous intro (17 MB). Fuller's asynchronous module recording from Canvas (you confirmed the speaker on 6 Oct). Drive name: NUR235_Fall2026_Fuller_Wk01_DayNA_Welcome to Pediatrics - asynchronous intro.mp4</t>
        </is>
      </c>
    </row>
    <row r="8">
      <c r="A8" s="72" t="inlineStr">
        <is>
          <t>Module 1</t>
        </is>
      </c>
      <c r="B8" s="72" t="inlineStr">
        <is>
          <t>Module recording</t>
        </is>
      </c>
      <c r="C8" s="73" t="inlineStr">
        <is>
          <t>Fall 2026</t>
        </is>
      </c>
      <c r="D8" s="73" t="inlineStr">
        <is>
          <t>Fuller</t>
        </is>
      </c>
      <c r="E8" s="74">
        <f>HYPERLINK("https://drive.google.com/file/d/1fJLn19IQy4UrXQyJPa1NC6NoDHvC73Ja/view","▶  Watch")</f>
        <v/>
      </c>
      <c r="F8" s="73" t="inlineStr">
        <is>
          <t>NUR235_Fall2026_Fuller_Wk01_DayNA_Hospitalization of the child.mp4</t>
        </is>
      </c>
      <c r="G8" s="73" t="inlineStr">
        <is>
          <t>Hospitalization of the child. Fuller's asynchronous module recording from Canvas (you confirmed the speaker on 6 Oct). Drive name: NUR235_Fall2026_Fuller_Wk01_DayNA_Hospitalization of the child.mp4</t>
        </is>
      </c>
    </row>
    <row r="9">
      <c r="A9" s="76" t="inlineStr">
        <is>
          <t>Module 2</t>
        </is>
      </c>
      <c r="B9" s="76" t="inlineStr">
        <is>
          <t>Weekly lecture</t>
        </is>
      </c>
      <c r="C9" s="73" t="inlineStr">
        <is>
          <t>Fall 2026</t>
        </is>
      </c>
      <c r="D9" s="78" t="inlineStr">
        <is>
          <t>Fuller</t>
        </is>
      </c>
      <c r="E9" s="79">
        <f>HYPERLINK("https://drive.google.com/file/d/1LlXr19xnRaDRvh2CaY0NTa5m33OeLVNw/view","▶  Watch")</f>
        <v/>
      </c>
      <c r="F9" s="78" t="inlineStr">
        <is>
          <t>NUR235_Fall2026_Fuller_Wk02_DayNA_Week 2 Check-In.mp4</t>
        </is>
      </c>
      <c r="G9" s="78" t="inlineStr">
        <is>
          <t>Week 2 check-in. Replaces NUR235_Fall2026_Fuller_Wk02_DayNA_Week 2 Check-In.mp4, which was one of two Week 2 recordings swapped out. The Module 2 async recording "Nursing care of the infant" is on the Lectures page of the study hub.</t>
        </is>
      </c>
    </row>
    <row r="10">
      <c r="A10" s="76" t="inlineStr">
        <is>
          <t>Module 2</t>
        </is>
      </c>
      <c r="B10" s="76" t="inlineStr">
        <is>
          <t>Module recording</t>
        </is>
      </c>
      <c r="C10" s="73" t="inlineStr">
        <is>
          <t>Fall 2026</t>
        </is>
      </c>
      <c r="D10" s="78" t="inlineStr">
        <is>
          <t>Fuller</t>
        </is>
      </c>
      <c r="E10" s="79">
        <f>HYPERLINK("https://drive.google.com/file/d/1TSnKc08spggBEKh7_RN-rLtAM4sXgiUa/view","▶  Watch")</f>
        <v/>
      </c>
      <c r="F10" s="78" t="inlineStr">
        <is>
          <t>NUR235_Fall2026_Fuller_Wk02_DayNA_Nursing care of the infant.mp4</t>
        </is>
      </c>
      <c r="G10" s="78" t="inlineStr">
        <is>
          <t>Nursing care of the infant. Fuller's asynchronous module recording from Canvas (you confirmed the speaker on 6 Oct). Drive name: NUR235_Fall2026_Fuller_Wk02_DayNA_Nursing care of the infant.mp4</t>
        </is>
      </c>
    </row>
    <row r="11" ht="15.75" customHeight="1" s="113">
      <c r="A11" s="72" t="inlineStr">
        <is>
          <t>Module 3</t>
        </is>
      </c>
      <c r="B11" s="76" t="inlineStr">
        <is>
          <t>Day 2</t>
        </is>
      </c>
      <c r="C11" s="73" t="inlineStr">
        <is>
          <t>Fall 2026</t>
        </is>
      </c>
      <c r="D11" s="73" t="inlineStr">
        <is>
          <t>Fuller</t>
        </is>
      </c>
      <c r="E11" s="79">
        <f>HYPERLINK("https://drive.google.com/file/d/1RjXD0xUWwGcmDpw7ZUi0zt7dieR3uJpd/view","▶  Watch")</f>
        <v/>
      </c>
      <c r="F11" s="78" t="inlineStr">
        <is>
          <t>NUR235_Fall2026_Fuller_Wk03_Day2_Nursing care of the toddler and preschooler.mp4</t>
        </is>
      </c>
      <c r="G11" s="78"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3">
      <c r="A12" s="72" t="inlineStr">
        <is>
          <t>Module 3</t>
        </is>
      </c>
      <c r="B12" s="76" t="inlineStr">
        <is>
          <t>Module recording</t>
        </is>
      </c>
      <c r="C12" s="73" t="inlineStr">
        <is>
          <t>Fall 2026</t>
        </is>
      </c>
      <c r="D12" s="73" t="inlineStr">
        <is>
          <t>Fuller</t>
        </is>
      </c>
      <c r="E12" s="79">
        <f>HYPERLINK("https://drive.google.com/file/d/1tOcKhZCsw3oc69Qp6xf5DqfMuYK58FyP/view","▶  Watch")</f>
        <v/>
      </c>
      <c r="F12" s="78" t="inlineStr">
        <is>
          <t>NUR235_Fall2026_Fuller_Wk03_DayNA_Nursing care of the toddler and preschooler.mp4</t>
        </is>
      </c>
      <c r="G12" s="78" t="inlineStr">
        <is>
          <t>Nursing care of the toddler and preschooler. Fuller's asynchronous module recording from Canvas (you confirmed the speaker on 6 Oct). Drive name: NUR235_Fall2026_Fuller_Wk03_DayNA_Nursing care of the toddler and preschooler.mp4</t>
        </is>
      </c>
    </row>
    <row r="13" ht="15.75" customHeight="1" s="113">
      <c r="A13" s="72" t="inlineStr">
        <is>
          <t>Module 4</t>
        </is>
      </c>
      <c r="B13" s="72" t="inlineStr">
        <is>
          <t>Module recording</t>
        </is>
      </c>
      <c r="C13" s="73" t="inlineStr">
        <is>
          <t>Fall 2026</t>
        </is>
      </c>
      <c r="D13" s="73" t="inlineStr">
        <is>
          <t>Fuller</t>
        </is>
      </c>
      <c r="E13" s="74">
        <f>HYPERLINK("https://drive.google.com/file/d/1yKIp1Ax7rc6hq5SdtPg0eF5OQfgt65jS/view","▶  Watch")</f>
        <v/>
      </c>
      <c r="F13" s="73" t="inlineStr">
        <is>
          <t>NUR235_Fall2026_Fuller_Wk04_DayNA_School-age and adolescent.mp4</t>
        </is>
      </c>
      <c r="G13" s="81" t="inlineStr">
        <is>
          <t>School-age and adolescent. Fuller's asynchronous module recording from Canvas (you confirmed the speaker on 6 Oct). Drive name: NUR235_Fall2026_Fuller_Wk04_DayNA_School-age and adolescent.mp4</t>
        </is>
      </c>
    </row>
    <row r="14" ht="15.75" customHeight="1" s="113">
      <c r="A14" s="76" t="inlineStr">
        <is>
          <t>Module 5</t>
        </is>
      </c>
      <c r="B14" s="76" t="inlineStr">
        <is>
          <t>Module recording</t>
        </is>
      </c>
      <c r="C14" s="73" t="inlineStr">
        <is>
          <t>Fall 2026</t>
        </is>
      </c>
      <c r="D14" s="78" t="inlineStr">
        <is>
          <t>Fuller</t>
        </is>
      </c>
      <c r="E14" s="79">
        <f>HYPERLINK("https://drive.google.com/file/d/1s2XIaXweDh5t0QGPkm-FArc_8CH0iaPK/view","▶  Watch")</f>
        <v/>
      </c>
      <c r="F14" s="78" t="inlineStr">
        <is>
          <t>NUR235_Fall2026_Fuller_Wk05_DayNA_Hematology and childhood neoplasms.mp4</t>
        </is>
      </c>
      <c r="G14" s="78" t="inlineStr">
        <is>
          <t>Hematology and childhood neoplasms. Fuller's asynchronous module recording from Canvas (you confirmed the speaker on 6 Oct). Drive name: NUR235_Fall2026_Fuller_Wk05_DayNA_Hematology and childhood neoplasms.mp4</t>
        </is>
      </c>
    </row>
    <row r="15" ht="15.75" customHeight="1" s="113">
      <c r="A15" s="76" t="inlineStr">
        <is>
          <t>Module 6</t>
        </is>
      </c>
      <c r="B15" s="76" t="inlineStr">
        <is>
          <t>Module recording</t>
        </is>
      </c>
      <c r="C15" s="73" t="inlineStr">
        <is>
          <t>Fall 2026</t>
        </is>
      </c>
      <c r="D15" s="78" t="inlineStr">
        <is>
          <t>Fuller</t>
        </is>
      </c>
      <c r="E15" s="79">
        <f>HYPERLINK("https://drive.google.com/file/d/1D874qmiQiZH5lta1iGvjYgZuw89Ap8Hv/view","▶  Watch")</f>
        <v/>
      </c>
      <c r="F15" s="78" t="inlineStr">
        <is>
          <t>NUR235_Fall2026_Fuller_Wk06_DayNA_Immune and infectious disorders.mp4</t>
        </is>
      </c>
      <c r="G15" s="78" t="inlineStr">
        <is>
          <t>Immune and infectious disorders. Fuller's asynchronous module recording from Canvas (you confirmed the speaker on 6 Oct). Drive name: NUR235_Fall2026_Fuller_Wk06_DayNA_Immune and infectious disorders.mp4</t>
        </is>
      </c>
    </row>
    <row r="16" ht="15.75" customHeight="1" s="113">
      <c r="A16" s="72" t="inlineStr">
        <is>
          <t>Module 7</t>
        </is>
      </c>
      <c r="B16" s="72" t="inlineStr">
        <is>
          <t>Module recording</t>
        </is>
      </c>
      <c r="C16" s="73" t="inlineStr">
        <is>
          <t>Fall 2026</t>
        </is>
      </c>
      <c r="D16" s="73" t="inlineStr">
        <is>
          <t>Fuller</t>
        </is>
      </c>
      <c r="E16" s="74">
        <f>HYPERLINK("https://drive.google.com/file/d/1jR3en5teZqX5G5iW1lLpJjqkuuBU5Go1/view","▶  Watch")</f>
        <v/>
      </c>
      <c r="F16" s="73" t="inlineStr">
        <is>
          <t>NUR235_Fall2026_Fuller_Wk07_DayNA_Neurologic and neuromuscular.mp4</t>
        </is>
      </c>
      <c r="G16" s="73" t="inlineStr">
        <is>
          <t>Neurologic and neuromuscular. Fuller's asynchronous module recording from Canvas (you confirmed the speaker on 6 Oct). Drive name: NUR235_Fall2026_Fuller_Wk07_DayNA_Neurologic and neuromuscular.mp4</t>
        </is>
      </c>
    </row>
    <row r="17" ht="15.75" customHeight="1" s="113">
      <c r="A17" s="76" t="inlineStr">
        <is>
          <t>Module 8</t>
        </is>
      </c>
      <c r="B17" s="76" t="inlineStr">
        <is>
          <t>Module recording</t>
        </is>
      </c>
      <c r="C17" s="73" t="inlineStr">
        <is>
          <t>Fall 2026</t>
        </is>
      </c>
      <c r="D17" s="78" t="inlineStr">
        <is>
          <t>Fuller</t>
        </is>
      </c>
      <c r="E17" s="79">
        <f>HYPERLINK("https://drive.google.com/file/d/1swgiP1NKBL7E7FD08zoBzhX_ZiDsVBam/view","▶  Watch")</f>
        <v/>
      </c>
      <c r="F17" s="78" t="inlineStr">
        <is>
          <t>NUR235_Fall2026_Fuller_Wk08_DayNA_Respiratory.mp4</t>
        </is>
      </c>
      <c r="G17" s="78" t="inlineStr">
        <is>
          <t>Respiratory. Fuller's asynchronous module recording from Canvas (you confirmed the speaker on 6 Oct). Drive name: NUR235_Fall2026_Fuller_Wk08_DayNA_Respiratory.mp4</t>
        </is>
      </c>
    </row>
    <row r="18" ht="15.75" customHeight="1" s="113">
      <c r="A18" s="72" t="inlineStr">
        <is>
          <t>Module 9</t>
        </is>
      </c>
      <c r="B18" s="72" t="inlineStr">
        <is>
          <t>Module recording</t>
        </is>
      </c>
      <c r="C18" s="73" t="inlineStr">
        <is>
          <t>Fall 2026</t>
        </is>
      </c>
      <c r="D18" s="73" t="inlineStr">
        <is>
          <t>Fuller</t>
        </is>
      </c>
      <c r="E18" s="74">
        <f>HYPERLINK("https://drive.google.com/file/d/1AifHN2lCUw2D1ALY7zSTL1e-4SweDFOZ/view","▶  Watch")</f>
        <v/>
      </c>
      <c r="F18" s="73" t="inlineStr">
        <is>
          <t>NUR235_Fall2026_Fuller_Wk09_DayNA_Cardiac.mp4</t>
        </is>
      </c>
      <c r="G18" s="73" t="inlineStr">
        <is>
          <t>Cardiac. Fuller's asynchronous module recording from Canvas (you confirmed the speaker on 6 Oct). Drive name: NUR235_Fall2026_Fuller_Wk09_DayNA_Cardiac.mp4</t>
        </is>
      </c>
    </row>
    <row r="19" ht="15.75" customHeight="1" s="113">
      <c r="A19" s="72" t="inlineStr">
        <is>
          <t>Module 9</t>
        </is>
      </c>
      <c r="B19" s="72" t="inlineStr">
        <is>
          <t>Module recording</t>
        </is>
      </c>
      <c r="C19" s="73" t="inlineStr">
        <is>
          <t>Fall 2026</t>
        </is>
      </c>
      <c r="D19" s="73" t="inlineStr">
        <is>
          <t>Not named</t>
        </is>
      </c>
      <c r="E19" s="118">
        <f>HYPERLINK("https://drive.google.com/file/d/1dSjkJUDsUbKUwG7Hp9bX7pwpfvjjHMEX/view","▶  Watch")</f>
        <v/>
      </c>
      <c r="F19" s="73" t="inlineStr">
        <is>
          <t>NUR235_Fall2026_Unknown_Wk09_DayNA_Laying the Foundation for CHD - congenital heart disease (topic from the title and speech index).mp4</t>
        </is>
      </c>
      <c r="G19" s="7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72" t="inlineStr">
        <is>
          <t>Module 10</t>
        </is>
      </c>
      <c r="B20" s="72" t="inlineStr">
        <is>
          <t>Module recording</t>
        </is>
      </c>
      <c r="C20" s="73" t="inlineStr">
        <is>
          <t>Fall 2026</t>
        </is>
      </c>
      <c r="D20" s="73" t="inlineStr">
        <is>
          <t>Fuller</t>
        </is>
      </c>
      <c r="E20" s="74">
        <f>HYPERLINK("https://drive.google.com/file/d/16EwUYszRhsvigOAsEeVYTPSjMaT_rU-o/view","▶  Watch")</f>
        <v/>
      </c>
      <c r="F20" s="73" t="inlineStr">
        <is>
          <t>NUR235_Fall2026_Fuller_Wk10_DayNA_Musculoskeletal.mp4</t>
        </is>
      </c>
      <c r="G20" s="73" t="inlineStr">
        <is>
          <t>Musculoskeletal. Fuller's asynchronous module recording from Canvas (you confirmed the speaker on 6 Oct). Drive name: NUR235_Fall2026_Fuller_Wk10_DayNA_Musculoskeletal.mp4</t>
        </is>
      </c>
    </row>
    <row r="21" ht="15.75" customHeight="1" s="113">
      <c r="A21" s="76" t="inlineStr">
        <is>
          <t>Module 11</t>
        </is>
      </c>
      <c r="B21" s="76" t="inlineStr">
        <is>
          <t>Module recording</t>
        </is>
      </c>
      <c r="C21" s="73" t="inlineStr">
        <is>
          <t>Fall 2026</t>
        </is>
      </c>
      <c r="D21" s="78" t="inlineStr">
        <is>
          <t>Fuller</t>
        </is>
      </c>
      <c r="E21" s="79">
        <f>HYPERLINK("https://drive.google.com/file/d/133wvGtArpMkxl4khAoNhoauyza9hWRvo/view","▶  Watch")</f>
        <v/>
      </c>
      <c r="F21" s="78" t="inlineStr">
        <is>
          <t>NUR235_Fall2026_Fuller_Wk11_DayNA_Endocrine and metabolic.mp4</t>
        </is>
      </c>
      <c r="G21" s="78" t="inlineStr">
        <is>
          <t>Endocrine and metabolic. Fuller's asynchronous module recording from Canvas (you confirmed the speaker on 6 Oct). Drive name: NUR235_Fall2026_Fuller_Wk11_DayNA_Endocrine and metabolic.mp4</t>
        </is>
      </c>
    </row>
    <row r="22" ht="15.75" customHeight="1" s="113">
      <c r="A22" s="72" t="inlineStr">
        <is>
          <t>Module 12</t>
        </is>
      </c>
      <c r="B22" s="72" t="inlineStr">
        <is>
          <t>Module recording</t>
        </is>
      </c>
      <c r="C22" s="73" t="inlineStr">
        <is>
          <t>Fall 2026</t>
        </is>
      </c>
      <c r="D22" s="73" t="inlineStr">
        <is>
          <t>Fuller</t>
        </is>
      </c>
      <c r="E22" s="74">
        <f>HYPERLINK("https://drive.google.com/file/d/1kqvvmD470PE4FpYVJuWQyjF_jkmS0qIa/view","▶  Watch")</f>
        <v/>
      </c>
      <c r="F22" s="73" t="inlineStr">
        <is>
          <t>NUR235_Fall2026_Fuller_Wk12_DayNA_Gastrointestinal.mp4</t>
        </is>
      </c>
      <c r="G22" s="81" t="inlineStr">
        <is>
          <t>Gastrointestinal. Fuller's asynchronous module recording from Canvas (you confirmed the speaker on 6 Oct). Drive name: NUR235_Fall2026_Fuller_Wk12_DayNA_Gastrointestinal.mp4</t>
        </is>
      </c>
    </row>
    <row r="23" ht="15.75" customHeight="1" s="113">
      <c r="A23" s="72" t="inlineStr">
        <is>
          <t>Module 13</t>
        </is>
      </c>
      <c r="B23" s="72" t="inlineStr">
        <is>
          <t>Module recording</t>
        </is>
      </c>
      <c r="C23" s="73" t="inlineStr">
        <is>
          <t>Fall 2026</t>
        </is>
      </c>
      <c r="D23" s="73" t="inlineStr">
        <is>
          <t>Fuller</t>
        </is>
      </c>
      <c r="E23" s="74">
        <f>HYPERLINK("https://drive.google.com/file/d/1-BkPOxpFIbj2aeyDnLvIS87yyEX4_wsw/view","▶  Watch")</f>
        <v/>
      </c>
      <c r="F23" s="73" t="inlineStr">
        <is>
          <t>NUR235_Fall2026_Fuller_Wk13_DayNA_Renal and genitourinary.mp4</t>
        </is>
      </c>
      <c r="G23" s="73" t="inlineStr">
        <is>
          <t>Renal and genitourinary. Fuller's asynchronous module recording from Canvas (you confirmed the speaker on 6 Oct). Drive name: NUR235_Fall2026_Fuller_Wk13_DayNA_Renal and genitourinary.mp4</t>
        </is>
      </c>
    </row>
    <row r="24" ht="15.75" customHeight="1" s="113">
      <c r="A24" s="76" t="inlineStr">
        <is>
          <t>Module 14</t>
        </is>
      </c>
      <c r="B24" s="76" t="inlineStr">
        <is>
          <t>Module recording</t>
        </is>
      </c>
      <c r="C24" s="73" t="inlineStr">
        <is>
          <t>Fall 2026</t>
        </is>
      </c>
      <c r="D24" s="78" t="inlineStr">
        <is>
          <t>Fuller</t>
        </is>
      </c>
      <c r="E24" s="79">
        <f>HYPERLINK("https://drive.google.com/file/d/1pvRIoJTyknef4TVk57Ajdng5oGCH5EHt/view","▶  Watch")</f>
        <v/>
      </c>
      <c r="F24" s="78" t="inlineStr">
        <is>
          <t>NUR235_Fall2026_Fuller_Wk14_DayNA_Final exam prep.mp4</t>
        </is>
      </c>
      <c r="G24" s="78" t="inlineStr">
        <is>
          <t>Final exam prep. Fuller's asynchronous module recording from Canvas (you confirmed the speaker on 6 Oct). Drive name: NUR235_Fall2026_Fuller_Wk14_DayNA_Final exam prep.mp4</t>
        </is>
      </c>
    </row>
    <row r="25" ht="15.75" customHeight="1" s="113">
      <c r="A25" s="76" t="n"/>
      <c r="B25" s="76" t="n"/>
      <c r="C25" s="73" t="n"/>
      <c r="D25" s="78" t="n"/>
      <c r="E25" s="79" t="n"/>
      <c r="F25" s="78" t="n"/>
      <c r="G25" s="78" t="n"/>
    </row>
    <row r="26" ht="15.75" customHeight="1" s="113">
      <c r="A26" s="72" t="n"/>
      <c r="B26" s="72" t="n"/>
      <c r="C26" s="73" t="n"/>
      <c r="D26" s="73" t="n"/>
      <c r="E26" s="74" t="n"/>
      <c r="F26" s="73" t="n"/>
      <c r="G26" s="73" t="n"/>
    </row>
    <row r="27" ht="15.75" customHeight="1" s="113">
      <c r="A27" s="76" t="n"/>
      <c r="B27" s="76" t="n"/>
      <c r="C27" s="73" t="n"/>
      <c r="D27" s="78" t="n"/>
      <c r="E27" s="79" t="n"/>
      <c r="F27" s="78" t="n"/>
      <c r="G27" s="78" t="n"/>
    </row>
    <row r="28" ht="15.75" customHeight="1" s="113">
      <c r="A28" s="76" t="n"/>
      <c r="B28" s="76" t="n"/>
      <c r="C28" s="73" t="n"/>
      <c r="D28" s="78" t="n"/>
      <c r="E28" s="79" t="n"/>
      <c r="F28" s="78" t="n"/>
      <c r="G28" s="78" t="n"/>
    </row>
    <row r="29" ht="15.75" customHeight="1" s="113">
      <c r="A29" s="72" t="n"/>
      <c r="B29" s="72" t="n"/>
      <c r="C29" s="73" t="n"/>
      <c r="D29" s="73" t="n"/>
      <c r="E29" s="74" t="n"/>
      <c r="F29" s="73" t="n"/>
      <c r="G29" s="73" t="n"/>
    </row>
    <row r="30" ht="15.75" customHeight="1" s="113">
      <c r="A30" s="76" t="n"/>
      <c r="B30" s="76" t="n"/>
      <c r="C30" s="73" t="n"/>
      <c r="D30" s="78" t="n"/>
      <c r="E30" s="79" t="n"/>
      <c r="F30" s="78" t="n"/>
      <c r="G30" s="78" t="n"/>
    </row>
    <row r="31" ht="15.75" customHeight="1" s="113">
      <c r="A31" s="72" t="n"/>
      <c r="B31" s="72" t="n"/>
      <c r="C31" s="73" t="n"/>
      <c r="D31" s="73" t="n"/>
      <c r="E31" s="74" t="n"/>
      <c r="F31" s="73" t="n"/>
      <c r="G31" s="73" t="n"/>
    </row>
    <row r="32" ht="15.75" customHeight="1" s="113">
      <c r="A32" s="72" t="n"/>
      <c r="B32" s="72" t="n"/>
      <c r="C32" s="73" t="n"/>
      <c r="D32" s="73" t="n"/>
      <c r="E32" s="74" t="n"/>
      <c r="F32" s="73" t="n"/>
      <c r="G32" s="73" t="n"/>
    </row>
    <row r="33" ht="15.75" customHeight="1" s="113">
      <c r="A33" s="76" t="n"/>
      <c r="B33" s="76" t="n"/>
      <c r="C33" s="73" t="n"/>
      <c r="D33" s="78" t="n"/>
      <c r="E33" s="79" t="n"/>
      <c r="F33" s="78" t="n"/>
      <c r="G33" s="78" t="n"/>
    </row>
    <row r="34" ht="15.75" customHeight="1" s="113">
      <c r="A34" s="76" t="n"/>
      <c r="B34" s="76" t="n"/>
      <c r="C34" s="73" t="n"/>
      <c r="D34" s="78" t="n"/>
      <c r="E34" s="79" t="n"/>
      <c r="F34" s="78" t="n"/>
      <c r="G34" s="78" t="n"/>
    </row>
    <row r="35" ht="15.75" customHeight="1" s="113">
      <c r="A35" s="72" t="n"/>
      <c r="B35" s="72" t="n"/>
      <c r="C35" s="73" t="n"/>
      <c r="D35" s="73" t="n"/>
      <c r="E35" s="74" t="n"/>
      <c r="F35" s="73" t="n"/>
      <c r="G35" s="73" t="n"/>
    </row>
    <row r="36" ht="15.75" customHeight="1" s="113">
      <c r="A36" s="76" t="n"/>
      <c r="B36" s="76" t="n"/>
      <c r="C36" s="73" t="n"/>
      <c r="D36" s="78" t="n"/>
      <c r="E36" s="79" t="n"/>
      <c r="F36" s="78" t="n"/>
      <c r="G36" s="78" t="n"/>
    </row>
    <row r="37" ht="15.75" customHeight="1" s="113">
      <c r="A37" s="72" t="n"/>
      <c r="B37" s="72" t="n"/>
      <c r="C37" s="73" t="n"/>
      <c r="D37" s="73" t="n"/>
      <c r="E37" s="74" t="n"/>
      <c r="F37" s="73" t="n"/>
      <c r="G37" s="73" t="n"/>
    </row>
    <row r="38" ht="15.75" customHeight="1" s="113">
      <c r="A38" s="72" t="n"/>
      <c r="B38" s="72" t="n"/>
      <c r="C38" s="73" t="n"/>
      <c r="D38" s="73" t="n"/>
      <c r="E38" s="74" t="n"/>
      <c r="F38" s="73" t="n"/>
      <c r="G38" s="73" t="n"/>
    </row>
    <row r="39" ht="15.75" customHeight="1" s="113">
      <c r="A39" s="76" t="n"/>
      <c r="B39" s="76" t="n"/>
      <c r="C39" s="73" t="n"/>
      <c r="D39" s="78" t="n"/>
      <c r="E39" s="79" t="n"/>
      <c r="F39" s="78" t="n"/>
      <c r="G39" s="78" t="n"/>
    </row>
    <row r="40" ht="15.75" customHeight="1" s="113">
      <c r="A40" s="72" t="n"/>
      <c r="B40" s="72" t="n"/>
      <c r="C40" s="73" t="n"/>
      <c r="D40" s="73" t="n"/>
      <c r="E40" s="74" t="n"/>
      <c r="F40" s="73" t="n"/>
      <c r="G40" s="73" t="n"/>
    </row>
    <row r="41" ht="15.75" customHeight="1" s="113">
      <c r="A41" s="72" t="n"/>
      <c r="B41" s="72" t="n"/>
      <c r="C41" s="73" t="n"/>
      <c r="D41" s="73" t="n"/>
      <c r="E41" s="74" t="n"/>
      <c r="F41" s="73" t="n"/>
      <c r="G41" s="73" t="n"/>
    </row>
    <row r="42" ht="15.75" customHeight="1" s="113">
      <c r="A42" s="76" t="n"/>
      <c r="B42" s="76" t="n"/>
      <c r="C42" s="73" t="n"/>
      <c r="D42" s="78" t="n"/>
      <c r="E42" s="79" t="n"/>
      <c r="F42" s="78" t="n"/>
      <c r="G42" s="78" t="n"/>
    </row>
    <row r="43" ht="15.75" customHeight="1" s="113">
      <c r="A43" s="76" t="n"/>
      <c r="B43" s="76" t="n"/>
      <c r="C43" s="73" t="n"/>
      <c r="D43" s="78" t="n"/>
      <c r="E43" s="79" t="n"/>
      <c r="F43" s="78" t="n"/>
      <c r="G43" s="78" t="n"/>
    </row>
    <row r="44" ht="15.75" customHeight="1" s="113">
      <c r="A44" s="72" t="n"/>
      <c r="B44" s="72" t="n"/>
      <c r="C44" s="73" t="n"/>
      <c r="D44" s="73" t="n"/>
      <c r="E44" s="74" t="n"/>
      <c r="F44" s="73" t="n"/>
      <c r="G44" s="73" t="n"/>
    </row>
    <row r="45" ht="15.75" customHeight="1" s="113">
      <c r="A45" s="76" t="n"/>
      <c r="B45" s="76" t="n"/>
      <c r="C45" s="73" t="n"/>
      <c r="D45" s="78" t="n"/>
      <c r="E45" s="79" t="n"/>
      <c r="F45" s="78" t="n"/>
      <c r="G45" s="78" t="n"/>
    </row>
    <row r="46" ht="15.75" customHeight="1" s="113">
      <c r="A46" s="72" t="n"/>
      <c r="B46" s="72" t="n"/>
      <c r="C46" s="73" t="n"/>
      <c r="D46" s="73" t="n"/>
      <c r="E46" s="74" t="n"/>
      <c r="F46" s="73" t="n"/>
      <c r="G46" s="81" t="n"/>
    </row>
    <row r="47" ht="15.75" customHeight="1" s="113">
      <c r="A47" s="72" t="n"/>
      <c r="B47" s="72" t="n"/>
      <c r="C47" s="73" t="n"/>
      <c r="D47" s="73" t="n"/>
      <c r="E47" s="74" t="n"/>
      <c r="F47" s="73" t="n"/>
      <c r="G47" s="73" t="n"/>
    </row>
    <row r="48" ht="15.75" customHeight="1" s="113">
      <c r="A48" s="76" t="n"/>
      <c r="B48" s="76" t="n"/>
      <c r="C48" s="73" t="n"/>
      <c r="D48" s="78" t="n"/>
      <c r="E48" s="79" t="n"/>
      <c r="F48" s="78" t="n"/>
      <c r="G48" s="78" t="n"/>
    </row>
    <row r="49" ht="15.75" customHeight="1" s="113">
      <c r="A49" s="72" t="n"/>
      <c r="B49" s="72" t="n"/>
      <c r="C49" s="73" t="n"/>
      <c r="D49" s="73" t="n"/>
      <c r="E49" s="74" t="n"/>
      <c r="F49" s="73" t="n"/>
      <c r="G49" s="73" t="n"/>
    </row>
    <row r="50" ht="15.75" customHeight="1" s="113">
      <c r="A50" s="76" t="n"/>
      <c r="B50" s="76" t="n"/>
      <c r="C50" s="73" t="n"/>
      <c r="D50" s="78" t="n"/>
      <c r="E50" s="79" t="n"/>
      <c r="F50" s="78" t="n"/>
      <c r="G50" s="78" t="n"/>
    </row>
    <row r="51" ht="15.75" customHeight="1" s="113">
      <c r="A51" s="76" t="n"/>
      <c r="B51" s="76" t="n"/>
      <c r="C51" s="73" t="n"/>
      <c r="D51" s="78" t="n"/>
      <c r="E51" s="78" t="n"/>
      <c r="F51" s="78" t="n"/>
      <c r="G51" s="78" t="n"/>
    </row>
    <row r="52" ht="15.75" customHeight="1" s="113">
      <c r="A52" s="76" t="n"/>
      <c r="B52" s="76" t="n"/>
      <c r="C52" s="73" t="n"/>
      <c r="D52" s="78" t="n"/>
      <c r="E52" s="79" t="n"/>
      <c r="F52" s="78" t="n"/>
      <c r="G52" s="78"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row r="1001">
      <c r="A1001" s="5" t="n"/>
      <c r="B1001" s="5" t="n"/>
      <c r="C1001" s="5" t="n"/>
      <c r="D1001" s="5" t="n"/>
      <c r="E1001" s="5" t="n"/>
      <c r="F1001" s="5" t="n"/>
      <c r="G1001"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30" customWidth="1" style="113" min="3" max="3"/>
    <col width="20" customWidth="1" style="113" min="4" max="4"/>
    <col width="44" customWidth="1" style="113" min="5" max="5"/>
    <col width="14.43" customWidth="1" style="113" min="6" max="6"/>
  </cols>
  <sheetData>
    <row r="1">
      <c r="A1" s="68" t="inlineStr">
        <is>
          <t>NUR235  ·  Exam Reviews</t>
        </is>
      </c>
      <c r="F1" s="5" t="n"/>
      <c r="G1" s="5" t="n"/>
    </row>
    <row r="2">
      <c r="A2" s="7" t="inlineStr">
        <is>
          <t>NUR234</t>
        </is>
      </c>
      <c r="B2" s="10" t="inlineStr">
        <is>
          <t>NUR235</t>
        </is>
      </c>
      <c r="C2" s="7" t="inlineStr">
        <is>
          <t>NUR258</t>
        </is>
      </c>
      <c r="D2" s="12" t="inlineStr">
        <is>
          <t>🏠 START HERE</t>
        </is>
      </c>
      <c r="E2" s="21" t="inlineStr">
        <is>
          <t>📥 Sort me</t>
        </is>
      </c>
      <c r="F2" s="5" t="n"/>
      <c r="G2" s="5" t="n"/>
    </row>
    <row r="3">
      <c r="A3" s="24" t="inlineStr">
        <is>
          <t>Fadell</t>
        </is>
      </c>
      <c r="B3" s="24" t="inlineStr">
        <is>
          <t>Fuller</t>
        </is>
      </c>
      <c r="C3" s="24" t="inlineStr">
        <is>
          <t>Exam Reviews</t>
        </is>
      </c>
      <c r="D3" s="24" t="n"/>
      <c r="E3" s="32" t="n"/>
      <c r="F3" s="5" t="n"/>
      <c r="G3" s="5" t="n"/>
    </row>
    <row r="4">
      <c r="A4" s="14" t="n"/>
      <c r="B4" s="14" t="n"/>
      <c r="C4" s="14" t="n"/>
      <c r="D4" s="14" t="n"/>
      <c r="E4" s="14" t="n"/>
      <c r="F4" s="5" t="n"/>
      <c r="G4" s="5" t="n"/>
    </row>
    <row r="5">
      <c r="A5" s="70" t="inlineStr">
        <is>
          <t>Exam</t>
        </is>
      </c>
      <c r="B5" s="70" t="inlineStr">
        <is>
          <t>Date</t>
        </is>
      </c>
      <c r="C5" s="70" t="inlineStr">
        <is>
          <t>Item</t>
        </is>
      </c>
      <c r="D5" s="70" t="inlineStr">
        <is>
          <t>Link</t>
        </is>
      </c>
      <c r="E5" s="70" t="inlineStr">
        <is>
          <t>Notes</t>
        </is>
      </c>
      <c r="F5" s="5" t="n"/>
      <c r="G5" s="5" t="n"/>
    </row>
    <row r="6">
      <c r="A6" s="76" t="inlineStr">
        <is>
          <t>Exam 1</t>
        </is>
      </c>
      <c r="B6" s="76" t="n"/>
      <c r="C6" s="78" t="inlineStr">
        <is>
          <t>Practice questions</t>
        </is>
      </c>
      <c r="D6" s="79">
        <f>HYPERLINK("https://drive.google.com/file/d/1Yv94xKT8ZGHW1GnrXWKFS0_AD8U-WOqr/view","📄  Open")</f>
        <v/>
      </c>
      <c r="E6" s="78" t="inlineStr">
        <is>
          <t>Exam prep sessions hosted by Hansen (Student Success Coach)</t>
        </is>
      </c>
      <c r="F6" s="5" t="n"/>
      <c r="G6" s="5" t="n"/>
    </row>
    <row r="7">
      <c r="A7" s="72" t="inlineStr">
        <is>
          <t>Exam 1</t>
        </is>
      </c>
      <c r="B7" s="72" t="inlineStr">
        <is>
          <t>Fall 2026</t>
        </is>
      </c>
      <c r="C7" s="74" t="inlineStr">
        <is>
          <t>▶  Watch</t>
        </is>
      </c>
      <c r="D7" s="74">
        <f>HYPERLINK("https://drive.google.com/file/d/1lqXPhN9o-ayC8BgLBvmGYn7pC1ZoGJDF/view?usp=drive_link","▶  Watch")</f>
        <v/>
      </c>
      <c r="E7" s="73" t="inlineStr">
        <is>
          <t>Exam prep session. Open = your Drive copy. Moved here from the NUR234 tab (it is a peds session)</t>
        </is>
      </c>
      <c r="F7" s="5" t="n"/>
      <c r="G7" s="5" t="n"/>
    </row>
    <row r="8">
      <c r="A8" s="76" t="inlineStr">
        <is>
          <t>Exam 1</t>
        </is>
      </c>
      <c r="B8" s="76" t="inlineStr">
        <is>
          <t>Fall 2026</t>
        </is>
      </c>
      <c r="C8" s="78" t="inlineStr">
        <is>
          <t>My materials - Safe medication dosing (screen recording)</t>
        </is>
      </c>
      <c r="D8" s="79">
        <f>HYPERLINK("https://drive.google.com/file/d/1m7ndwN9KgjnwxDNUhgTavtPSTIvYiiEv/view","▶  Watch")</f>
        <v/>
      </c>
      <c r="E8" s="78" t="inlineStr">
        <is>
          <t>NUR 235 Safe Medication Dosing.mp4 - recorded on your phone 1 Sep</t>
        </is>
      </c>
      <c r="F8" s="5" t="n"/>
      <c r="G8" s="5" t="n"/>
    </row>
    <row r="9">
      <c r="A9" s="76" t="inlineStr">
        <is>
          <t>Exam 1</t>
        </is>
      </c>
      <c r="B9" s="76" t="inlineStr">
        <is>
          <t>Fall 2026</t>
        </is>
      </c>
      <c r="C9" s="78" t="inlineStr">
        <is>
          <t>My materials - Sun 7 Sep 11:14 PM peds exam prep (screen recording)</t>
        </is>
      </c>
      <c r="D9" s="79">
        <f>HYPERLINK("https://drive.google.com/file/d/1JwaR3f16rJ4pRerDYTyBWV3275ec2DCK/view","▶  Watch")</f>
        <v/>
      </c>
      <c r="E9" s="78" t="inlineStr">
        <is>
          <t>Growth and development, medication, pain, practice questions - from the speech index. In the NUR 235 folder</t>
        </is>
      </c>
      <c r="F9" s="5" t="n"/>
      <c r="G9" s="5" t="n"/>
    </row>
    <row r="10">
      <c r="A10" s="76" t="inlineStr">
        <is>
          <t>Exam 1</t>
        </is>
      </c>
      <c r="B10" s="76" t="inlineStr">
        <is>
          <t>Fall 2026</t>
        </is>
      </c>
      <c r="C10" s="78" t="inlineStr">
        <is>
          <t>My materials - Wed 17 Sep 2:35 AM peds practice questions (screen recording)</t>
        </is>
      </c>
      <c r="D10" s="79">
        <f>HYPERLINK("https://drive.google.com/file/d/1Aj9UzswT3iwPQ9YpN-f-Ca7BmAncXFIh/view","▶  Watch")</f>
        <v/>
      </c>
      <c r="E10" s="78" t="inlineStr">
        <is>
          <t>Infant and child practice questions (topic from the speech index) - 171 MB</t>
        </is>
      </c>
      <c r="F10" s="5" t="n"/>
      <c r="G10" s="5" t="n"/>
    </row>
    <row r="11">
      <c r="A11" s="76" t="inlineStr">
        <is>
          <t>Exam 1</t>
        </is>
      </c>
      <c r="B11" s="76" t="inlineStr">
        <is>
          <t>Fall 2026</t>
        </is>
      </c>
      <c r="C11" s="78" t="inlineStr">
        <is>
          <t>Module 1 - Intro to peds, hospitalized child, growth and development, immunizations, practice questions (Sun 7 Sep 7:17 PM)</t>
        </is>
      </c>
      <c r="D11" s="79">
        <f>HYPERLINK("https://drive.google.com/file/d/1vx2gy4TweCACMsjHOHIBJhV7xVMkFfDb/view","▶  Watch")</f>
        <v/>
      </c>
      <c r="E11" s="78" t="inlineStr">
        <is>
          <t>Exam prep session (LSC). Screen recording, Sun 7 Sep 7:17 PM. Google's speech index hears 'LSC exam prep' in this one, so the lecturer is confirmed as far as the index can tell</t>
        </is>
      </c>
      <c r="F11" s="5" t="n"/>
      <c r="G11" s="5" t="n"/>
    </row>
    <row r="12">
      <c r="A12" s="76" t="inlineStr">
        <is>
          <t>Exam 1</t>
        </is>
      </c>
      <c r="B12" s="76" t="inlineStr">
        <is>
          <t>Fall 2026</t>
        </is>
      </c>
      <c r="C12" s="78" t="inlineStr">
        <is>
          <t>Module 2 - Infant and toddler growth and development, immunizations, fever (Mon 8 Sep 2:08 AM)</t>
        </is>
      </c>
      <c r="D12" s="79">
        <f>HYPERLINK("https://drive.google.com/file/d/1xlH3LNS4jnxUKkNFj0rgTvrMmIFk6tG1/view","▶  Watch")</f>
        <v/>
      </c>
      <c r="E12" s="78" t="inlineStr">
        <is>
          <t>Exam prep session (LSC). Screen recording, Mon 8 Sep 2:08 AM. Google's speech index hears 'LSC exam prep' in this one too</t>
        </is>
      </c>
      <c r="F12" s="5" t="n"/>
      <c r="G12" s="5" t="n"/>
    </row>
    <row r="13">
      <c r="A13" s="76" t="inlineStr">
        <is>
          <t>Exam 1</t>
        </is>
      </c>
      <c r="B13" s="76" t="inlineStr">
        <is>
          <t>Fall 2026</t>
        </is>
      </c>
      <c r="C13" s="78" t="inlineStr">
        <is>
          <t>Module 2 - Nursing Care of the Infant</t>
        </is>
      </c>
      <c r="D13" s="79">
        <f>HYPERLINK("https://drive.google.com/file/d/1rnhbgdN-mt_4c7fwFVRgm2TXVjH6JVBY/view","▶  Watch")</f>
        <v/>
      </c>
      <c r="E13" s="78" t="inlineStr">
        <is>
          <t>Exam prep session (LSC). LSC exam prep, 70:38</t>
        </is>
      </c>
      <c r="F13" s="5" t="n"/>
      <c r="G13" s="5" t="n"/>
    </row>
    <row r="14">
      <c r="A14" s="76" t="inlineStr">
        <is>
          <t>Exam 1</t>
        </is>
      </c>
      <c r="B14" s="76" t="inlineStr">
        <is>
          <t>Fall 2026</t>
        </is>
      </c>
      <c r="C14" s="78" t="inlineStr">
        <is>
          <t>Module 3 - Nursing Care of the Toddler</t>
        </is>
      </c>
      <c r="D14" s="79">
        <f>HYPERLINK("https://drive.google.com/file/d/1gor8Pva0hBizoWHTNGP6BUK0gag7HrY2/view","▶  Watch")</f>
        <v/>
      </c>
      <c r="E14" s="78" t="inlineStr">
        <is>
          <t>Exam prep session (LSC). LSC exam prep, 35:02</t>
        </is>
      </c>
      <c r="F14" s="5" t="n"/>
      <c r="G14" s="5" t="n"/>
    </row>
    <row r="15">
      <c r="A15" s="76" t="inlineStr">
        <is>
          <t>Exam 1</t>
        </is>
      </c>
      <c r="B15" s="76" t="inlineStr">
        <is>
          <t>Fall 2026</t>
        </is>
      </c>
      <c r="C15" s="78" t="inlineStr">
        <is>
          <t>Module 3 - Nursing Care of the Preschooler</t>
        </is>
      </c>
      <c r="D15" s="79">
        <f>HYPERLINK("https://drive.google.com/file/d/1rk1Ok5HDNRH6esJ__Z6BV1wZ5MEYUu1f/view","▶  Watch")</f>
        <v/>
      </c>
      <c r="E15" s="78" t="inlineStr">
        <is>
          <t>Exam prep session (LSC). LSC exam prep. A second capture of this one also exists</t>
        </is>
      </c>
      <c r="F15" s="5" t="n"/>
      <c r="G15" s="5" t="n"/>
    </row>
    <row r="16">
      <c r="A16" s="76" t="inlineStr">
        <is>
          <t>Exam 1</t>
        </is>
      </c>
      <c r="B16" s="76" t="inlineStr">
        <is>
          <t>Fall 2026</t>
        </is>
      </c>
      <c r="C16" s="78" t="inlineStr">
        <is>
          <t>Module 4 - Nursing Care of the School-Age Child</t>
        </is>
      </c>
      <c r="D16" s="79">
        <f>HYPERLINK("https://drive.google.com/file/d/1izfDnsJoLDnQhf55vmUe85stCusSDfP-/view","▶  Watch")</f>
        <v/>
      </c>
      <c r="E16" s="78" t="inlineStr">
        <is>
          <t>Exam prep session (LSC). LSC exam prep, 35:04</t>
        </is>
      </c>
      <c r="F16" s="5" t="n"/>
      <c r="G16" s="5" t="n"/>
    </row>
    <row r="17">
      <c r="A17" s="76" t="inlineStr">
        <is>
          <t>Exam 1</t>
        </is>
      </c>
      <c r="B17" s="76" t="inlineStr">
        <is>
          <t>Fall 2026</t>
        </is>
      </c>
      <c r="C17" s="78" t="inlineStr">
        <is>
          <t>Module 4 - Nursing Care of the Adolescent</t>
        </is>
      </c>
      <c r="D17" s="79">
        <f>HYPERLINK("https://drive.google.com/file/d/1EFH6k3BJu1rk1apemXXIl7p8HGaTZgoL/view","▶  Watch")</f>
        <v/>
      </c>
      <c r="E17" s="78" t="inlineStr">
        <is>
          <t>Exam prep session (LSC). LSC exam prep, 27:26</t>
        </is>
      </c>
      <c r="F17" s="5" t="n"/>
      <c r="G17" s="5" t="n"/>
    </row>
    <row r="18">
      <c r="A18" s="72" t="inlineStr">
        <is>
          <t>Exam 2</t>
        </is>
      </c>
      <c r="B18" s="72" t="inlineStr">
        <is>
          <t>Fall 2026</t>
        </is>
      </c>
      <c r="C18" s="73" t="inlineStr">
        <is>
          <t>Module 5 - Hematological Disorders</t>
        </is>
      </c>
      <c r="D18" s="86">
        <f>HYPERLINK("https://drive.google.com/file/d/1TU_OEMhcr4Z9bKg7Zn7S0Y000iNNdGhI/view","▶  Watch")</f>
        <v/>
      </c>
      <c r="E18" s="73" t="inlineStr">
        <is>
          <t>Exam prep session (LSC). LSC exam prep</t>
        </is>
      </c>
      <c r="F18" s="5" t="n"/>
      <c r="G18" s="5" t="n"/>
    </row>
    <row r="19">
      <c r="A19" s="76" t="inlineStr">
        <is>
          <t>Exam 2</t>
        </is>
      </c>
      <c r="B19" s="76" t="inlineStr">
        <is>
          <t>Fall 2026</t>
        </is>
      </c>
      <c r="C19" s="78" t="inlineStr">
        <is>
          <t>Module 5 - Nursing Care of a Child with a Hematological Disorder</t>
        </is>
      </c>
      <c r="D19" s="87">
        <f>HYPERLINK("https://drive.google.com/file/d/1ZutElS6qcr0W4k79wWJln6AETDy1yFC3/view","▶  Watch")</f>
        <v/>
      </c>
      <c r="E19" s="78" t="inlineStr">
        <is>
          <t>Exam prep session (LSC). NUR235_Fall2026_LSC_Wk05_DayNA_Nursing Care of a Child with a Hematological Disorder.mp4</t>
        </is>
      </c>
      <c r="F19" s="5" t="n"/>
      <c r="G19" s="5" t="n"/>
    </row>
    <row r="20" ht="15.75" customHeight="1" s="113">
      <c r="A20" s="76" t="inlineStr">
        <is>
          <t>Exam 2</t>
        </is>
      </c>
      <c r="B20" s="76" t="inlineStr">
        <is>
          <t>Fall 2026</t>
        </is>
      </c>
      <c r="C20" s="78" t="inlineStr">
        <is>
          <t>Module 5 - Hematology and childhood neoplasms (6 Oct capture, 733 MB)</t>
        </is>
      </c>
      <c r="D20" s="87">
        <f>HYPERLINK("https://drive.google.com/file/d/1d_bEQJjCqnsH9mQIEsl6vRIz2Wh5gZAI/view","▶  Watch")</f>
        <v/>
      </c>
      <c r="E20" s="78" t="inlineStr">
        <is>
          <t>Exam prep session (LSC). Topic from the speech index (leukemia, anemia, transfusion, chemotherapy) - it was filed under NUR 258 Module 6 as "Endocrine II, second capture" until 6 Oct. Open it to confirm.</t>
        </is>
      </c>
      <c r="F20" s="5" t="n"/>
      <c r="G20" s="5" t="n"/>
    </row>
    <row r="21" ht="15.75" customHeight="1" s="113">
      <c r="A21" s="76" t="inlineStr">
        <is>
          <t>Exam 2</t>
        </is>
      </c>
      <c r="B21" s="76" t="inlineStr">
        <is>
          <t>Fall 2026</t>
        </is>
      </c>
      <c r="C21" s="78" t="inlineStr">
        <is>
          <t>Module 6 - Nursing Care of the Child with a Skin Disorder</t>
        </is>
      </c>
      <c r="D21" s="87">
        <f>HYPERLINK("https://drive.google.com/file/d/1v23KrzTLAwGtxZn5XUtCnt8sUoEl7dtH/view","▶  Watch")</f>
        <v/>
      </c>
      <c r="E21" s="78" t="inlineStr">
        <is>
          <t>Exam prep session (LSC), 45:15 on Canvas. Phone capture 6 Oct 2:33 PM (628 MB). A second, smaller capture from the Chrome recorder (119 MB) is in Nursing School Videos too - confirm it is the same session.</t>
        </is>
      </c>
      <c r="F21" s="5" t="n"/>
      <c r="G21" s="5" t="n"/>
    </row>
    <row r="22" ht="15.75" customHeight="1" s="113">
      <c r="A22" s="76" t="inlineStr">
        <is>
          <t>Exam 2</t>
        </is>
      </c>
      <c r="B22" s="76" t="inlineStr">
        <is>
          <t>Fall 2026</t>
        </is>
      </c>
      <c r="C22" s="78" t="inlineStr">
        <is>
          <t>Module 6 - Nursing Care of the Child with an Infectious Disease</t>
        </is>
      </c>
      <c r="D22" s="87">
        <f>HYPERLINK("https://drive.google.com/file/d/1hYPinVqhDUC1nPBB_78UnpIsRPrmFLDs/view","▶  Watch")</f>
        <v/>
      </c>
      <c r="E22" s="78" t="inlineStr">
        <is>
          <t>Exam prep session (LSC), 15:57 on Canvas. Phone capture 6 Oct 2:50 PM (288 MB). A second, smaller capture from the Chrome recorder (75 MB) is in Nursing School Videos too - confirm it is the same session.</t>
        </is>
      </c>
      <c r="F22" s="5" t="n"/>
    </row>
    <row r="23" ht="15.75" customHeight="1" s="113">
      <c r="A23" s="76" t="inlineStr">
        <is>
          <t>Exam 2</t>
        </is>
      </c>
      <c r="B23" s="76" t="inlineStr">
        <is>
          <t>Fall 2026</t>
        </is>
      </c>
      <c r="C23" s="78" t="inlineStr">
        <is>
          <t>My materials - Mon 5 Oct 9:16 PM child with fever and rash (PC screen recording, 337 MB)</t>
        </is>
      </c>
      <c r="D23" s="87">
        <f>HYPERLINK("https://drive.google.com/file/d/13KdLKVd8dTaWr4GP9DOFYtWoFRQaNyba/view","▶  Watch")</f>
        <v/>
      </c>
      <c r="E23" s="78" t="inlineStr">
        <is>
          <t>Topic from the speech index (child, fever, rash). Probably the Module 6 Immune or Infectious exam prep - open it and tell me.</t>
        </is>
      </c>
      <c r="F23" s="5" t="n"/>
    </row>
    <row r="24" ht="15.75" customHeight="1" s="113">
      <c r="A24" s="72" t="inlineStr">
        <is>
          <t>Exam 3</t>
        </is>
      </c>
      <c r="B24" s="72" t="n"/>
      <c r="C24" s="73" t="n"/>
      <c r="D24" s="73" t="n"/>
      <c r="E24" s="73" t="n"/>
      <c r="F24" s="5" t="n"/>
      <c r="G24" s="5" t="n"/>
    </row>
    <row r="25" ht="15.75" customHeight="1" s="113">
      <c r="A25" s="76" t="inlineStr">
        <is>
          <t>Exam 3</t>
        </is>
      </c>
      <c r="B25" s="76" t="n"/>
      <c r="C25" s="78" t="n"/>
      <c r="D25" s="78" t="n"/>
      <c r="E25" s="78" t="n"/>
      <c r="F25" s="5" t="n"/>
      <c r="G25" s="5" t="n"/>
    </row>
    <row r="26" ht="15.75" customHeight="1" s="113">
      <c r="A26" s="72" t="inlineStr">
        <is>
          <t>Exam 3</t>
        </is>
      </c>
      <c r="B26" s="72" t="n"/>
      <c r="C26" s="73" t="n"/>
      <c r="D26" s="73" t="n"/>
      <c r="E26" s="73" t="n"/>
      <c r="F26" s="5" t="n"/>
      <c r="G26" s="5" t="n"/>
    </row>
    <row r="27" ht="15.75" customHeight="1" s="113">
      <c r="A27" s="76" t="inlineStr">
        <is>
          <t>Exam 3</t>
        </is>
      </c>
      <c r="B27" s="76" t="n"/>
      <c r="C27" s="78" t="n"/>
      <c r="D27" s="78" t="n"/>
      <c r="E27" s="78" t="n"/>
      <c r="F27" s="5" t="n"/>
      <c r="G27" s="5" t="n"/>
    </row>
    <row r="28" ht="15.75" customHeight="1" s="113">
      <c r="A28" s="72" t="inlineStr">
        <is>
          <t>FINAL</t>
        </is>
      </c>
      <c r="B28" s="72" t="n"/>
      <c r="C28" s="73" t="n"/>
      <c r="D28" s="73" t="n"/>
      <c r="E28" s="73" t="n"/>
      <c r="F28" s="5" t="n"/>
      <c r="G28" s="5" t="n"/>
    </row>
    <row r="29" ht="15.75" customHeight="1" s="113">
      <c r="A29" s="76" t="inlineStr">
        <is>
          <t>FINAL</t>
        </is>
      </c>
      <c r="B29" s="76" t="n"/>
      <c r="C29" s="78" t="n"/>
      <c r="D29" s="78" t="n"/>
      <c r="E29" s="78" t="n"/>
      <c r="F29" s="5" t="n"/>
      <c r="G29" s="5" t="n"/>
    </row>
    <row r="30" ht="15.75" customHeight="1" s="113">
      <c r="A30" s="72" t="inlineStr">
        <is>
          <t>FINAL</t>
        </is>
      </c>
      <c r="B30" s="72" t="n"/>
      <c r="C30" s="73" t="inlineStr">
        <is>
          <t>Review session recording</t>
        </is>
      </c>
      <c r="D30" s="74">
        <f>HYPERLINK("https://drive.google.com/file/d/1Xd7riWCGJ-FYd7Jt2c7Q50Hz92ww5hpw/view","▶  Watch")</f>
        <v/>
      </c>
      <c r="E30" s="73" t="inlineStr">
        <is>
          <t>NUR235 final review.mp4 - presenter not named in the file</t>
        </is>
      </c>
      <c r="F30" s="5" t="n"/>
      <c r="G30" s="5" t="n"/>
    </row>
    <row r="31" ht="15.75" customHeight="1" s="113">
      <c r="A31" s="76" t="inlineStr">
        <is>
          <t>FINAL</t>
        </is>
      </c>
      <c r="B31" s="76" t="n"/>
      <c r="C31" s="78" t="inlineStr">
        <is>
          <t>Other / my materials</t>
        </is>
      </c>
      <c r="D31" s="78" t="n"/>
      <c r="E31" s="78" t="n"/>
      <c r="F31" s="5" t="n"/>
      <c r="G31" s="5" t="n"/>
    </row>
    <row r="32" ht="15.75" customHeight="1" s="113">
      <c r="A32" s="88" t="n"/>
      <c r="B32" s="88" t="n"/>
      <c r="C32" s="88" t="n"/>
      <c r="D32" s="88" t="n"/>
      <c r="E32" s="88" t="n"/>
      <c r="F32" s="5" t="n"/>
      <c r="G32" s="5" t="n"/>
    </row>
    <row r="33" ht="15.75" customHeight="1" s="113">
      <c r="A33" s="88" t="n"/>
      <c r="B33" s="88" t="n"/>
      <c r="C33" s="88" t="n"/>
      <c r="D33" s="88" t="n"/>
      <c r="E33" s="88" t="n"/>
      <c r="F33" s="5" t="n"/>
      <c r="G33" s="5" t="n"/>
    </row>
    <row r="34" ht="15.75" customHeight="1" s="113">
      <c r="A34" s="88" t="n"/>
      <c r="B34" s="88" t="n"/>
      <c r="C34" s="88" t="n"/>
      <c r="D34" s="88" t="n"/>
      <c r="E34" s="88" t="n"/>
      <c r="F34" s="5" t="n"/>
      <c r="G34" s="5" t="n"/>
    </row>
    <row r="35" ht="15.75" customHeight="1" s="113">
      <c r="A35" s="88" t="n"/>
      <c r="B35" s="88" t="n"/>
      <c r="C35" s="88" t="n"/>
      <c r="D35" s="88" t="n"/>
      <c r="E35" s="88" t="n"/>
      <c r="F35" s="5" t="n"/>
      <c r="G35" s="5" t="n"/>
    </row>
    <row r="36" ht="15.75" customHeight="1" s="113">
      <c r="A36" s="88" t="n"/>
      <c r="B36" s="88" t="n"/>
      <c r="C36" s="88" t="n"/>
      <c r="D36" s="88" t="n"/>
      <c r="E36" s="88" t="n"/>
      <c r="F36" s="5" t="n"/>
      <c r="G36" s="5" t="n"/>
    </row>
    <row r="37" ht="15.75" customHeight="1" s="113">
      <c r="A37" s="88" t="n"/>
      <c r="B37" s="88" t="n"/>
      <c r="C37" s="88" t="n"/>
      <c r="D37" s="88" t="n"/>
      <c r="E37" s="88" t="n"/>
      <c r="F37" s="5" t="n"/>
      <c r="G37" s="5" t="n"/>
    </row>
    <row r="38" ht="15.75" customHeight="1" s="113">
      <c r="A38" s="88" t="n"/>
      <c r="B38" s="88" t="n"/>
      <c r="C38" s="88" t="n"/>
      <c r="D38" s="88" t="n"/>
      <c r="E38" s="88" t="n"/>
      <c r="F38" s="5" t="n"/>
      <c r="G38" s="5" t="n"/>
    </row>
    <row r="39" ht="15.75" customHeight="1" s="113">
      <c r="A39" s="88" t="n"/>
      <c r="B39" s="88" t="n"/>
      <c r="C39" s="88" t="n"/>
      <c r="D39" s="88" t="n"/>
      <c r="E39" s="88"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Halecka</t>
        </is>
      </c>
    </row>
    <row r="2">
      <c r="A2" s="7" t="inlineStr">
        <is>
          <t>NUR234</t>
        </is>
      </c>
      <c r="B2" s="7" t="inlineStr">
        <is>
          <t>NUR235</t>
        </is>
      </c>
      <c r="C2" s="15" t="inlineStr">
        <is>
          <t>NUR258</t>
        </is>
      </c>
      <c r="D2" s="12" t="inlineStr">
        <is>
          <t>🏠 START HERE</t>
        </is>
      </c>
      <c r="E2" s="21" t="inlineStr">
        <is>
          <t>📥 Sort me</t>
        </is>
      </c>
      <c r="F2" s="14" t="n"/>
      <c r="G2" s="14" t="n"/>
    </row>
    <row r="3">
      <c r="A3" s="90" t="inlineStr">
        <is>
          <t>Halecka</t>
        </is>
      </c>
      <c r="B3" s="24" t="inlineStr">
        <is>
          <t>Wagner</t>
        </is>
      </c>
      <c r="C3" s="24"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Day 1</t>
        </is>
      </c>
      <c r="C6" s="93" t="n"/>
      <c r="D6" s="93" t="inlineStr">
        <is>
          <t>Halecka</t>
        </is>
      </c>
      <c r="E6" s="94">
        <f>HYPERLINK("https://drive.google.com/file/d/1tPNIpDo5thT9xV08IoqnbNcp-83Oz_It/view","▶  Watch")</f>
        <v/>
      </c>
      <c r="F6" s="93" t="inlineStr">
        <is>
          <t>Halecka W1D1.mp4</t>
        </is>
      </c>
      <c r="G6" s="93" t="inlineStr">
        <is>
          <t>Topic: Sensory Disorders - Eye &amp; Ear</t>
        </is>
      </c>
    </row>
    <row r="7">
      <c r="A7" s="92" t="inlineStr">
        <is>
          <t>Week 1</t>
        </is>
      </c>
      <c r="B7" s="92" t="inlineStr">
        <is>
          <t>Day 1</t>
        </is>
      </c>
      <c r="C7" s="93" t="inlineStr">
        <is>
          <t>Fall 2026</t>
        </is>
      </c>
      <c r="D7" s="93" t="inlineStr">
        <is>
          <t>Halecka</t>
        </is>
      </c>
      <c r="E7" s="94">
        <f>HYPERLINK("https://drive.google.com/file/d/15LGIidwMDA6Izf9Yy9B0Ebfy2JaKL2ur/view?usp=drive_link","▶  Watch")</f>
        <v/>
      </c>
      <c r="F7" s="93" t="n"/>
      <c r="G7" s="93" t="inlineStr">
        <is>
          <t>Topic: Sensory Disorders - Eye &amp; Ear</t>
        </is>
      </c>
    </row>
    <row r="8">
      <c r="A8" s="95" t="inlineStr">
        <is>
          <t>Week 1</t>
        </is>
      </c>
      <c r="B8" s="95" t="inlineStr">
        <is>
          <t>Day 2</t>
        </is>
      </c>
      <c r="C8" s="96" t="n"/>
      <c r="D8" s="96" t="inlineStr">
        <is>
          <t>Halecka</t>
        </is>
      </c>
      <c r="E8" s="97">
        <f>HYPERLINK("https://drive.google.com/file/d/1kG0OZwXihOteY2lgZ56LaP7Po995puwx/view","▶  Watch")</f>
        <v/>
      </c>
      <c r="F8" s="96" t="inlineStr">
        <is>
          <t>Halecka W1D2.mp4</t>
        </is>
      </c>
      <c r="G8" s="96" t="inlineStr">
        <is>
          <t>Topic: Sensory Disorders - Eye &amp; Ear</t>
        </is>
      </c>
    </row>
    <row r="9">
      <c r="A9" s="95" t="inlineStr">
        <is>
          <t>Week 1</t>
        </is>
      </c>
      <c r="B9" s="95" t="inlineStr">
        <is>
          <t>Day 2</t>
        </is>
      </c>
      <c r="C9" s="96" t="inlineStr">
        <is>
          <t>Fall 2026</t>
        </is>
      </c>
      <c r="D9" s="96" t="inlineStr">
        <is>
          <t>Halecka</t>
        </is>
      </c>
      <c r="E9" s="97">
        <f>HYPERLINK("https://drive.google.com/file/d/16mAzKU1zMFeeDs-hOXANHHNywNeEfNv4/view","▶  Watch")</f>
        <v/>
      </c>
      <c r="F9" s="96" t="inlineStr">
        <is>
          <t>Screen_Recording_20260903_015842_Messenger.mp4</t>
        </is>
      </c>
      <c r="G9" s="96" t="inlineStr">
        <is>
          <t>Recorded 3 Sep on your phone - check it really is Day 2</t>
        </is>
      </c>
    </row>
    <row r="10">
      <c r="A10" s="92" t="inlineStr">
        <is>
          <t>Week 2</t>
        </is>
      </c>
      <c r="B10" s="92" t="inlineStr">
        <is>
          <t>Day 1</t>
        </is>
      </c>
      <c r="C10" s="93" t="n"/>
      <c r="D10" s="93" t="inlineStr">
        <is>
          <t>Halecka</t>
        </is>
      </c>
      <c r="E10" s="94">
        <f>HYPERLINK("https://drive.google.com/file/d/1eEW_OANxw5ZaN1RpmULhcfPWlx81jgVL/view","▶  Watch")</f>
        <v/>
      </c>
      <c r="F10" s="93" t="inlineStr">
        <is>
          <t>Halecka W2D1.mp4</t>
        </is>
      </c>
      <c r="G10" s="93" t="inlineStr">
        <is>
          <t>Topic: Infectious Diseases &amp; HIV</t>
        </is>
      </c>
    </row>
    <row r="11">
      <c r="A11" s="95" t="inlineStr">
        <is>
          <t>Week 2</t>
        </is>
      </c>
      <c r="B11" s="95" t="inlineStr">
        <is>
          <t>Day 2</t>
        </is>
      </c>
      <c r="C11" s="96" t="n"/>
      <c r="D11" s="96" t="inlineStr">
        <is>
          <t>Halecka</t>
        </is>
      </c>
      <c r="E11" s="97">
        <f>HYPERLINK("https://drive.google.com/file/d/1wztDegrV8RIypFru-l-A9D5pgmosW6kx/view","▶  Watch")</f>
        <v/>
      </c>
      <c r="F11" s="96" t="inlineStr">
        <is>
          <t>Halecka W2D2.mp4</t>
        </is>
      </c>
      <c r="G11" s="96" t="inlineStr">
        <is>
          <t>Topic: Infectious Diseases &amp; HIV</t>
        </is>
      </c>
    </row>
    <row r="12">
      <c r="A12" s="92" t="inlineStr">
        <is>
          <t>Week 3</t>
        </is>
      </c>
      <c r="B12" s="92" t="inlineStr">
        <is>
          <t>Day 1</t>
        </is>
      </c>
      <c r="C12" s="93" t="n"/>
      <c r="D12" s="93" t="inlineStr">
        <is>
          <t>Halecka</t>
        </is>
      </c>
      <c r="E12" s="94">
        <f>HYPERLINK("https://drive.google.com/file/d/12s1QL5nnwj9QhbN3ouHe5GQk6rkxv07O/view","▶  Watch")</f>
        <v/>
      </c>
      <c r="F12" s="93" t="inlineStr">
        <is>
          <t>Halecka W3 only day.mp4</t>
        </is>
      </c>
      <c r="G12" s="93" t="inlineStr">
        <is>
          <t>Only session that week</t>
        </is>
      </c>
    </row>
    <row r="13">
      <c r="A13" s="95" t="inlineStr">
        <is>
          <t>Week 3</t>
        </is>
      </c>
      <c r="B13" s="95" t="inlineStr">
        <is>
          <t>Day 2</t>
        </is>
      </c>
      <c r="C13" s="96" t="n"/>
      <c r="D13" s="96" t="inlineStr">
        <is>
          <t>Halecka</t>
        </is>
      </c>
      <c r="E13" s="96" t="n"/>
      <c r="F13" s="96" t="n"/>
      <c r="G13" s="96" t="n"/>
    </row>
    <row r="14">
      <c r="A14" s="92" t="inlineStr">
        <is>
          <t>Week 4</t>
        </is>
      </c>
      <c r="B14" s="92" t="inlineStr">
        <is>
          <t>Day 1</t>
        </is>
      </c>
      <c r="C14" s="93" t="n"/>
      <c r="D14" s="93" t="inlineStr">
        <is>
          <t>Halecka</t>
        </is>
      </c>
      <c r="E14" s="94">
        <f>HYPERLINK("https://drive.google.com/file/d/1MgsSYBfirqOZZQEARkWluIoUX2c7qI6s/view","▶  Watch")</f>
        <v/>
      </c>
      <c r="F14" s="93" t="inlineStr">
        <is>
          <t>Halecka W4d1.mp4</t>
        </is>
      </c>
      <c r="G14" s="93" t="inlineStr">
        <is>
          <t>Topic: Burns</t>
        </is>
      </c>
    </row>
    <row r="15">
      <c r="A15" s="95" t="inlineStr">
        <is>
          <t>Week 4</t>
        </is>
      </c>
      <c r="B15" s="95" t="inlineStr">
        <is>
          <t>Day 2</t>
        </is>
      </c>
      <c r="C15" s="96" t="n"/>
      <c r="D15" s="96" t="inlineStr">
        <is>
          <t>Halecka</t>
        </is>
      </c>
      <c r="E15" s="97">
        <f>HYPERLINK("https://drive.google.com/file/d/1UhvvqJX98mKkGjfFcUd2v2gPkK7Zb3nX/view","▶  Watch")</f>
        <v/>
      </c>
      <c r="F15" s="96" t="inlineStr">
        <is>
          <t>Halecka W4d2.mp4</t>
        </is>
      </c>
      <c r="G15" s="96" t="inlineStr">
        <is>
          <t>Topic: Burns</t>
        </is>
      </c>
    </row>
    <row r="16">
      <c r="A16" s="95" t="inlineStr">
        <is>
          <t>Week 4</t>
        </is>
      </c>
      <c r="B16" s="95" t="inlineStr">
        <is>
          <t>Full session</t>
        </is>
      </c>
      <c r="C16" s="96" t="n"/>
      <c r="D16" s="96" t="inlineStr">
        <is>
          <t>Halecka</t>
        </is>
      </c>
      <c r="E16" s="97">
        <f>HYPERLINK("https://drive.google.com/file/d/1-CUW56rDy1JKFsQEb9r0W89jwvVtrBxM/view","▶  Watch")</f>
        <v/>
      </c>
      <c r="F16" s="96" t="inlineStr">
        <is>
          <t>NUR258_PriorTerm_Halecka_Wk04_DayNA_Burns (full session).mp4</t>
        </is>
      </c>
      <c r="G16" s="96"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4</t>
        </is>
      </c>
      <c r="B17" s="95" t="inlineStr">
        <is>
          <t>Burns</t>
        </is>
      </c>
      <c r="C17" s="96" t="inlineStr">
        <is>
          <t>Fall 2026</t>
        </is>
      </c>
      <c r="D17" s="96" t="inlineStr">
        <is>
          <t>Halecka</t>
        </is>
      </c>
      <c r="E17" s="97">
        <f>HYPERLINK("https://drive.google.com/file/d/1WKUQJJPxdrH_YOCAKH4gX3Na54bPXTPA/view","▶  Watch")</f>
        <v/>
      </c>
      <c r="F17" s="96" t="inlineStr">
        <is>
          <t>NUR258_Fall2026_Halecka_Wk04_DayNA_Burns.mp4</t>
        </is>
      </c>
      <c r="G17" s="96" t="inlineStr">
        <is>
          <t>Fall 2026 burns lecture, uploaded 6 Oct as "NUR 258 Halecka Burns" (420 MB). Day not stated.</t>
        </is>
      </c>
    </row>
    <row r="18">
      <c r="A18" s="92" t="inlineStr">
        <is>
          <t>Week 5</t>
        </is>
      </c>
      <c r="B18" s="92" t="inlineStr">
        <is>
          <t>Day 1</t>
        </is>
      </c>
      <c r="C18" s="93" t="n"/>
      <c r="D18" s="93" t="inlineStr">
        <is>
          <t>Halecka</t>
        </is>
      </c>
      <c r="E18" s="94">
        <f>HYPERLINK("https://drive.google.com/file/d/1_VyUz4E-0B8mzqKzTJbzjFYLDpgENPJt/view","▶  Watch")</f>
        <v/>
      </c>
      <c r="F18" s="93" t="inlineStr">
        <is>
          <t>Halecka W5d1.mp4</t>
        </is>
      </c>
      <c r="G18" s="93" t="inlineStr">
        <is>
          <t>Topic: Endocrine Disorders</t>
        </is>
      </c>
    </row>
    <row r="19">
      <c r="A19" s="92" t="inlineStr">
        <is>
          <t>Week 5</t>
        </is>
      </c>
      <c r="B19" s="92" t="inlineStr">
        <is>
          <t>Day 1</t>
        </is>
      </c>
      <c r="C19" s="93" t="inlineStr">
        <is>
          <t>Fall 2026</t>
        </is>
      </c>
      <c r="D19" s="93" t="inlineStr">
        <is>
          <t>Halecka</t>
        </is>
      </c>
      <c r="E19" s="94">
        <f>HYPERLINK("https://drive.google.com/file/d/1wrzKU5lN8CsSWhAkTppcEMnLgUjFNL83/view","▶  Watch")</f>
        <v/>
      </c>
      <c r="F19" s="93" t="inlineStr">
        <is>
          <t>NUR258_Fall2026_Halecka_Wk05_Day1_Endocrine disorders.mp4</t>
        </is>
      </c>
      <c r="G19" s="93" t="inlineStr">
        <is>
          <t>Uploaded 6 Oct as "Halecka Wk 5 D 1" (233 MB). The row above is last cohort's Week 5 Day 1.</t>
        </is>
      </c>
    </row>
    <row r="20">
      <c r="A20" s="95" t="inlineStr">
        <is>
          <t>Week 5</t>
        </is>
      </c>
      <c r="B20" s="95" t="inlineStr">
        <is>
          <t>Day 2</t>
        </is>
      </c>
      <c r="C20" s="96" t="n"/>
      <c r="D20" s="96" t="inlineStr">
        <is>
          <t>Halecka</t>
        </is>
      </c>
      <c r="E20" s="97">
        <f>HYPERLINK("https://drive.google.com/file/d/1biuSi5a914MbS38zloMU6m57WXSiTQcS/view","▶  Watch")</f>
        <v/>
      </c>
      <c r="F20" s="96" t="inlineStr">
        <is>
          <t>Halecka W5d2.mp4</t>
        </is>
      </c>
      <c r="G20" s="96" t="inlineStr">
        <is>
          <t>Topic: Endocrine Disorders</t>
        </is>
      </c>
    </row>
    <row r="21" ht="15.75" customHeight="1" s="113">
      <c r="A21" s="92" t="inlineStr">
        <is>
          <t>Week 6</t>
        </is>
      </c>
      <c r="B21" s="92" t="inlineStr">
        <is>
          <t>Day 1</t>
        </is>
      </c>
      <c r="C21" s="93" t="n"/>
      <c r="D21" s="93" t="inlineStr">
        <is>
          <t>Halecka</t>
        </is>
      </c>
      <c r="E21" s="94">
        <f>HYPERLINK("https://drive.google.com/file/d/1N4A_VJbw2pfSuXHUDKJADPUa_i_Coj99/view","▶  Watch")</f>
        <v/>
      </c>
      <c r="F21" s="93" t="inlineStr">
        <is>
          <t>Halecka W6d1.mp4</t>
        </is>
      </c>
      <c r="G21" s="93" t="inlineStr">
        <is>
          <t>Topic: Diabetes</t>
        </is>
      </c>
    </row>
    <row r="22" ht="15.75" customHeight="1" s="113">
      <c r="A22" s="95" t="inlineStr">
        <is>
          <t>Week 6</t>
        </is>
      </c>
      <c r="B22" s="95" t="inlineStr">
        <is>
          <t>Day 2</t>
        </is>
      </c>
      <c r="C22" s="96" t="n"/>
      <c r="D22" s="96" t="inlineStr">
        <is>
          <t>Halecka</t>
        </is>
      </c>
      <c r="E22" s="97">
        <f>HYPERLINK("https://drive.google.com/file/d/1Co9ZVEXkP7XvnDHDk591bY_2TBco5nkb/view","▶  Watch")</f>
        <v/>
      </c>
      <c r="F22" s="96" t="inlineStr">
        <is>
          <t>Halecka W6d2.mp4</t>
        </is>
      </c>
      <c r="G22" s="96" t="inlineStr">
        <is>
          <t>Topic: Diabetes</t>
        </is>
      </c>
    </row>
    <row r="23" ht="15.75" customHeight="1" s="113">
      <c r="A23" s="95" t="inlineStr">
        <is>
          <t>Week 6</t>
        </is>
      </c>
      <c r="B23" s="95" t="inlineStr">
        <is>
          <t>Diabetes</t>
        </is>
      </c>
      <c r="C23" s="96" t="inlineStr">
        <is>
          <t>Fall 2026</t>
        </is>
      </c>
      <c r="D23" s="96" t="inlineStr">
        <is>
          <t>Halecka</t>
        </is>
      </c>
      <c r="E23" s="97">
        <f>HYPERLINK("https://drive.google.com/file/d/1qHOSgJRqT6ZmPQP6KxFvg1PuedG4qNtP/view","▶  Watch")</f>
        <v/>
      </c>
      <c r="F23" s="96" t="inlineStr">
        <is>
          <t>NUR258_Fall2026_Halecka_Wk06_DayNA_Diabetes.mp4</t>
        </is>
      </c>
      <c r="G23" s="96" t="inlineStr">
        <is>
          <t>Uploaded 6 Oct as "Nur 258 Halecka" (184 MB); you confirmed it is the Week 6 diabetes lecture.</t>
        </is>
      </c>
    </row>
    <row r="24" ht="15.75" customHeight="1" s="113">
      <c r="A24" s="92" t="inlineStr">
        <is>
          <t>Week 7</t>
        </is>
      </c>
      <c r="B24" s="92" t="inlineStr">
        <is>
          <t>Day 1</t>
        </is>
      </c>
      <c r="C24" s="93" t="n"/>
      <c r="D24" s="93" t="inlineStr">
        <is>
          <t>Halecka</t>
        </is>
      </c>
      <c r="E24" s="94">
        <f>HYPERLINK("https://drive.google.com/file/d/1L7ijGH3mp0GJ1IoHuV4JAdU99cq8Za8B/view","▶  Watch")</f>
        <v/>
      </c>
      <c r="F24" s="93" t="inlineStr">
        <is>
          <t>Halecka W7D1.mp4</t>
        </is>
      </c>
      <c r="G24" s="93" t="inlineStr">
        <is>
          <t>Topic: Neurologic Dysfunction &amp; Cerebrovascular Disorders</t>
        </is>
      </c>
    </row>
    <row r="25" ht="15.75" customHeight="1" s="113">
      <c r="A25" s="95" t="inlineStr">
        <is>
          <t>Week 7</t>
        </is>
      </c>
      <c r="B25" s="95" t="inlineStr">
        <is>
          <t>Day 2</t>
        </is>
      </c>
      <c r="C25" s="96" t="n"/>
      <c r="D25" s="96" t="inlineStr">
        <is>
          <t>Halecka</t>
        </is>
      </c>
      <c r="E25" s="97">
        <f>HYPERLINK("https://drive.google.com/file/d/1jwtY9AuiAQY8Odir88Y7iHajay988jZo/view","▶  Watch")</f>
        <v/>
      </c>
      <c r="F25" s="96" t="inlineStr">
        <is>
          <t>Halecka W7D2.mp4</t>
        </is>
      </c>
      <c r="G25" s="96" t="inlineStr">
        <is>
          <t>Topic: Neurologic Dysfunction &amp; Cerebrovascular Disorders</t>
        </is>
      </c>
    </row>
    <row r="26" ht="15.75" customHeight="1" s="113">
      <c r="A26" s="92" t="inlineStr">
        <is>
          <t>Week 8</t>
        </is>
      </c>
      <c r="B26" s="92" t="inlineStr">
        <is>
          <t>Day 1</t>
        </is>
      </c>
      <c r="C26" s="93" t="n"/>
      <c r="D26" s="93" t="inlineStr">
        <is>
          <t>Halecka</t>
        </is>
      </c>
      <c r="E26" s="94">
        <f>HYPERLINK("https://drive.google.com/file/d/1nJhuxvxXj5ORPnI8_aMnNFkD3BzQ368P/view","▶  Watch")</f>
        <v/>
      </c>
      <c r="F26" s="93" t="inlineStr">
        <is>
          <t>Halecka W8D1.mp4</t>
        </is>
      </c>
      <c r="G26" s="93" t="inlineStr">
        <is>
          <t>Topic: Traumatic, Infectious, Oncologic &amp; Degenerative Neuro</t>
        </is>
      </c>
    </row>
    <row r="27" ht="15.75" customHeight="1" s="113">
      <c r="A27" s="95" t="inlineStr">
        <is>
          <t>Week 8</t>
        </is>
      </c>
      <c r="B27" s="95" t="inlineStr">
        <is>
          <t>Day 2</t>
        </is>
      </c>
      <c r="C27" s="96" t="n"/>
      <c r="D27" s="96" t="inlineStr">
        <is>
          <t>Halecka</t>
        </is>
      </c>
      <c r="E27" s="97">
        <f>HYPERLINK("https://drive.google.com/file/d/1Z_ioeEJjFmq0TXZaGrsYRga7hfqLwfW8/view","▶  Watch")</f>
        <v/>
      </c>
      <c r="F27" s="96" t="inlineStr">
        <is>
          <t>Halecka W8D2.mp4</t>
        </is>
      </c>
      <c r="G27" s="96" t="inlineStr">
        <is>
          <t>Topic: Traumatic, Infectious, Oncologic &amp; Degenerative Neuro</t>
        </is>
      </c>
    </row>
    <row r="28" ht="15.75" customHeight="1" s="113">
      <c r="A28" s="92" t="inlineStr">
        <is>
          <t>Week 9</t>
        </is>
      </c>
      <c r="B28" s="92" t="inlineStr">
        <is>
          <t>Day 1</t>
        </is>
      </c>
      <c r="C28" s="93" t="n"/>
      <c r="D28" s="93" t="inlineStr">
        <is>
          <t>Halecka</t>
        </is>
      </c>
      <c r="E28" s="94">
        <f>HYPERLINK("https://drive.google.com/file/d/14DoxMb-Jl4KhSoqhubzcSXzzFDM1KiJe/view","▶  Watch")</f>
        <v/>
      </c>
      <c r="F28" s="93" t="inlineStr">
        <is>
          <t>Halecka W9D1.mp4</t>
        </is>
      </c>
      <c r="G28" s="93" t="inlineStr">
        <is>
          <t>Topic: Hematologic Disorders</t>
        </is>
      </c>
    </row>
    <row r="29" ht="15.75" customHeight="1" s="113">
      <c r="A29" s="95" t="inlineStr">
        <is>
          <t>Week 9</t>
        </is>
      </c>
      <c r="B29" s="95" t="inlineStr">
        <is>
          <t>Day 2</t>
        </is>
      </c>
      <c r="C29" s="96" t="n"/>
      <c r="D29" s="96" t="inlineStr">
        <is>
          <t>Halecka</t>
        </is>
      </c>
      <c r="E29" s="97">
        <f>HYPERLINK("https://drive.google.com/file/d/1MYhzhQmtnV3UFHR6ccvhANTss8KH_WAg/view","▶  Watch")</f>
        <v/>
      </c>
      <c r="F29" s="96" t="inlineStr">
        <is>
          <t>Halecka W9D2.mp4</t>
        </is>
      </c>
      <c r="G29" s="96" t="inlineStr">
        <is>
          <t>Topic: Hematologic Disorders</t>
        </is>
      </c>
    </row>
    <row r="30" ht="15.75" customHeight="1" s="113">
      <c r="A30" s="92" t="inlineStr">
        <is>
          <t>Week 10</t>
        </is>
      </c>
      <c r="B30" s="92" t="inlineStr">
        <is>
          <t>Day 1</t>
        </is>
      </c>
      <c r="C30" s="93" t="n"/>
      <c r="D30" s="93" t="inlineStr">
        <is>
          <t>Halecka</t>
        </is>
      </c>
      <c r="E30" s="94">
        <f>HYPERLINK("https://drive.google.com/file/d/1xxojEKWOl4VO6__6wBIZiEtCQtkFd8qv/view","▶  Watch")</f>
        <v/>
      </c>
      <c r="F30" s="93" t="inlineStr">
        <is>
          <t>Halecka W10D1.mp4</t>
        </is>
      </c>
      <c r="G30" s="93" t="inlineStr">
        <is>
          <t>Topic: Oncologic Disorders &amp; End-of-Life Care</t>
        </is>
      </c>
    </row>
    <row r="31" ht="15.75" customHeight="1" s="113">
      <c r="A31" s="95" t="inlineStr">
        <is>
          <t>Week 10</t>
        </is>
      </c>
      <c r="B31" s="95" t="inlineStr">
        <is>
          <t>Day 2</t>
        </is>
      </c>
      <c r="C31" s="96" t="n"/>
      <c r="D31" s="96" t="inlineStr">
        <is>
          <t>Halecka</t>
        </is>
      </c>
      <c r="E31" s="97">
        <f>HYPERLINK("https://drive.google.com/file/d/1_Mt6lPo2rgA2UTAFUk1QAThHBe_Jux1U/view","▶  Watch")</f>
        <v/>
      </c>
      <c r="F31" s="96" t="inlineStr">
        <is>
          <t>Halecka W10D2.mp4</t>
        </is>
      </c>
      <c r="G31" s="96" t="inlineStr">
        <is>
          <t>Topic: Oncologic Disorders &amp; End-of-Life Care</t>
        </is>
      </c>
    </row>
    <row r="32" ht="15.75" customHeight="1" s="113">
      <c r="A32" s="92" t="inlineStr">
        <is>
          <t>Week 11</t>
        </is>
      </c>
      <c r="B32" s="92" t="inlineStr">
        <is>
          <t>Day 1</t>
        </is>
      </c>
      <c r="C32" s="93" t="n"/>
      <c r="D32" s="93" t="inlineStr">
        <is>
          <t>Halecka</t>
        </is>
      </c>
      <c r="E32" s="94">
        <f>HYPERLINK("https://drive.google.com/file/d/1WfPT27PAQr_pC3rts6sSw6HaZO2Nh1mj/view","▶  Watch")</f>
        <v/>
      </c>
      <c r="F32" s="93" t="inlineStr">
        <is>
          <t>Halecka W11D1.mp4</t>
        </is>
      </c>
      <c r="G32" s="93" t="inlineStr">
        <is>
          <t>Topic: Reproductive Disorders</t>
        </is>
      </c>
    </row>
    <row r="33" ht="15.75" customHeight="1" s="113">
      <c r="A33" s="95" t="inlineStr">
        <is>
          <t>Week 11</t>
        </is>
      </c>
      <c r="B33" s="95" t="inlineStr">
        <is>
          <t>Day 2</t>
        </is>
      </c>
      <c r="C33" s="96" t="n"/>
      <c r="D33" s="96" t="inlineStr">
        <is>
          <t>Halecka</t>
        </is>
      </c>
      <c r="E33" s="97">
        <f>HYPERLINK("https://drive.google.com/file/d/1oldJm9iNLhtPjuLYKgRp3JRSL3VLEThG/view","▶  Watch")</f>
        <v/>
      </c>
      <c r="F33" s="96" t="inlineStr">
        <is>
          <t>Halecka W11D2.mp4</t>
        </is>
      </c>
      <c r="G33" s="96" t="inlineStr">
        <is>
          <t>Topic: Reproductive Disorders</t>
        </is>
      </c>
    </row>
    <row r="34" ht="15.75" customHeight="1" s="113">
      <c r="A34" s="92" t="inlineStr">
        <is>
          <t>Week 12</t>
        </is>
      </c>
      <c r="B34" s="92" t="inlineStr">
        <is>
          <t>Day 1</t>
        </is>
      </c>
      <c r="C34" s="93" t="n"/>
      <c r="D34" s="93" t="inlineStr">
        <is>
          <t>Halecka</t>
        </is>
      </c>
      <c r="E34" s="94">
        <f>HYPERLINK("https://drive.google.com/file/d/19ZrcWgDP34L_aYDnmQTwVsqD3T8NxVNk/view","▶  Watch")</f>
        <v/>
      </c>
      <c r="F34" s="93" t="inlineStr">
        <is>
          <t>Halecka W12D1.mp4</t>
        </is>
      </c>
      <c r="G34" s="93" t="inlineStr">
        <is>
          <t>Topic: Disaster, Mass Casualty &amp; Emergency Nursing</t>
        </is>
      </c>
    </row>
    <row r="35" ht="15.75" customHeight="1" s="113">
      <c r="A35" s="95" t="inlineStr">
        <is>
          <t>Week 12</t>
        </is>
      </c>
      <c r="B35" s="95" t="inlineStr">
        <is>
          <t>Day 2</t>
        </is>
      </c>
      <c r="C35" s="96" t="n"/>
      <c r="D35" s="96" t="inlineStr">
        <is>
          <t>Halecka</t>
        </is>
      </c>
      <c r="E35" s="97">
        <f>HYPERLINK("https://drive.google.com/file/d/1xP-bxF04ILbD1qvSbe8WFVsH5nB0yWXr/view","▶  Watch")</f>
        <v/>
      </c>
      <c r="F35" s="96" t="inlineStr">
        <is>
          <t>Halecka W12D2.mp4</t>
        </is>
      </c>
      <c r="G35" s="96" t="inlineStr">
        <is>
          <t>Topic: Disaster, Mass Casualty &amp; Emergency Nursing</t>
        </is>
      </c>
    </row>
    <row r="36" ht="15.75" customHeight="1" s="113">
      <c r="A36" s="92" t="inlineStr">
        <is>
          <t>Week 13</t>
        </is>
      </c>
      <c r="B36" s="92" t="inlineStr">
        <is>
          <t>Day 1</t>
        </is>
      </c>
      <c r="C36" s="93" t="n"/>
      <c r="D36" s="93" t="inlineStr">
        <is>
          <t>Halecka</t>
        </is>
      </c>
      <c r="E36" s="94">
        <f>HYPERLINK("https://drive.google.com/file/d/1dmJCDM5IPNYi_xRR4fIWAth_Vd0Nj4Mv/view","▶  Watch")</f>
        <v/>
      </c>
      <c r="F36" s="93" t="inlineStr">
        <is>
          <t>Halecka W13D1.mp4</t>
        </is>
      </c>
      <c r="G36" s="93" t="inlineStr">
        <is>
          <t>Topic: Shock &amp; MODS</t>
        </is>
      </c>
    </row>
    <row r="37" ht="15.75" customHeight="1" s="113">
      <c r="A37" s="95" t="inlineStr">
        <is>
          <t>Week 13</t>
        </is>
      </c>
      <c r="B37" s="95" t="inlineStr">
        <is>
          <t>Day 2</t>
        </is>
      </c>
      <c r="C37" s="96" t="n"/>
      <c r="D37" s="96" t="inlineStr">
        <is>
          <t>Halecka</t>
        </is>
      </c>
      <c r="E37" s="97">
        <f>HYPERLINK("https://drive.google.com/file/d/1Qokym4aSlBm2IqqVUcu-uQ5towdH6Ftb/view","▶  Watch")</f>
        <v/>
      </c>
      <c r="F37" s="96" t="inlineStr">
        <is>
          <t>Halecka W13D2.mp4</t>
        </is>
      </c>
      <c r="G37" s="96" t="inlineStr">
        <is>
          <t>Topic: Shock &amp; MODS</t>
        </is>
      </c>
    </row>
    <row r="38" ht="15.75" customHeight="1" s="113">
      <c r="A38" s="92" t="inlineStr">
        <is>
          <t>Week 14</t>
        </is>
      </c>
      <c r="B38" s="92" t="inlineStr">
        <is>
          <t>Day 1</t>
        </is>
      </c>
      <c r="C38" s="93" t="n"/>
      <c r="D38" s="93" t="inlineStr">
        <is>
          <t>Halecka</t>
        </is>
      </c>
      <c r="E38" s="94">
        <f>HYPERLINK("https://drive.google.com/file/d/1a1q2htiGkSbDtVr7xa10OLL1pV6dvzBx/view","▶  Watch")</f>
        <v/>
      </c>
      <c r="F38" s="93" t="inlineStr">
        <is>
          <t>Halecka W14D1.mp4</t>
        </is>
      </c>
      <c r="G38" s="93" t="inlineStr">
        <is>
          <t>Topic: Final Exam Review</t>
        </is>
      </c>
    </row>
    <row r="39" ht="15.75" customHeight="1" s="113">
      <c r="A39" s="95" t="inlineStr">
        <is>
          <t>Week 14</t>
        </is>
      </c>
      <c r="B39" s="95" t="inlineStr">
        <is>
          <t>Day 2</t>
        </is>
      </c>
      <c r="C39" s="96" t="n"/>
      <c r="D39" s="96" t="inlineStr">
        <is>
          <t>Halecka</t>
        </is>
      </c>
      <c r="E39" s="97">
        <f>HYPERLINK("https://drive.google.com/file/d/1CSwQrZ9FscsqFYe5J0oishTCN8pV6W6I/view","▶  Watch")</f>
        <v/>
      </c>
      <c r="F39" s="96" t="inlineStr">
        <is>
          <t>Halecka W14D2.mp4</t>
        </is>
      </c>
      <c r="G39" s="96" t="inlineStr">
        <is>
          <t>Topic: Final Exam Review</t>
        </is>
      </c>
    </row>
    <row r="40" ht="15.75" customHeight="1" s="113">
      <c r="A40" s="101" t="n"/>
      <c r="B40" s="101" t="n"/>
      <c r="C40" s="101" t="n"/>
      <c r="D40" s="101" t="n"/>
      <c r="E40" s="101" t="n"/>
      <c r="F40" s="101" t="n"/>
      <c r="G40" s="101" t="n"/>
    </row>
    <row r="41" ht="15.75" customHeight="1" s="113">
      <c r="A41" s="101" t="n"/>
      <c r="B41" s="101" t="n"/>
      <c r="C41" s="101" t="n"/>
      <c r="D41" s="101" t="n"/>
      <c r="E41" s="101" t="n"/>
      <c r="F41" s="101" t="n"/>
      <c r="G41" s="101" t="n"/>
    </row>
    <row r="42" ht="15.75" customHeight="1" s="113">
      <c r="A42" s="101" t="n"/>
      <c r="B42" s="101" t="n"/>
      <c r="C42" s="101" t="n"/>
      <c r="D42" s="101" t="n"/>
      <c r="E42" s="101" t="n"/>
      <c r="F42" s="101" t="n"/>
      <c r="G42" s="101" t="n"/>
    </row>
    <row r="43" ht="15.75" customHeight="1" s="113">
      <c r="A43" s="101" t="n"/>
      <c r="B43" s="101" t="n"/>
      <c r="C43" s="101" t="n"/>
      <c r="D43" s="101" t="n"/>
      <c r="E43" s="101" t="n"/>
      <c r="F43" s="101" t="n"/>
      <c r="G43" s="101" t="n"/>
    </row>
    <row r="44" ht="15.75" customHeight="1" s="113">
      <c r="A44" s="101" t="n"/>
      <c r="B44" s="101" t="n"/>
      <c r="C44" s="101" t="n"/>
      <c r="D44" s="101" t="n"/>
      <c r="E44" s="101" t="n"/>
      <c r="F44" s="101" t="n"/>
      <c r="G44" s="101" t="n"/>
    </row>
    <row r="45" ht="15.75" customHeight="1" s="113">
      <c r="A45" s="101" t="n"/>
      <c r="B45" s="101" t="n"/>
      <c r="C45" s="101" t="n"/>
      <c r="D45" s="101" t="n"/>
      <c r="E45" s="101" t="n"/>
      <c r="F45" s="101" t="n"/>
      <c r="G45" s="101"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Wagner</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90" t="inlineStr">
        <is>
          <t>Wagner</t>
        </is>
      </c>
      <c r="C3" s="24"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5" t="inlineStr">
        <is>
          <t>Week 1</t>
        </is>
      </c>
      <c r="B6" s="95" t="inlineStr">
        <is>
          <t>Day 1</t>
        </is>
      </c>
      <c r="C6" s="96" t="n"/>
      <c r="D6" s="96" t="inlineStr">
        <is>
          <t>Wagner</t>
        </is>
      </c>
      <c r="E6" s="97">
        <f>HYPERLINK("https://drive.google.com/file/d/1wtklIvJcD059j3j2ydf30LJdilUZbRO7/view?usp=drive_link","▶  Watch")</f>
        <v/>
      </c>
      <c r="F6" s="96" t="n"/>
      <c r="G6" s="96" t="inlineStr">
        <is>
          <t>Topic: Sensory Disorders - Eye &amp; Ear</t>
        </is>
      </c>
    </row>
    <row r="7">
      <c r="A7" s="95" t="inlineStr">
        <is>
          <t>Week 1</t>
        </is>
      </c>
      <c r="B7" s="95" t="inlineStr">
        <is>
          <t>Day 2</t>
        </is>
      </c>
      <c r="C7" s="96" t="n"/>
      <c r="D7" s="96" t="inlineStr">
        <is>
          <t>Wagner</t>
        </is>
      </c>
      <c r="E7" s="97">
        <f>HYPERLINK("https://drive.google.com/file/d/16hwJnlASQ_miHbHjnSaKlAgUCBSTfKKD/view","▶  Watch")</f>
        <v/>
      </c>
      <c r="F7" s="96" t="inlineStr">
        <is>
          <t>Wagner M1D2.mp4</t>
        </is>
      </c>
      <c r="G7" s="96" t="inlineStr">
        <is>
          <t>Topic: Sensory Disorders - Eye &amp; Ear</t>
        </is>
      </c>
    </row>
    <row r="8">
      <c r="A8" s="92" t="inlineStr">
        <is>
          <t>Week 1</t>
        </is>
      </c>
      <c r="B8" s="92" t="inlineStr">
        <is>
          <t>Day 3</t>
        </is>
      </c>
      <c r="C8" s="93" t="n"/>
      <c r="D8" s="93" t="inlineStr">
        <is>
          <t>Wagner</t>
        </is>
      </c>
      <c r="E8" s="94">
        <f>HYPERLINK("https://drive.google.com/file/d/1wtklIvJcD059j3j2ydf30LJdilUZbRO7/view","▶  Watch")</f>
        <v/>
      </c>
      <c r="F8" s="93" t="inlineStr">
        <is>
          <t>Wagner M1d3.mp4</t>
        </is>
      </c>
      <c r="G8" s="93" t="inlineStr">
        <is>
          <t>Topic: Sensory Disorders - Eye &amp; Ear</t>
        </is>
      </c>
    </row>
    <row r="9">
      <c r="A9" s="95" t="inlineStr">
        <is>
          <t>Week 2</t>
        </is>
      </c>
      <c r="B9" s="95" t="inlineStr">
        <is>
          <t>Day 1</t>
        </is>
      </c>
      <c r="C9" s="96" t="n"/>
      <c r="D9" s="96" t="inlineStr">
        <is>
          <t>Wagner</t>
        </is>
      </c>
      <c r="E9" s="97">
        <f>HYPERLINK("https://drive.google.com/file/d/1MCvGqSq0VeaMojSXq6_8QgmYM3VY54V3/view","▶  Watch")</f>
        <v/>
      </c>
      <c r="F9" s="96" t="inlineStr">
        <is>
          <t>Wagner M2D1.mp4</t>
        </is>
      </c>
      <c r="G9" s="96" t="inlineStr">
        <is>
          <t>Topic: Infectious Diseases &amp; HIV</t>
        </is>
      </c>
    </row>
    <row r="10">
      <c r="A10" s="92" t="inlineStr">
        <is>
          <t>Week 2</t>
        </is>
      </c>
      <c r="B10" s="92" t="inlineStr">
        <is>
          <t>Day 2</t>
        </is>
      </c>
      <c r="C10" s="93" t="n"/>
      <c r="D10" s="93" t="inlineStr">
        <is>
          <t>Wagner</t>
        </is>
      </c>
      <c r="E10" s="94">
        <f>HYPERLINK("https://drive.google.com/file/d/1H5EHGXzFX278nFTWV7sUu6d8S8Al4V1Z/view","▶  Watch")</f>
        <v/>
      </c>
      <c r="F10" s="93" t="inlineStr">
        <is>
          <t>Wagner M2D2.mp4</t>
        </is>
      </c>
      <c r="G10" s="93" t="inlineStr">
        <is>
          <t>Topic: Infectious Diseases &amp; HIV</t>
        </is>
      </c>
    </row>
    <row r="11">
      <c r="A11" s="95" t="inlineStr">
        <is>
          <t>Week 3</t>
        </is>
      </c>
      <c r="B11" s="95" t="inlineStr">
        <is>
          <t>Day 1</t>
        </is>
      </c>
      <c r="C11" s="96" t="n"/>
      <c r="D11" s="96" t="inlineStr">
        <is>
          <t>Wagner</t>
        </is>
      </c>
      <c r="E11" s="97">
        <f>HYPERLINK("https://drive.google.com/file/d/1GWwGtHSuUxtEafJ5RUlKTIMCD7prtOyV/view","▶  Watch")</f>
        <v/>
      </c>
      <c r="F11" s="96" t="inlineStr">
        <is>
          <t>Wagner M3D1.mp4</t>
        </is>
      </c>
      <c r="G11" s="96" t="inlineStr">
        <is>
          <t>Topic: Allergic, Inflammatory &amp; Immunologic Disorders</t>
        </is>
      </c>
    </row>
    <row r="12">
      <c r="A12" s="92" t="inlineStr">
        <is>
          <t>Week 3</t>
        </is>
      </c>
      <c r="B12" s="92" t="inlineStr">
        <is>
          <t>Day 2</t>
        </is>
      </c>
      <c r="C12" s="93" t="n"/>
      <c r="D12" s="93" t="inlineStr">
        <is>
          <t>Wagner</t>
        </is>
      </c>
      <c r="E12" s="94">
        <f>HYPERLINK("https://drive.google.com/file/d/14h7QaQPftFeWKqWmyPLMHRAlp4D1DViW/view","▶  Watch")</f>
        <v/>
      </c>
      <c r="F12" s="93" t="inlineStr">
        <is>
          <t>Wagner M3D2.mp4</t>
        </is>
      </c>
      <c r="G12" s="93" t="inlineStr">
        <is>
          <t>Topic: Allergic, Inflammatory &amp; Immunologic Disorders</t>
        </is>
      </c>
    </row>
    <row r="13">
      <c r="A13" s="95" t="inlineStr">
        <is>
          <t>Week 4</t>
        </is>
      </c>
      <c r="B13" s="95" t="inlineStr">
        <is>
          <t>Day 1</t>
        </is>
      </c>
      <c r="C13" s="96" t="n"/>
      <c r="D13" s="96" t="inlineStr">
        <is>
          <t>Wagner</t>
        </is>
      </c>
      <c r="E13" s="97">
        <f>HYPERLINK("https://drive.google.com/file/d/1V93YTwkHnN_moZZB1ScOXleatBLk8tjp/view","▶  Watch")</f>
        <v/>
      </c>
      <c r="F13" s="96" t="inlineStr">
        <is>
          <t>Wagner W4D1.mp4</t>
        </is>
      </c>
      <c r="G13" s="96" t="inlineStr">
        <is>
          <t>Topic: Burns</t>
        </is>
      </c>
    </row>
    <row r="14">
      <c r="A14" s="92" t="inlineStr">
        <is>
          <t>Week 4</t>
        </is>
      </c>
      <c r="B14" s="92" t="inlineStr">
        <is>
          <t>Day 2</t>
        </is>
      </c>
      <c r="C14" s="93" t="n"/>
      <c r="D14" s="93" t="inlineStr">
        <is>
          <t>Wagner</t>
        </is>
      </c>
      <c r="E14" s="94">
        <f>HYPERLINK("https://drive.google.com/file/d/1iuG4OPyP4ncermN7KOeAib0TJ1N0fUGB/view","▶  Watch")</f>
        <v/>
      </c>
      <c r="F14" s="93" t="inlineStr">
        <is>
          <t>Wagner W4D2.mp4</t>
        </is>
      </c>
      <c r="G14" s="93" t="inlineStr">
        <is>
          <t>Topic: Burns</t>
        </is>
      </c>
    </row>
    <row r="15">
      <c r="A15" s="95" t="inlineStr">
        <is>
          <t>Week 5</t>
        </is>
      </c>
      <c r="B15" s="95" t="inlineStr">
        <is>
          <t>Day 1</t>
        </is>
      </c>
      <c r="C15" s="96" t="n"/>
      <c r="D15" s="96" t="inlineStr">
        <is>
          <t>Wagner</t>
        </is>
      </c>
      <c r="E15" s="97">
        <f>HYPERLINK("https://drive.google.com/file/d/1hIdwcnajMloBB9_GuZnY1jrnU8WViAdZ/view","▶  Watch")</f>
        <v/>
      </c>
      <c r="F15" s="96" t="inlineStr">
        <is>
          <t>Wagner W5D1.mp4</t>
        </is>
      </c>
      <c r="G15" s="96" t="inlineStr">
        <is>
          <t>Topic: Endocrine Disorders</t>
        </is>
      </c>
    </row>
    <row r="16">
      <c r="A16" s="92" t="inlineStr">
        <is>
          <t>Week 5</t>
        </is>
      </c>
      <c r="B16" s="92" t="inlineStr">
        <is>
          <t>Day 2</t>
        </is>
      </c>
      <c r="C16" s="93" t="n"/>
      <c r="D16" s="93" t="inlineStr">
        <is>
          <t>Wagner</t>
        </is>
      </c>
      <c r="E16" s="94">
        <f>HYPERLINK("https://drive.google.com/file/d/1gP4XUFWs4UEPG0S22U5Mjh3iLhe6m1uh/view","▶  Watch")</f>
        <v/>
      </c>
      <c r="F16" s="93" t="inlineStr">
        <is>
          <t>Wagner W5D2.mp4</t>
        </is>
      </c>
      <c r="G16" s="93" t="inlineStr">
        <is>
          <t>Topic: Endocrine Disorders</t>
        </is>
      </c>
    </row>
    <row r="17">
      <c r="A17" s="95" t="inlineStr">
        <is>
          <t>Week 6</t>
        </is>
      </c>
      <c r="B17" s="95" t="inlineStr">
        <is>
          <t>Day 1</t>
        </is>
      </c>
      <c r="C17" s="96" t="n"/>
      <c r="D17" s="96" t="inlineStr">
        <is>
          <t>Wagner</t>
        </is>
      </c>
      <c r="E17" s="96" t="n"/>
      <c r="F17" s="96" t="n"/>
      <c r="G17" s="96" t="n"/>
    </row>
    <row r="18">
      <c r="A18" s="92" t="inlineStr">
        <is>
          <t>Week 6</t>
        </is>
      </c>
      <c r="B18" s="92" t="inlineStr">
        <is>
          <t>Day 2</t>
        </is>
      </c>
      <c r="C18" s="93" t="n"/>
      <c r="D18" s="93" t="inlineStr">
        <is>
          <t>Wagner</t>
        </is>
      </c>
      <c r="E18" s="93" t="n"/>
      <c r="F18" s="93" t="n"/>
      <c r="G18" s="93" t="n"/>
    </row>
    <row r="19">
      <c r="A19" s="95" t="inlineStr">
        <is>
          <t>Week 7</t>
        </is>
      </c>
      <c r="B19" s="95" t="inlineStr">
        <is>
          <t>Day 1</t>
        </is>
      </c>
      <c r="C19" s="96" t="n"/>
      <c r="D19" s="96" t="inlineStr">
        <is>
          <t>Wagner</t>
        </is>
      </c>
      <c r="E19" s="96" t="n"/>
      <c r="F19" s="96" t="n"/>
      <c r="G19" s="96" t="n"/>
    </row>
    <row r="20">
      <c r="A20" s="92" t="inlineStr">
        <is>
          <t>Week 7</t>
        </is>
      </c>
      <c r="B20" s="92" t="inlineStr">
        <is>
          <t>Day 2</t>
        </is>
      </c>
      <c r="C20" s="93" t="n"/>
      <c r="D20" s="93" t="inlineStr">
        <is>
          <t>Wagner</t>
        </is>
      </c>
      <c r="E20" s="93" t="n"/>
      <c r="F20" s="93" t="n"/>
      <c r="G20" s="93" t="n"/>
    </row>
    <row r="21" ht="15.75" customHeight="1" s="113">
      <c r="A21" s="95" t="inlineStr">
        <is>
          <t>Week 8</t>
        </is>
      </c>
      <c r="B21" s="95" t="inlineStr">
        <is>
          <t>Day 1</t>
        </is>
      </c>
      <c r="C21" s="96" t="n"/>
      <c r="D21" s="96" t="inlineStr">
        <is>
          <t>Wagner</t>
        </is>
      </c>
      <c r="E21" s="96" t="n"/>
      <c r="F21" s="96" t="n"/>
      <c r="G21" s="96" t="n"/>
    </row>
    <row r="22" ht="15.75" customHeight="1" s="113">
      <c r="A22" s="92" t="inlineStr">
        <is>
          <t>Week 8</t>
        </is>
      </c>
      <c r="B22" s="92" t="inlineStr">
        <is>
          <t>Day 2</t>
        </is>
      </c>
      <c r="C22" s="93" t="n"/>
      <c r="D22" s="93" t="inlineStr">
        <is>
          <t>Wagner</t>
        </is>
      </c>
      <c r="E22" s="93" t="n"/>
      <c r="F22" s="93" t="n"/>
      <c r="G22" s="93" t="n"/>
    </row>
    <row r="23" ht="15.75" customHeight="1" s="113">
      <c r="A23" s="95" t="inlineStr">
        <is>
          <t>Week 9</t>
        </is>
      </c>
      <c r="B23" s="95" t="inlineStr">
        <is>
          <t>Day 1</t>
        </is>
      </c>
      <c r="C23" s="96" t="n"/>
      <c r="D23" s="96" t="inlineStr">
        <is>
          <t>Wagner</t>
        </is>
      </c>
      <c r="E23" s="96" t="n"/>
      <c r="F23" s="96" t="n"/>
      <c r="G23" s="96" t="n"/>
    </row>
    <row r="24" ht="15.75" customHeight="1" s="113">
      <c r="A24" s="92" t="inlineStr">
        <is>
          <t>Week 9</t>
        </is>
      </c>
      <c r="B24" s="92" t="inlineStr">
        <is>
          <t>Day 2</t>
        </is>
      </c>
      <c r="C24" s="93" t="n"/>
      <c r="D24" s="93" t="inlineStr">
        <is>
          <t>Wagner</t>
        </is>
      </c>
      <c r="E24" s="93" t="n"/>
      <c r="F24" s="93" t="n"/>
      <c r="G24" s="93" t="n"/>
    </row>
    <row r="25" ht="15.75" customHeight="1" s="113">
      <c r="A25" s="95" t="inlineStr">
        <is>
          <t>Week 10</t>
        </is>
      </c>
      <c r="B25" s="95" t="inlineStr">
        <is>
          <t>Day 1</t>
        </is>
      </c>
      <c r="C25" s="96" t="n"/>
      <c r="D25" s="96" t="inlineStr">
        <is>
          <t>Wagner</t>
        </is>
      </c>
      <c r="E25" s="97">
        <f>HYPERLINK("https://drive.google.com/file/d/1_sDBTyzdfdPa3wk1s_Xrh5Hf4mrrCF5u/view","▶  Watch")</f>
        <v/>
      </c>
      <c r="F25" s="96" t="inlineStr">
        <is>
          <t>Wagner W10D1.mp4</t>
        </is>
      </c>
      <c r="G25" s="96" t="inlineStr">
        <is>
          <t>Topic: Oncologic Disorders &amp; End-of-Life Care</t>
        </is>
      </c>
    </row>
    <row r="26" ht="15.75" customHeight="1" s="113">
      <c r="A26" s="92" t="inlineStr">
        <is>
          <t>Week 10</t>
        </is>
      </c>
      <c r="B26" s="92" t="inlineStr">
        <is>
          <t>Day 2</t>
        </is>
      </c>
      <c r="C26" s="93" t="n"/>
      <c r="D26" s="93" t="inlineStr">
        <is>
          <t>Wagner</t>
        </is>
      </c>
      <c r="E26" s="94">
        <f>HYPERLINK("https://drive.google.com/file/d/1s6ZSywz0_vjOUACKMdcw_g4Wj3hEc94Q/view","▶  Watch")</f>
        <v/>
      </c>
      <c r="F26" s="93" t="inlineStr">
        <is>
          <t>Wagner W10D2.mp4</t>
        </is>
      </c>
      <c r="G26" s="93" t="inlineStr">
        <is>
          <t>Topic: Oncologic Disorders &amp; End-of-Life Care</t>
        </is>
      </c>
    </row>
    <row r="27" ht="15.75" customHeight="1" s="113">
      <c r="A27" s="95" t="inlineStr">
        <is>
          <t>Week 11</t>
        </is>
      </c>
      <c r="B27" s="95" t="inlineStr">
        <is>
          <t>Day 1</t>
        </is>
      </c>
      <c r="C27" s="96" t="n"/>
      <c r="D27" s="96" t="inlineStr">
        <is>
          <t>Wagner</t>
        </is>
      </c>
      <c r="E27" s="97">
        <f>HYPERLINK("https://drive.google.com/file/d/1fjug2mIicHY7nX9vuO4Y1sJL1_lRp0vU/view","▶  Watch")</f>
        <v/>
      </c>
      <c r="F27" s="96" t="inlineStr">
        <is>
          <t>Wagner W11D1.mp4</t>
        </is>
      </c>
      <c r="G27" s="96" t="inlineStr">
        <is>
          <t>Topic: Reproductive Disorders</t>
        </is>
      </c>
    </row>
    <row r="28" ht="15.75" customHeight="1" s="113">
      <c r="A28" s="92" t="inlineStr">
        <is>
          <t>Week 11</t>
        </is>
      </c>
      <c r="B28" s="92" t="inlineStr">
        <is>
          <t>Day 2</t>
        </is>
      </c>
      <c r="C28" s="93" t="n"/>
      <c r="D28" s="93" t="inlineStr">
        <is>
          <t>Wagner</t>
        </is>
      </c>
      <c r="E28" s="94">
        <f>HYPERLINK("https://drive.google.com/file/d/1Dfopme6sdvh-T26mYeXd_D3Abt-nrRcf/view","▶  Watch")</f>
        <v/>
      </c>
      <c r="F28" s="93" t="inlineStr">
        <is>
          <t>Wagner W11D2.mp4</t>
        </is>
      </c>
      <c r="G28" s="93" t="inlineStr">
        <is>
          <t>Topic: Reproductive Disorders</t>
        </is>
      </c>
    </row>
    <row r="29" ht="15.75" customHeight="1" s="113">
      <c r="A29" s="95" t="inlineStr">
        <is>
          <t>Week 12</t>
        </is>
      </c>
      <c r="B29" s="95" t="inlineStr">
        <is>
          <t>Day 1</t>
        </is>
      </c>
      <c r="C29" s="96" t="n"/>
      <c r="D29" s="96" t="inlineStr">
        <is>
          <t>Wagner</t>
        </is>
      </c>
      <c r="E29" s="97">
        <f>HYPERLINK("https://drive.google.com/file/d/1Na6pkJCCJvGzyCzAf03J8VeyVS63iLjw/view","▶  Watch")</f>
        <v/>
      </c>
      <c r="F29" s="96" t="inlineStr">
        <is>
          <t>Wagner W12D1.mp4</t>
        </is>
      </c>
      <c r="G29" s="96" t="inlineStr">
        <is>
          <t>Topic: Disaster, Mass Casualty &amp; Emergency Nursing</t>
        </is>
      </c>
    </row>
    <row r="30" ht="15.75" customHeight="1" s="113">
      <c r="A30" s="92" t="inlineStr">
        <is>
          <t>Week 12</t>
        </is>
      </c>
      <c r="B30" s="92" t="inlineStr">
        <is>
          <t>Day 2</t>
        </is>
      </c>
      <c r="C30" s="93" t="n"/>
      <c r="D30" s="93" t="inlineStr">
        <is>
          <t>Wagner</t>
        </is>
      </c>
      <c r="E30" s="94">
        <f>HYPERLINK("https://drive.google.com/file/d/1KBCU-z_KkCcozDXbb-XtF4WS_ZRze-jt/view","▶  Watch")</f>
        <v/>
      </c>
      <c r="F30" s="93" t="inlineStr">
        <is>
          <t>Wagner W12D2.mp4</t>
        </is>
      </c>
      <c r="G30" s="93" t="inlineStr">
        <is>
          <t>Topic: Disaster, Mass Casualty &amp; Emergency Nursing</t>
        </is>
      </c>
    </row>
    <row r="31" ht="15.75" customHeight="1" s="113">
      <c r="A31" s="95" t="inlineStr">
        <is>
          <t>Week 13</t>
        </is>
      </c>
      <c r="B31" s="95" t="inlineStr">
        <is>
          <t>Day 1</t>
        </is>
      </c>
      <c r="C31" s="96" t="n"/>
      <c r="D31" s="96" t="inlineStr">
        <is>
          <t>Wagner</t>
        </is>
      </c>
      <c r="E31" s="97">
        <f>HYPERLINK("https://drive.google.com/file/d/14okttGuurXwz3vU_Fr1oJ4P3XIE7qR_x/view","▶  Watch")</f>
        <v/>
      </c>
      <c r="F31" s="96" t="inlineStr">
        <is>
          <t>Wagner W13D1.mp4</t>
        </is>
      </c>
      <c r="G31" s="96" t="inlineStr">
        <is>
          <t>Topic: Shock &amp; MODS</t>
        </is>
      </c>
    </row>
    <row r="32" ht="15.75" customHeight="1" s="113">
      <c r="A32" s="92" t="inlineStr">
        <is>
          <t>Week 13</t>
        </is>
      </c>
      <c r="B32" s="92" t="inlineStr">
        <is>
          <t>Day 2</t>
        </is>
      </c>
      <c r="C32" s="93" t="n"/>
      <c r="D32" s="93" t="inlineStr">
        <is>
          <t>Wagner</t>
        </is>
      </c>
      <c r="E32" s="94">
        <f>HYPERLINK("https://drive.google.com/file/d/17j2Fm5hSFing77SVbMQwGi4sYuuIxyZ6/view","▶  Watch")</f>
        <v/>
      </c>
      <c r="F32" s="93" t="inlineStr">
        <is>
          <t>Wagner W13D2.mp4</t>
        </is>
      </c>
      <c r="G32" s="93" t="inlineStr">
        <is>
          <t>Topic: Shock &amp; MODS</t>
        </is>
      </c>
    </row>
    <row r="33" ht="15.75" customHeight="1" s="113">
      <c r="A33" s="95" t="inlineStr">
        <is>
          <t>Week 14</t>
        </is>
      </c>
      <c r="B33" s="95" t="inlineStr">
        <is>
          <t>Day 1</t>
        </is>
      </c>
      <c r="C33" s="96" t="n"/>
      <c r="D33" s="96" t="inlineStr">
        <is>
          <t>Wagner</t>
        </is>
      </c>
      <c r="E33" s="97">
        <f>HYPERLINK("https://drive.google.com/file/d/1XXi5LxISHmt44ffQ_5sOb-2LqquKsDQJ/view","▶  Watch")</f>
        <v/>
      </c>
      <c r="F33" s="96" t="inlineStr">
        <is>
          <t>Wagner W14D1.mp4</t>
        </is>
      </c>
      <c r="G33" s="96" t="inlineStr">
        <is>
          <t>Topic: Final Exam Review</t>
        </is>
      </c>
    </row>
    <row r="34" ht="15.75" customHeight="1" s="113">
      <c r="A34" s="92" t="inlineStr">
        <is>
          <t>Week 14</t>
        </is>
      </c>
      <c r="B34" s="92" t="inlineStr">
        <is>
          <t>Day 2</t>
        </is>
      </c>
      <c r="C34" s="93" t="n"/>
      <c r="D34" s="93" t="inlineStr">
        <is>
          <t>Wagner</t>
        </is>
      </c>
      <c r="E34" s="94">
        <f>HYPERLINK("https://drive.google.com/file/d/1W6BH-fS4Qj_O922nNOnHjm8NPBNi_rvR/view","▶  Watch")</f>
        <v/>
      </c>
      <c r="F34" s="93" t="inlineStr">
        <is>
          <t>Wagner W14D2.mp4</t>
        </is>
      </c>
      <c r="G34" s="93" t="inlineStr">
        <is>
          <t>Topic: Final Exam Review</t>
        </is>
      </c>
    </row>
    <row r="35" ht="15.75" customHeight="1" s="113">
      <c r="A35" s="101" t="n"/>
      <c r="B35" s="101" t="n"/>
      <c r="C35" s="101" t="n"/>
      <c r="D35" s="101" t="n"/>
      <c r="E35" s="101" t="n"/>
      <c r="F35" s="101" t="n"/>
      <c r="G35" s="101" t="n"/>
    </row>
    <row r="36" ht="15.75" customHeight="1" s="113">
      <c r="A36" s="101" t="n"/>
      <c r="B36" s="101" t="n"/>
      <c r="C36" s="101" t="n"/>
      <c r="D36" s="101" t="n"/>
      <c r="E36" s="101" t="n"/>
      <c r="F36" s="101" t="n"/>
      <c r="G36" s="101" t="n"/>
    </row>
    <row r="37" ht="15.75" customHeight="1" s="113">
      <c r="A37" s="101" t="n"/>
      <c r="B37" s="101" t="n"/>
      <c r="C37" s="101" t="n"/>
      <c r="D37" s="101" t="n"/>
      <c r="E37" s="101" t="n"/>
      <c r="F37" s="101" t="n"/>
      <c r="G37" s="101" t="n"/>
    </row>
    <row r="38" ht="15.75" customHeight="1" s="113">
      <c r="A38" s="101" t="n"/>
      <c r="B38" s="101" t="n"/>
      <c r="C38" s="101" t="n"/>
      <c r="D38" s="101" t="n"/>
      <c r="E38" s="101" t="n"/>
      <c r="F38" s="101" t="n"/>
      <c r="G38" s="101" t="n"/>
    </row>
    <row r="39" ht="15.75" customHeight="1" s="113">
      <c r="A39" s="101" t="n"/>
      <c r="B39" s="101" t="n"/>
      <c r="C39" s="101" t="n"/>
      <c r="D39" s="101" t="n"/>
      <c r="E39" s="101" t="n"/>
      <c r="F39" s="101" t="n"/>
      <c r="G39" s="101" t="n"/>
    </row>
    <row r="40" ht="15.75" customHeight="1" s="113">
      <c r="A40" s="101" t="n"/>
      <c r="B40" s="101" t="n"/>
      <c r="C40" s="101" t="n"/>
      <c r="D40" s="101" t="n"/>
      <c r="E40" s="101" t="n"/>
      <c r="F40" s="101" t="n"/>
      <c r="G40" s="101"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Simmons</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24" t="inlineStr">
        <is>
          <t>Wagner</t>
        </is>
      </c>
      <c r="C3" s="90"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Orientation</t>
        </is>
      </c>
      <c r="C6" s="93" t="inlineStr">
        <is>
          <t>Fall 2026</t>
        </is>
      </c>
      <c r="D6" s="93" t="inlineStr">
        <is>
          <t>Simmons</t>
        </is>
      </c>
      <c r="E6" s="94">
        <f>HYPERLINK("https://drive.google.com/file/d/1vELNw9yEfC3KyPu3v5p8IQWKlkErLRjO/view","▶  Watch")</f>
        <v/>
      </c>
      <c r="F6" s="93" t="inlineStr">
        <is>
          <t>Nur258_Simmons_Wk01_Day1_Orientation.mp4</t>
        </is>
      </c>
      <c r="G6" s="93" t="inlineStr">
        <is>
          <t>Course orientation, first meeting</t>
        </is>
      </c>
    </row>
    <row r="7">
      <c r="A7" s="95" t="inlineStr">
        <is>
          <t>Week 1</t>
        </is>
      </c>
      <c r="B7" s="95" t="inlineStr">
        <is>
          <t>Day 1</t>
        </is>
      </c>
      <c r="C7" s="96" t="inlineStr">
        <is>
          <t>Fall 2026</t>
        </is>
      </c>
      <c r="D7" s="96" t="inlineStr">
        <is>
          <t>Simmons</t>
        </is>
      </c>
      <c r="E7" s="97">
        <f>HYPERLINK("https://drive.google.com/file/d/1l4lkSJ2F1akNyjw44c7mO5-SeA8a7VU8/view","▶  Watch")</f>
        <v/>
      </c>
      <c r="F7" s="96" t="inlineStr">
        <is>
          <t>Nur 258_Simmons_Wk 1.mp4</t>
        </is>
      </c>
      <c r="G7" s="96" t="inlineStr">
        <is>
          <t>Sensory disorders: eye and ear</t>
        </is>
      </c>
    </row>
    <row r="8">
      <c r="A8" s="92" t="inlineStr">
        <is>
          <t>Week 1</t>
        </is>
      </c>
      <c r="B8" s="92" t="inlineStr">
        <is>
          <t>Day 2</t>
        </is>
      </c>
      <c r="C8" s="93" t="inlineStr">
        <is>
          <t>Fall 2026</t>
        </is>
      </c>
      <c r="D8" s="93" t="inlineStr">
        <is>
          <t>Simmons</t>
        </is>
      </c>
      <c r="E8" s="94">
        <f>HYPERLINK("https://drive.google.com/file/d/1nibIelmSIxz4_UZkHdUR20OvMw1yUUWx/view","▶  Watch")</f>
        <v/>
      </c>
      <c r="F8" s="93" t="inlineStr">
        <is>
          <t>Nur 258 Simmons Wk 1 D 2.mp4</t>
        </is>
      </c>
      <c r="G8" s="93" t="inlineStr">
        <is>
          <t>Sensory disorders: eye and ear</t>
        </is>
      </c>
    </row>
    <row r="9">
      <c r="A9" s="95" t="inlineStr">
        <is>
          <t>Week 1</t>
        </is>
      </c>
      <c r="B9" s="95" t="inlineStr">
        <is>
          <t>Day 3</t>
        </is>
      </c>
      <c r="C9" s="96" t="inlineStr">
        <is>
          <t>Fall 2026</t>
        </is>
      </c>
      <c r="D9" s="96" t="inlineStr">
        <is>
          <t>Simmons</t>
        </is>
      </c>
      <c r="E9" s="97">
        <f>HYPERLINK("https://drive.google.com/file/d/1l_giGND--xWFLRqBk6zLGcL0eMAXcHX-/view","▶  Watch")</f>
        <v/>
      </c>
      <c r="F9" s="96" t="inlineStr">
        <is>
          <t>Sun 7 Sep 7-57 PM - Sensory eye and ear, burns, HIV, sepsis, diabetes overview.mp4</t>
        </is>
      </c>
      <c r="G9" s="98" t="inlineStr">
        <is>
          <t>Screen recording, Sun 7 Sep 7:57 PM. Caroline confirmed this one is Simmons. Filed as Week 1 Day 3 - move the row if it belongs to another day</t>
        </is>
      </c>
    </row>
    <row r="10">
      <c r="A10" s="92" t="inlineStr">
        <is>
          <t>Week 2</t>
        </is>
      </c>
      <c r="B10" s="92" t="inlineStr">
        <is>
          <t>Day 1</t>
        </is>
      </c>
      <c r="C10" s="93" t="inlineStr">
        <is>
          <t>Fall 2026</t>
        </is>
      </c>
      <c r="D10" s="93" t="inlineStr">
        <is>
          <t>Simmons</t>
        </is>
      </c>
      <c r="E10" s="99" t="n"/>
      <c r="F10" s="93" t="n"/>
      <c r="G10" s="93" t="n"/>
    </row>
    <row r="11">
      <c r="A11" s="95" t="inlineStr">
        <is>
          <t>Week 2</t>
        </is>
      </c>
      <c r="B11" s="95" t="inlineStr">
        <is>
          <t>Day 2</t>
        </is>
      </c>
      <c r="C11" s="96" t="inlineStr">
        <is>
          <t>Fall 2026</t>
        </is>
      </c>
      <c r="D11" s="96" t="inlineStr">
        <is>
          <t>Simmons</t>
        </is>
      </c>
      <c r="E11" s="100" t="n"/>
      <c r="F11" s="96" t="n"/>
      <c r="G11" s="96" t="n"/>
    </row>
    <row r="12">
      <c r="A12" s="92" t="inlineStr">
        <is>
          <t>Week 3</t>
        </is>
      </c>
      <c r="B12" s="92" t="inlineStr">
        <is>
          <t>Day 1</t>
        </is>
      </c>
      <c r="C12" s="93" t="inlineStr">
        <is>
          <t>Fall 2026</t>
        </is>
      </c>
      <c r="D12" s="93" t="inlineStr">
        <is>
          <t>Simmons</t>
        </is>
      </c>
      <c r="E12" s="99" t="n"/>
      <c r="F12" s="93" t="n"/>
      <c r="G12" s="93" t="n"/>
    </row>
    <row r="13">
      <c r="A13" s="95" t="inlineStr">
        <is>
          <t>Week 3</t>
        </is>
      </c>
      <c r="B13" s="95" t="inlineStr">
        <is>
          <t>Day 2</t>
        </is>
      </c>
      <c r="C13" s="96" t="inlineStr">
        <is>
          <t>Fall 2026</t>
        </is>
      </c>
      <c r="D13" s="96" t="inlineStr">
        <is>
          <t>Simmons</t>
        </is>
      </c>
      <c r="E13" s="100" t="n"/>
      <c r="F13" s="96" t="n"/>
      <c r="G13" s="96" t="n"/>
    </row>
    <row r="14">
      <c r="A14" s="92" t="inlineStr">
        <is>
          <t>Week 4</t>
        </is>
      </c>
      <c r="B14" s="92" t="inlineStr">
        <is>
          <t>Day 1</t>
        </is>
      </c>
      <c r="C14" s="93" t="inlineStr">
        <is>
          <t>Fall 2026</t>
        </is>
      </c>
      <c r="D14" s="93" t="inlineStr">
        <is>
          <t>Simmons</t>
        </is>
      </c>
      <c r="E14" s="94">
        <f>HYPERLINK("https://drive.google.com/file/d/1mQ5_1LTAl8D1uRYt2cr9No8fFFWNdYuo/view","▶  Watch")</f>
        <v/>
      </c>
      <c r="F14" s="93" t="inlineStr">
        <is>
          <t>NUR258_Fall2026_Simmons_Wk04_DayNA_Module 4 - Burns - Parkland, Curling ulcer (topic from Drive speech index).mp4</t>
        </is>
      </c>
      <c r="G14" s="93" t="inlineStr">
        <is>
          <t>Module 4, burns. Day not stated on the upload; topic from the Drive speech index (Parkland, Curling ulcer), not from listening.</t>
        </is>
      </c>
    </row>
    <row r="15">
      <c r="A15" s="95" t="inlineStr">
        <is>
          <t>Week 4</t>
        </is>
      </c>
      <c r="B15" s="95" t="inlineStr">
        <is>
          <t>Day 2</t>
        </is>
      </c>
      <c r="C15" s="96" t="inlineStr">
        <is>
          <t>Fall 2026</t>
        </is>
      </c>
      <c r="D15" s="96" t="inlineStr">
        <is>
          <t>Simmons</t>
        </is>
      </c>
      <c r="E15" s="100" t="n"/>
      <c r="F15" s="96" t="n"/>
      <c r="G15" s="96" t="n"/>
    </row>
    <row r="16">
      <c r="A16" s="92" t="inlineStr">
        <is>
          <t>Week 5</t>
        </is>
      </c>
      <c r="B16" s="92" t="inlineStr">
        <is>
          <t>Day 1</t>
        </is>
      </c>
      <c r="C16" s="93" t="inlineStr">
        <is>
          <t>Fall 2026</t>
        </is>
      </c>
      <c r="D16" s="93" t="inlineStr">
        <is>
          <t>Simmons</t>
        </is>
      </c>
      <c r="E16" s="94">
        <f>HYPERLINK("https://drive.google.com/file/d/1gdm8e33xA3moNJS2cnHyGWtARPnx5-VK/view","▶  Watch")</f>
        <v/>
      </c>
      <c r="F16" s="93" t="inlineStr">
        <is>
          <t>NUR258_Fall2026_Simmons_Wk05_DayNA_Module 5 - Endocrine disorders - pituitary, thyroid, adrenal (topic from Drive speech index).mp4</t>
        </is>
      </c>
      <c r="G16" s="93" t="inlineStr">
        <is>
          <t>Module 5, endocrine. Day not stated on the upload; topic from the Drive speech index (Cushing, Addison, thyroid, pituitary), not from listening.</t>
        </is>
      </c>
    </row>
    <row r="17">
      <c r="A17" s="95" t="inlineStr">
        <is>
          <t>Week 5</t>
        </is>
      </c>
      <c r="B17" s="95" t="inlineStr">
        <is>
          <t>Day 2</t>
        </is>
      </c>
      <c r="C17" s="96" t="inlineStr">
        <is>
          <t>Fall 2026</t>
        </is>
      </c>
      <c r="D17" s="96" t="inlineStr">
        <is>
          <t>Simmons</t>
        </is>
      </c>
      <c r="E17" s="100" t="n"/>
      <c r="F17" s="96" t="n"/>
      <c r="G17" s="96" t="n"/>
    </row>
    <row r="18">
      <c r="A18" s="92" t="inlineStr">
        <is>
          <t>Week 6</t>
        </is>
      </c>
      <c r="B18" s="92" t="inlineStr">
        <is>
          <t>Day 1</t>
        </is>
      </c>
      <c r="C18" s="93" t="inlineStr">
        <is>
          <t>Fall 2026</t>
        </is>
      </c>
      <c r="D18" s="93" t="inlineStr">
        <is>
          <t>Simmons</t>
        </is>
      </c>
      <c r="E18" s="94">
        <f>HYPERLINK("https://drive.google.com/file/d/1b9_VQuLuEJO8Oxkfkgh6R8tliXlwiTHe/view","▶  Watch")</f>
        <v/>
      </c>
      <c r="F18" s="93" t="inlineStr">
        <is>
          <t>NUR258_Fall2026_Simmons_Wk06_DayNA_Module 6 - Diabetes (named from the week number).mp4</t>
        </is>
      </c>
      <c r="G18" s="93" t="inlineStr">
        <is>
          <t>Module 6, diabetes. Uploaded 6 Oct as "NUR 258 Simmons Wk 6" (1.68 GB); day not stated, topic taken from the module title. Copy also in 258 lectures.</t>
        </is>
      </c>
    </row>
    <row r="19">
      <c r="A19" s="95" t="inlineStr">
        <is>
          <t>Week 6</t>
        </is>
      </c>
      <c r="B19" s="95" t="inlineStr">
        <is>
          <t>Day 2</t>
        </is>
      </c>
      <c r="C19" s="96" t="inlineStr">
        <is>
          <t>Fall 2026</t>
        </is>
      </c>
      <c r="D19" s="96" t="inlineStr">
        <is>
          <t>Simmons</t>
        </is>
      </c>
      <c r="E19" s="117">
        <f>HYPERLINK("https://drive.google.com/file/d/1Ddu9C9PKmJeJIAp3rms9yKN_aJOW5cMH/view","▶  Watch")</f>
        <v/>
      </c>
      <c r="F19" s="93" t="inlineStr">
        <is>
          <t>NUR258_Fall2026_Simmons_Wk06_DayNA_Module 6 - Diabetes (second recording, topic from the speech index).mp4</t>
        </is>
      </c>
      <c r="G19" s="93"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2" t="inlineStr">
        <is>
          <t>Week 7</t>
        </is>
      </c>
      <c r="B20" s="92" t="inlineStr">
        <is>
          <t>Day 1</t>
        </is>
      </c>
      <c r="C20" s="93" t="inlineStr">
        <is>
          <t>Fall 2026</t>
        </is>
      </c>
      <c r="D20" s="93" t="inlineStr">
        <is>
          <t>Simmons</t>
        </is>
      </c>
      <c r="E20" s="117">
        <f>HYPERLINK("https://drive.google.com/file/d/1dEApSof8CrGkfjqyOWd6yaeUf7vWgQfP/view","▶  Watch")</f>
        <v/>
      </c>
      <c r="F20" s="93" t="inlineStr">
        <is>
          <t>NUR258_Fall2026_Simmons_Wk07_DayNA_Module 7 - Neurologic and cerebrovascular disorders.mp4</t>
        </is>
      </c>
      <c r="G20" s="93" t="inlineStr">
        <is>
          <t>Module 7, neurologic and cerebrovascular disorders. Screen recording of the Mon 12 Oct class (450 MB); Caroline named Simmons as the lecturer. Day not stated, so it sits on Day 1.</t>
        </is>
      </c>
    </row>
    <row r="21" ht="15.75" customHeight="1" s="113">
      <c r="A21" s="95" t="inlineStr">
        <is>
          <t>Week 7</t>
        </is>
      </c>
      <c r="B21" s="95" t="inlineStr">
        <is>
          <t>Day 2</t>
        </is>
      </c>
      <c r="C21" s="96" t="inlineStr">
        <is>
          <t>Fall 2026</t>
        </is>
      </c>
      <c r="D21" s="96" t="inlineStr">
        <is>
          <t>Simmons</t>
        </is>
      </c>
      <c r="E21" s="100" t="n"/>
      <c r="F21" s="96" t="n"/>
      <c r="G21" s="96" t="n"/>
    </row>
    <row r="22" ht="15.75" customHeight="1" s="113">
      <c r="A22" s="92" t="inlineStr">
        <is>
          <t>Week 8</t>
        </is>
      </c>
      <c r="B22" s="92" t="inlineStr">
        <is>
          <t>Day 1</t>
        </is>
      </c>
      <c r="C22" s="93" t="inlineStr">
        <is>
          <t>Fall 2026</t>
        </is>
      </c>
      <c r="D22" s="93" t="inlineStr">
        <is>
          <t>Simmons</t>
        </is>
      </c>
      <c r="E22" s="99" t="n"/>
      <c r="F22" s="93" t="n"/>
      <c r="G22" s="93" t="n"/>
    </row>
    <row r="23" ht="15.75" customHeight="1" s="113">
      <c r="A23" s="95" t="inlineStr">
        <is>
          <t>Week 8</t>
        </is>
      </c>
      <c r="B23" s="95" t="inlineStr">
        <is>
          <t>Day 2</t>
        </is>
      </c>
      <c r="C23" s="96" t="inlineStr">
        <is>
          <t>Fall 2026</t>
        </is>
      </c>
      <c r="D23" s="96" t="inlineStr">
        <is>
          <t>Simmons</t>
        </is>
      </c>
      <c r="E23" s="100" t="n"/>
      <c r="F23" s="96" t="n"/>
      <c r="G23" s="96" t="n"/>
    </row>
    <row r="24" ht="15.75" customHeight="1" s="113">
      <c r="A24" s="92" t="inlineStr">
        <is>
          <t>Week 9</t>
        </is>
      </c>
      <c r="B24" s="92" t="inlineStr">
        <is>
          <t>Day 1</t>
        </is>
      </c>
      <c r="C24" s="93" t="inlineStr">
        <is>
          <t>Fall 2026</t>
        </is>
      </c>
      <c r="D24" s="93" t="inlineStr">
        <is>
          <t>Simmons</t>
        </is>
      </c>
      <c r="E24" s="99" t="n"/>
      <c r="F24" s="93" t="n"/>
      <c r="G24" s="93" t="n"/>
    </row>
    <row r="25" ht="15.75" customHeight="1" s="113">
      <c r="A25" s="95" t="inlineStr">
        <is>
          <t>Week 9</t>
        </is>
      </c>
      <c r="B25" s="95" t="inlineStr">
        <is>
          <t>Day 2</t>
        </is>
      </c>
      <c r="C25" s="96" t="inlineStr">
        <is>
          <t>Fall 2026</t>
        </is>
      </c>
      <c r="D25" s="96" t="inlineStr">
        <is>
          <t>Simmons</t>
        </is>
      </c>
      <c r="E25" s="100" t="n"/>
      <c r="F25" s="96" t="n"/>
      <c r="G25" s="96" t="n"/>
    </row>
    <row r="26" ht="15.75" customHeight="1" s="113">
      <c r="A26" s="92" t="inlineStr">
        <is>
          <t>Week 10</t>
        </is>
      </c>
      <c r="B26" s="92" t="inlineStr">
        <is>
          <t>Day 1</t>
        </is>
      </c>
      <c r="C26" s="93" t="inlineStr">
        <is>
          <t>Fall 2026</t>
        </is>
      </c>
      <c r="D26" s="93" t="inlineStr">
        <is>
          <t>Simmons</t>
        </is>
      </c>
      <c r="E26" s="99" t="n"/>
      <c r="F26" s="93" t="n"/>
      <c r="G26" s="93" t="n"/>
    </row>
    <row r="27" ht="15.75" customHeight="1" s="113">
      <c r="A27" s="95" t="inlineStr">
        <is>
          <t>Week 10</t>
        </is>
      </c>
      <c r="B27" s="95" t="inlineStr">
        <is>
          <t>Day 2</t>
        </is>
      </c>
      <c r="C27" s="96" t="inlineStr">
        <is>
          <t>Fall 2026</t>
        </is>
      </c>
      <c r="D27" s="96" t="inlineStr">
        <is>
          <t>Simmons</t>
        </is>
      </c>
      <c r="E27" s="100" t="n"/>
      <c r="F27" s="96" t="n"/>
      <c r="G27" s="96" t="n"/>
    </row>
    <row r="28" ht="15.75" customHeight="1" s="113">
      <c r="A28" s="92" t="inlineStr">
        <is>
          <t>Week 11</t>
        </is>
      </c>
      <c r="B28" s="92" t="inlineStr">
        <is>
          <t>Day 1</t>
        </is>
      </c>
      <c r="C28" s="93" t="inlineStr">
        <is>
          <t>Fall 2026</t>
        </is>
      </c>
      <c r="D28" s="93" t="inlineStr">
        <is>
          <t>Simmons</t>
        </is>
      </c>
      <c r="E28" s="99" t="n"/>
      <c r="F28" s="93" t="n"/>
      <c r="G28" s="93" t="n"/>
    </row>
    <row r="29" ht="15.75" customHeight="1" s="113">
      <c r="A29" s="95" t="inlineStr">
        <is>
          <t>Week 11</t>
        </is>
      </c>
      <c r="B29" s="95" t="inlineStr">
        <is>
          <t>Day 2</t>
        </is>
      </c>
      <c r="C29" s="96" t="inlineStr">
        <is>
          <t>Fall 2026</t>
        </is>
      </c>
      <c r="D29" s="96" t="inlineStr">
        <is>
          <t>Simmons</t>
        </is>
      </c>
      <c r="E29" s="100" t="n"/>
      <c r="F29" s="96" t="n"/>
      <c r="G29" s="96" t="n"/>
    </row>
    <row r="30" ht="15.75" customHeight="1" s="113">
      <c r="A30" s="92" t="inlineStr">
        <is>
          <t>Week 12</t>
        </is>
      </c>
      <c r="B30" s="92" t="inlineStr">
        <is>
          <t>Day 1</t>
        </is>
      </c>
      <c r="C30" s="93" t="inlineStr">
        <is>
          <t>Fall 2026</t>
        </is>
      </c>
      <c r="D30" s="93" t="inlineStr">
        <is>
          <t>Simmons</t>
        </is>
      </c>
      <c r="E30" s="99" t="n"/>
      <c r="F30" s="93" t="n"/>
      <c r="G30" s="93" t="n"/>
    </row>
    <row r="31" ht="15.75" customHeight="1" s="113">
      <c r="A31" s="95" t="inlineStr">
        <is>
          <t>Week 12</t>
        </is>
      </c>
      <c r="B31" s="95" t="inlineStr">
        <is>
          <t>Day 2</t>
        </is>
      </c>
      <c r="C31" s="96" t="inlineStr">
        <is>
          <t>Fall 2026</t>
        </is>
      </c>
      <c r="D31" s="96" t="inlineStr">
        <is>
          <t>Simmons</t>
        </is>
      </c>
      <c r="E31" s="100" t="n"/>
      <c r="F31" s="96" t="n"/>
      <c r="G31" s="96" t="n"/>
    </row>
    <row r="32" ht="15.75" customHeight="1" s="113">
      <c r="A32" s="92" t="inlineStr">
        <is>
          <t>Week 13</t>
        </is>
      </c>
      <c r="B32" s="92" t="inlineStr">
        <is>
          <t>Day 1</t>
        </is>
      </c>
      <c r="C32" s="93" t="inlineStr">
        <is>
          <t>Fall 2026</t>
        </is>
      </c>
      <c r="D32" s="93" t="inlineStr">
        <is>
          <t>Simmons</t>
        </is>
      </c>
      <c r="E32" s="99" t="n"/>
      <c r="F32" s="93" t="n"/>
      <c r="G32" s="93" t="n"/>
    </row>
    <row r="33" ht="15.75" customHeight="1" s="113">
      <c r="A33" s="95" t="inlineStr">
        <is>
          <t>Week 13</t>
        </is>
      </c>
      <c r="B33" s="95" t="inlineStr">
        <is>
          <t>Day 2</t>
        </is>
      </c>
      <c r="C33" s="96" t="inlineStr">
        <is>
          <t>Fall 2026</t>
        </is>
      </c>
      <c r="D33" s="96" t="inlineStr">
        <is>
          <t>Simmons</t>
        </is>
      </c>
      <c r="E33" s="100" t="n"/>
      <c r="F33" s="96" t="n"/>
      <c r="G33" s="96" t="n"/>
    </row>
    <row r="34" ht="15.75" customHeight="1" s="113">
      <c r="A34" s="92" t="inlineStr">
        <is>
          <t>Week 14</t>
        </is>
      </c>
      <c r="B34" s="92" t="inlineStr">
        <is>
          <t>Day 1</t>
        </is>
      </c>
      <c r="C34" s="93" t="inlineStr">
        <is>
          <t>Fall 2026</t>
        </is>
      </c>
      <c r="D34" s="93" t="inlineStr">
        <is>
          <t>Simmons</t>
        </is>
      </c>
      <c r="E34" s="99" t="n"/>
      <c r="F34" s="93" t="n"/>
      <c r="G34" s="93" t="n"/>
    </row>
    <row r="35" ht="15.75" customHeight="1" s="113">
      <c r="A35" s="95" t="inlineStr">
        <is>
          <t>Week 14</t>
        </is>
      </c>
      <c r="B35" s="95" t="inlineStr">
        <is>
          <t>Day 2</t>
        </is>
      </c>
      <c r="C35" s="96" t="inlineStr">
        <is>
          <t>Fall 2026</t>
        </is>
      </c>
      <c r="D35" s="96" t="inlineStr">
        <is>
          <t>Simmons</t>
        </is>
      </c>
      <c r="E35" s="100" t="n"/>
      <c r="F35" s="96" t="n"/>
      <c r="G35" s="96" t="n"/>
    </row>
    <row r="36" ht="15.75" customHeight="1" s="113">
      <c r="A36" s="101" t="n"/>
      <c r="B36" s="101" t="n"/>
      <c r="C36" s="101" t="n"/>
      <c r="D36" s="101" t="n"/>
      <c r="E36" s="101" t="n"/>
      <c r="F36" s="101" t="n"/>
      <c r="G36" s="101" t="n"/>
    </row>
    <row r="37" ht="15.75" customHeight="1" s="113">
      <c r="A37" s="101" t="n"/>
      <c r="B37" s="101" t="n"/>
      <c r="C37" s="101" t="n"/>
      <c r="D37" s="101" t="n"/>
      <c r="E37" s="101" t="n"/>
      <c r="F37" s="101" t="n"/>
      <c r="G37" s="101" t="n"/>
    </row>
    <row r="38" ht="15.75" customHeight="1" s="113">
      <c r="A38" s="101" t="n"/>
      <c r="B38" s="101" t="n"/>
      <c r="C38" s="101" t="n"/>
      <c r="D38" s="101" t="n"/>
      <c r="E38" s="101" t="n"/>
      <c r="F38" s="101" t="n"/>
      <c r="G38" s="101" t="n"/>
    </row>
    <row r="39" ht="15.75" customHeight="1" s="113">
      <c r="A39" s="101" t="n"/>
      <c r="B39" s="101" t="n"/>
      <c r="C39" s="101" t="n"/>
      <c r="D39" s="101" t="n"/>
      <c r="E39" s="101" t="n"/>
      <c r="F39" s="101" t="n"/>
      <c r="G39" s="101" t="n"/>
    </row>
    <row r="40" ht="15.75" customHeight="1" s="113">
      <c r="A40" s="101" t="n"/>
      <c r="B40" s="101" t="n"/>
      <c r="C40" s="101" t="n"/>
      <c r="D40" s="101" t="n"/>
      <c r="E40" s="101" t="n"/>
      <c r="F40" s="101" t="n"/>
      <c r="G40" s="101"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5.43" customWidth="1" style="113" min="3" max="3"/>
    <col width="16" customWidth="1" style="113" min="4" max="4"/>
    <col width="18" customWidth="1" style="113" min="5" max="5"/>
    <col width="59.29" customWidth="1" style="113" min="6" max="6"/>
    <col width="44" customWidth="1" style="113" min="7" max="7"/>
  </cols>
  <sheetData>
    <row r="1">
      <c r="A1" s="89" t="inlineStr">
        <is>
          <t>NUR258  ·  LSC Exam Reviews</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24" t="inlineStr">
        <is>
          <t>Wagner</t>
        </is>
      </c>
      <c r="C3" s="24" t="inlineStr">
        <is>
          <t>Simmons</t>
        </is>
      </c>
      <c r="D3" s="102" t="inlineStr">
        <is>
          <t>Exams</t>
        </is>
      </c>
      <c r="E3" s="32" t="n"/>
      <c r="F3" s="14" t="n"/>
      <c r="G3" s="14" t="n"/>
    </row>
    <row r="4">
      <c r="A4" s="14" t="n"/>
      <c r="B4" s="14" t="n"/>
      <c r="C4" s="14" t="n"/>
      <c r="D4" s="14" t="n"/>
      <c r="E4" s="14" t="n"/>
      <c r="F4" s="14" t="n"/>
      <c r="G4" s="14" t="n"/>
    </row>
    <row r="5">
      <c r="A5" s="91" t="inlineStr">
        <is>
          <t>Exam</t>
        </is>
      </c>
      <c r="B5" s="91" t="inlineStr">
        <is>
          <t>Date</t>
        </is>
      </c>
      <c r="C5" s="91" t="inlineStr">
        <is>
          <t>Item</t>
        </is>
      </c>
      <c r="D5" s="91" t="inlineStr">
        <is>
          <t>Lecturer</t>
        </is>
      </c>
      <c r="E5" s="91" t="inlineStr">
        <is>
          <t>Type</t>
        </is>
      </c>
      <c r="F5" s="91" t="inlineStr">
        <is>
          <t>Link</t>
        </is>
      </c>
      <c r="G5" s="91" t="inlineStr">
        <is>
          <t>Notes</t>
        </is>
      </c>
    </row>
    <row r="6">
      <c r="A6" s="92" t="inlineStr">
        <is>
          <t>Exam 1</t>
        </is>
      </c>
      <c r="B6" s="93" t="inlineStr">
        <is>
          <t>Fall 2026</t>
        </is>
      </c>
      <c r="C6" s="93" t="inlineStr">
        <is>
          <t>Exam Review Session Module 1 - Sensory Perception</t>
        </is>
      </c>
      <c r="D6" s="93" t="n"/>
      <c r="E6" s="93" t="inlineStr">
        <is>
          <t>Video</t>
        </is>
      </c>
      <c r="F6" s="94">
        <f>HYPERLINK("https://drive.google.com/file/d/1n_MoNcyp3z65eFCtCR4f7dp8nTgy7sBS/view","▶  Watch")</f>
        <v/>
      </c>
      <c r="G6" s="93" t="inlineStr">
        <is>
          <t>Exam prep session recording</t>
        </is>
      </c>
    </row>
    <row r="7">
      <c r="A7" s="95" t="inlineStr">
        <is>
          <t>Exam 1</t>
        </is>
      </c>
      <c r="B7" s="96" t="inlineStr">
        <is>
          <t>Fall 2026</t>
        </is>
      </c>
      <c r="C7" s="96" t="inlineStr">
        <is>
          <t>Exam 1 Lecture - Chronic Illness and Disability</t>
        </is>
      </c>
      <c r="D7" s="96" t="n"/>
      <c r="E7" s="96" t="inlineStr">
        <is>
          <t>Video</t>
        </is>
      </c>
      <c r="F7" s="97">
        <f>HYPERLINK("https://drive.google.com/file/d/1ZrWFZmG2OfhegGjI35YY85MHppUuee6l/view","▶  Watch")</f>
        <v/>
      </c>
      <c r="G7" s="96" t="inlineStr">
        <is>
          <t>From the Exam Prep &gt; FINAL Exam &gt; Lecture Review Videos folder</t>
        </is>
      </c>
    </row>
    <row r="8">
      <c r="A8" s="95" t="inlineStr">
        <is>
          <t>Exam 1</t>
        </is>
      </c>
      <c r="B8" s="93" t="inlineStr">
        <is>
          <t>Fall 2026</t>
        </is>
      </c>
      <c r="C8" s="93" t="inlineStr">
        <is>
          <t>Module 1 - Exam Review Session, Sensory Issues</t>
        </is>
      </c>
      <c r="D8" s="93" t="n"/>
      <c r="E8" s="93" t="inlineStr">
        <is>
          <t>Exam prep (LSC)</t>
        </is>
      </c>
      <c r="F8" s="94">
        <f>HYPERLINK("https://drive.google.com/file/d/1NIAwYKi0eS0TO-BnVf74OLGxlZGUNfQ1/view","▶  Watch")</f>
        <v/>
      </c>
      <c r="G8" s="93" t="inlineStr">
        <is>
          <t>Topic: Module 1 - Exam Review Session, Sensory Issues</t>
        </is>
      </c>
      <c r="H8" s="103" t="inlineStr">
        <is>
          <t>Exam prep (LSC)</t>
        </is>
      </c>
    </row>
    <row r="9">
      <c r="A9" s="95" t="inlineStr">
        <is>
          <t>Exam 1</t>
        </is>
      </c>
      <c r="B9" s="96" t="inlineStr">
        <is>
          <t>Fall 2026</t>
        </is>
      </c>
      <c r="C9" s="96" t="inlineStr">
        <is>
          <t>Module 2 - Infectious Diseases</t>
        </is>
      </c>
      <c r="D9" s="96" t="n"/>
      <c r="E9" s="96" t="inlineStr">
        <is>
          <t>Exam prep (LSC)</t>
        </is>
      </c>
      <c r="F9" s="97">
        <f>HYPERLINK("https://drive.google.com/file/d/1n2XHRXYmR6U1Zw6QPjJDQ65461PQc1Yf/view","▶  Watch")</f>
        <v/>
      </c>
      <c r="G9" s="96" t="inlineStr">
        <is>
          <t>Topic: Module 2 - Infectious Diseases</t>
        </is>
      </c>
      <c r="H9" s="103" t="inlineStr">
        <is>
          <t>LSC exam prep, 59:14</t>
        </is>
      </c>
    </row>
    <row r="10">
      <c r="A10" s="95" t="inlineStr">
        <is>
          <t>Exam 1</t>
        </is>
      </c>
      <c r="B10" s="93" t="inlineStr">
        <is>
          <t>Fall 2026</t>
        </is>
      </c>
      <c r="C10" s="93" t="inlineStr">
        <is>
          <t>Module 3 - Inflammatory Disorders</t>
        </is>
      </c>
      <c r="D10" s="93" t="n"/>
      <c r="E10" s="93" t="inlineStr">
        <is>
          <t>Exam prep (LSC)</t>
        </is>
      </c>
      <c r="F10" s="94">
        <f>HYPERLINK("https://drive.google.com/file/d/18QxQvERtngH_lYv0-BF6NDMYxDj3G_wq/view","▶  Watch")</f>
        <v/>
      </c>
      <c r="G10" s="93" t="inlineStr">
        <is>
          <t>Topic: Module 3 - Inflammatory Disorders</t>
        </is>
      </c>
      <c r="H10" s="103" t="inlineStr">
        <is>
          <t>LSC exam prep, 34:49</t>
        </is>
      </c>
    </row>
    <row r="11">
      <c r="A11" s="95" t="inlineStr">
        <is>
          <t>Exam 1</t>
        </is>
      </c>
      <c r="B11" s="96" t="inlineStr">
        <is>
          <t>Fall 2026</t>
        </is>
      </c>
      <c r="C11" s="96" t="inlineStr">
        <is>
          <t>Module 3 - Immunologic Disorders (RA, SLE, fibromyalgia)</t>
        </is>
      </c>
      <c r="D11" s="96" t="n"/>
      <c r="E11" s="96" t="inlineStr">
        <is>
          <t>Exam prep (LSC)</t>
        </is>
      </c>
      <c r="F11" s="97">
        <f>HYPERLINK("https://drive.google.com/file/d/18EXHL_6NcAl0aqRLyU26K_urJSLIeQE9/view","▶  Watch")</f>
        <v/>
      </c>
      <c r="G11" s="96" t="inlineStr">
        <is>
          <t>Topic: Module 3 - Immunologic Disorders (RA, SLE, fibromyalgia)</t>
        </is>
      </c>
      <c r="H11" s="103" t="inlineStr">
        <is>
          <t>LSC exam prep, 12:25. This is the one whose upload failed first time</t>
        </is>
      </c>
    </row>
    <row r="12">
      <c r="A12" s="92" t="inlineStr">
        <is>
          <t>Exam 2</t>
        </is>
      </c>
      <c r="B12" s="93" t="inlineStr">
        <is>
          <t>Fall 2026</t>
        </is>
      </c>
      <c r="C12" s="93" t="inlineStr">
        <is>
          <t>Module 4 - Burns</t>
        </is>
      </c>
      <c r="D12" s="93" t="n"/>
      <c r="E12" s="93" t="inlineStr">
        <is>
          <t>Exam prep (LSC)</t>
        </is>
      </c>
      <c r="F12" s="104">
        <f>HYPERLINK("https://drive.google.com/file/d/1WZx7Rxzq6B3C-ZWqFQrx5YWyim_R72Qg/view","▶  Watch")</f>
        <v/>
      </c>
      <c r="G12" s="93" t="inlineStr">
        <is>
          <t>Topic: Module 4 - Burns</t>
        </is>
      </c>
      <c r="H12" s="103" t="inlineStr">
        <is>
          <t>Exam prep (LSC)</t>
        </is>
      </c>
    </row>
    <row r="13">
      <c r="A13" s="92" t="inlineStr">
        <is>
          <t>Exam 2</t>
        </is>
      </c>
      <c r="B13" s="93" t="inlineStr">
        <is>
          <t>Fall 2026</t>
        </is>
      </c>
      <c r="C13" s="93" t="inlineStr">
        <is>
          <t>Module 5 - Endocrine I</t>
        </is>
      </c>
      <c r="D13" s="93" t="n"/>
      <c r="E13" s="93" t="inlineStr">
        <is>
          <t>Exam prep (LSC)</t>
        </is>
      </c>
      <c r="F13" s="104">
        <f>HYPERLINK("https://drive.google.com/file/d/1mjfspWMOiZAzGk5-bumBiaGCLj95N87j/view","▶  Watch")</f>
        <v/>
      </c>
      <c r="G13" s="93" t="inlineStr">
        <is>
          <t>Topic: Module 5 - Endocrine I</t>
        </is>
      </c>
      <c r="H13" s="103" t="inlineStr">
        <is>
          <t>Exam prep (LSC)</t>
        </is>
      </c>
    </row>
    <row r="14">
      <c r="A14" s="92" t="inlineStr">
        <is>
          <t>Exam 2</t>
        </is>
      </c>
      <c r="B14" s="93" t="inlineStr">
        <is>
          <t>Fall 2026</t>
        </is>
      </c>
      <c r="C14" s="93" t="inlineStr">
        <is>
          <t>Module 6 - Endocrine II</t>
        </is>
      </c>
      <c r="D14" s="93" t="n"/>
      <c r="E14" s="93" t="inlineStr">
        <is>
          <t>Exam prep (LSC)</t>
        </is>
      </c>
      <c r="F14" s="104">
        <f>HYPERLINK("https://drive.google.com/file/d/10hWqRgn1ai3FbbYdCkSnrix99pd6LGxY/view","▶  Watch")</f>
        <v/>
      </c>
      <c r="G14" s="93" t="inlineStr">
        <is>
          <t>LSC exam prep, 65:02 (the course lists it under Module 6). Uploaded 6 Oct as "lsc unknown" (660 MB). Presenter: Dr Clancey Sollis (LSC) - your screenshot of the Zoom player shows "NUR258 Endocrine II (DM)", Dr. Clancey Sollis, recorded 18 May 2026.</t>
        </is>
      </c>
      <c r="H14" s="103" t="n"/>
    </row>
    <row r="15">
      <c r="A15" s="92" t="inlineStr">
        <is>
          <t>Exam 2</t>
        </is>
      </c>
      <c r="B15" s="93" t="inlineStr">
        <is>
          <t>Fall 2026</t>
        </is>
      </c>
      <c r="C15" s="93" t="inlineStr">
        <is>
          <t>Module 6 - Endocrine II (earlier capture, 28 Sep)</t>
        </is>
      </c>
      <c r="D15" s="93" t="n"/>
      <c r="E15" s="93" t="inlineStr">
        <is>
          <t>Exam prep (LSC)</t>
        </is>
      </c>
      <c r="F15" s="104">
        <f>HYPERLINK("https://drive.google.com/file/d/1MZ29HI1AnTkPslMyyyfGRPDlzlHHmXZI/view","▶  Watch")</f>
        <v/>
      </c>
      <c r="G15" s="93" t="inlineStr">
        <is>
          <t>Same session, the recovered 28 Sep screen recording (188 MB). Was filed under Module 5 before 6 Oct.</t>
        </is>
      </c>
      <c r="H15" s="103" t="n"/>
    </row>
    <row r="16">
      <c r="A16" s="92" t="n"/>
      <c r="B16" s="93" t="n"/>
      <c r="C16" s="93" t="n"/>
      <c r="D16" s="93" t="n"/>
      <c r="E16" s="93" t="n"/>
      <c r="F16" s="104" t="n"/>
      <c r="G16" s="93" t="n"/>
      <c r="H16" s="103" t="n"/>
    </row>
    <row r="17">
      <c r="A17" s="95" t="n"/>
      <c r="B17" s="96" t="n"/>
      <c r="C17" s="96" t="n"/>
      <c r="D17" s="96" t="n"/>
      <c r="E17" s="96" t="n"/>
      <c r="F17" s="96" t="n"/>
      <c r="G17" s="96" t="n"/>
    </row>
    <row r="18">
      <c r="A18" s="92" t="n"/>
      <c r="B18" s="93" t="n"/>
      <c r="C18" s="93" t="n"/>
      <c r="D18" s="93" t="n"/>
      <c r="E18" s="93" t="n"/>
      <c r="F18" s="93" t="n"/>
      <c r="G18" s="93" t="n"/>
    </row>
    <row r="19" ht="15.75" customHeight="1" s="113">
      <c r="A19" s="95" t="inlineStr">
        <is>
          <t>FINAL</t>
        </is>
      </c>
      <c r="B19" s="96" t="n"/>
      <c r="C19" s="96" t="inlineStr">
        <is>
          <t>Other / my materials</t>
        </is>
      </c>
      <c r="D19" s="96" t="n"/>
      <c r="E19" s="96" t="n"/>
      <c r="F19" s="96" t="n"/>
      <c r="G19" s="96" t="n"/>
    </row>
    <row r="20" ht="15.75" customHeight="1" s="113">
      <c r="A20" s="92" t="inlineStr">
        <is>
          <t>FINAL</t>
        </is>
      </c>
      <c r="B20" s="93" t="inlineStr">
        <is>
          <t>Prior term</t>
        </is>
      </c>
      <c r="C20" s="93" t="inlineStr">
        <is>
          <t>Halecka Final Exam Review, Day 1 (Week 14)</t>
        </is>
      </c>
      <c r="D20" s="93" t="inlineStr">
        <is>
          <t>Halecka</t>
        </is>
      </c>
      <c r="E20" s="93" t="inlineStr">
        <is>
          <t>Video</t>
        </is>
      </c>
      <c r="F20" s="94">
        <f>HYPERLINK("https://drive.google.com/file/d/1zheVM3ofPwCJemSeusWnGIrJT3d4bRfa/view","▶  Watch")</f>
        <v/>
      </c>
      <c r="G20" s="93" t="inlineStr">
        <is>
          <t>Last cohort. Also on the Halecka tab as Week 14</t>
        </is>
      </c>
    </row>
    <row r="21" ht="15.75" customHeight="1" s="113">
      <c r="A21" s="95" t="inlineStr">
        <is>
          <t>FINAL</t>
        </is>
      </c>
      <c r="B21" s="96" t="inlineStr">
        <is>
          <t>Prior term</t>
        </is>
      </c>
      <c r="C21" s="96" t="inlineStr">
        <is>
          <t>Halecka Final Exam Review, Day 2 (Week 14)</t>
        </is>
      </c>
      <c r="D21" s="96" t="inlineStr">
        <is>
          <t>Halecka</t>
        </is>
      </c>
      <c r="E21" s="96" t="inlineStr">
        <is>
          <t>Video</t>
        </is>
      </c>
      <c r="F21" s="97">
        <f>HYPERLINK("https://drive.google.com/file/d/1pPJCq61IKj7wPRGdzD-VevKB7HEEsk6l/view","▶  Watch")</f>
        <v/>
      </c>
      <c r="G21" s="96" t="inlineStr">
        <is>
          <t>Last cohort</t>
        </is>
      </c>
    </row>
    <row r="22" ht="15.75" customHeight="1" s="113">
      <c r="A22" s="92" t="inlineStr">
        <is>
          <t>FINAL</t>
        </is>
      </c>
      <c r="B22" s="93" t="inlineStr">
        <is>
          <t>Prior term</t>
        </is>
      </c>
      <c r="C22" s="93" t="inlineStr">
        <is>
          <t>Wagner Final Exam Review, Day 1 (Week 14)</t>
        </is>
      </c>
      <c r="D22" s="93" t="inlineStr">
        <is>
          <t>Wagner</t>
        </is>
      </c>
      <c r="E22" s="93" t="inlineStr">
        <is>
          <t>Video</t>
        </is>
      </c>
      <c r="F22" s="94">
        <f>HYPERLINK("https://drive.google.com/file/d/1pLrCvbUjn93RV7Q_nSdHShteocDWpKLS/view","▶  Watch")</f>
        <v/>
      </c>
      <c r="G22" s="93" t="inlineStr">
        <is>
          <t>Last cohort. Also on the Wagner tab as Week 14</t>
        </is>
      </c>
    </row>
    <row r="23" ht="15.75" customHeight="1" s="113">
      <c r="A23" s="95" t="inlineStr">
        <is>
          <t>FINAL</t>
        </is>
      </c>
      <c r="B23" s="96" t="inlineStr">
        <is>
          <t>Prior term</t>
        </is>
      </c>
      <c r="C23" s="96" t="inlineStr">
        <is>
          <t>Wagner Final Exam Review, Day 2 (Week 14)</t>
        </is>
      </c>
      <c r="D23" s="96" t="inlineStr">
        <is>
          <t>Wagner</t>
        </is>
      </c>
      <c r="E23" s="96" t="inlineStr">
        <is>
          <t>Video</t>
        </is>
      </c>
      <c r="F23" s="97">
        <f>HYPERLINK("https://drive.google.com/file/d/1N4ceV8bSPIpHtOz6PVL2OHOBfPwGVdLn/view","▶  Watch")</f>
        <v/>
      </c>
      <c r="G23" s="96" t="inlineStr">
        <is>
          <t>Last cohort</t>
        </is>
      </c>
    </row>
    <row r="24" ht="15.75" customHeight="1" s="113">
      <c r="A24" s="101" t="n"/>
      <c r="B24" s="101" t="n"/>
      <c r="C24" s="101" t="n"/>
      <c r="D24" s="101" t="n"/>
      <c r="E24" s="101" t="n"/>
      <c r="F24" s="101" t="n"/>
      <c r="G24" s="101" t="n"/>
    </row>
    <row r="25" ht="15.75" customHeight="1" s="113">
      <c r="A25" s="101" t="n"/>
      <c r="B25" s="101" t="n"/>
      <c r="C25" s="101" t="n"/>
      <c r="D25" s="101" t="n"/>
      <c r="E25" s="101" t="n"/>
      <c r="F25" s="101" t="n"/>
      <c r="G25" s="101" t="n"/>
    </row>
    <row r="26" ht="15.75" customHeight="1" s="113">
      <c r="A26" s="101" t="n"/>
      <c r="B26" s="101" t="n"/>
      <c r="C26" s="101" t="n"/>
      <c r="D26" s="101" t="n"/>
      <c r="E26" s="101" t="n"/>
      <c r="F26" s="101" t="n"/>
      <c r="G26" s="101" t="n"/>
    </row>
    <row r="27" ht="15.75" customHeight="1" s="113">
      <c r="A27" s="101" t="n"/>
      <c r="B27" s="101" t="n"/>
      <c r="C27" s="101" t="n"/>
      <c r="D27" s="101" t="n"/>
      <c r="E27" s="101" t="n"/>
      <c r="F27" s="101" t="n"/>
      <c r="G27" s="101" t="n"/>
    </row>
    <row r="28" ht="15.75" customHeight="1" s="113">
      <c r="A28" s="105" t="n"/>
      <c r="B28" s="105" t="n"/>
      <c r="C28" s="105" t="n"/>
      <c r="D28" s="105" t="n"/>
      <c r="E28" s="105" t="n"/>
      <c r="F28" s="105" t="n"/>
      <c r="G28" s="105" t="n"/>
    </row>
    <row r="29" ht="15.75" customHeight="1" s="113">
      <c r="A29" s="105" t="n"/>
      <c r="B29" s="105" t="n"/>
      <c r="C29" s="105" t="n"/>
      <c r="D29" s="105" t="n"/>
      <c r="E29" s="105" t="n"/>
      <c r="F29" s="105" t="n"/>
      <c r="G29" s="105" t="n"/>
    </row>
    <row r="30" ht="15.75" customHeight="1" s="113">
      <c r="A30" s="105" t="n"/>
      <c r="B30" s="105" t="n"/>
      <c r="C30" s="105" t="n"/>
      <c r="D30" s="105" t="n"/>
      <c r="E30" s="105" t="n"/>
      <c r="F30" s="105" t="n"/>
      <c r="G30" s="105" t="n"/>
    </row>
    <row r="31" ht="15.75" customHeight="1" s="113">
      <c r="A31" s="105" t="n"/>
      <c r="B31" s="105" t="n"/>
      <c r="C31" s="105" t="n"/>
      <c r="D31" s="105" t="n"/>
      <c r="E31" s="105" t="n"/>
      <c r="F31" s="105" t="n"/>
      <c r="G31" s="105" t="n"/>
    </row>
    <row r="32" ht="15.75" customHeight="1" s="113">
      <c r="A32" s="105" t="n"/>
      <c r="B32" s="105" t="n"/>
      <c r="C32" s="105" t="n"/>
      <c r="D32" s="105" t="n"/>
      <c r="E32" s="105" t="n"/>
      <c r="F32" s="105" t="n"/>
      <c r="G32" s="10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105" t="n"/>
      <c r="B36" s="105" t="n"/>
      <c r="C36" s="105" t="n"/>
      <c r="D36" s="105" t="n"/>
      <c r="E36" s="105" t="n"/>
      <c r="F36" s="105" t="n"/>
      <c r="G36" s="105" t="n"/>
    </row>
    <row r="37" ht="15.75" customHeight="1" s="113">
      <c r="A37" s="105" t="n"/>
      <c r="B37" s="105" t="n"/>
      <c r="C37" s="105" t="n"/>
      <c r="D37" s="105" t="n"/>
      <c r="E37" s="105" t="n"/>
      <c r="F37" s="105" t="n"/>
      <c r="G37" s="105" t="n"/>
    </row>
    <row r="38" ht="15.75" customHeight="1" s="113">
      <c r="A38" s="105" t="n"/>
      <c r="B38" s="105" t="n"/>
      <c r="C38" s="105" t="n"/>
      <c r="D38" s="105" t="n"/>
      <c r="E38" s="105" t="n"/>
      <c r="F38" s="105" t="n"/>
      <c r="G38" s="105" t="n"/>
    </row>
    <row r="39" ht="15.75" customHeight="1" s="113">
      <c r="A39" s="105" t="n"/>
      <c r="B39" s="105" t="n"/>
      <c r="C39" s="105" t="n"/>
      <c r="D39" s="105" t="n"/>
      <c r="E39" s="105" t="n"/>
      <c r="F39" s="105" t="n"/>
      <c r="G39" s="10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2" customWidth="1" style="113" min="3" max="3"/>
    <col width="22" customWidth="1" style="113" min="4" max="4"/>
    <col width="18" customWidth="1" style="113" min="5" max="5"/>
    <col width="20" customWidth="1" style="113" min="6" max="6"/>
    <col width="34" customWidth="1" style="113" min="7" max="7"/>
  </cols>
  <sheetData>
    <row r="1">
      <c r="A1" s="68" t="inlineStr">
        <is>
          <t>EXAM REVIEWS  ·  other classes (NUR 198, NUR 175, BIO 290V, BIO 280V, Anatomy, Physiology, MAT 300)</t>
        </is>
      </c>
    </row>
    <row r="2">
      <c r="A2" s="7" t="inlineStr">
        <is>
          <t>NUR234</t>
        </is>
      </c>
      <c r="B2" s="10" t="inlineStr">
        <is>
          <t>NUR235</t>
        </is>
      </c>
      <c r="C2" s="7" t="inlineStr">
        <is>
          <t>NUR258</t>
        </is>
      </c>
      <c r="D2" s="12" t="inlineStr">
        <is>
          <t>🏠 START HERE</t>
        </is>
      </c>
      <c r="E2" s="21" t="inlineStr">
        <is>
          <t>📥 Sort me</t>
        </is>
      </c>
      <c r="F2" s="14" t="n"/>
      <c r="G2" s="14" t="n"/>
    </row>
    <row r="3">
      <c r="A3" s="106" t="inlineStr">
        <is>
          <t>Every exam review, exam prep and final review recording for the classes that are not in this workbook, linked to the sorted copy in the class folder.</t>
        </is>
      </c>
      <c r="B3" s="106" t="n"/>
      <c r="C3" s="106" t="n"/>
      <c r="D3" s="107" t="n"/>
      <c r="E3" s="108" t="n"/>
      <c r="F3" s="14" t="n"/>
      <c r="G3" s="14" t="n"/>
    </row>
    <row r="4">
      <c r="A4" s="14" t="n"/>
      <c r="B4" s="14" t="n"/>
      <c r="C4" s="14" t="n"/>
      <c r="D4" s="14" t="n"/>
      <c r="E4" s="14" t="n"/>
      <c r="F4" s="14" t="n"/>
      <c r="G4" s="14" t="n"/>
    </row>
    <row r="5">
      <c r="A5" s="70" t="inlineStr">
        <is>
          <t>Class</t>
        </is>
      </c>
      <c r="B5" s="70" t="inlineStr">
        <is>
          <t>Exam</t>
        </is>
      </c>
      <c r="C5" s="70" t="inlineStr">
        <is>
          <t>Recording</t>
        </is>
      </c>
      <c r="D5" s="70" t="inlineStr">
        <is>
          <t>Who</t>
        </is>
      </c>
      <c r="E5" s="70" t="inlineStr">
        <is>
          <t>Type</t>
        </is>
      </c>
      <c r="F5" s="70" t="inlineStr">
        <is>
          <t>Link</t>
        </is>
      </c>
      <c r="G5" s="70" t="inlineStr">
        <is>
          <t>Notes</t>
        </is>
      </c>
    </row>
    <row r="6">
      <c r="A6" s="72" t="inlineStr">
        <is>
          <t>NUR 198</t>
        </is>
      </c>
      <c r="B6" s="72" t="inlineStr">
        <is>
          <t>Exam 1</t>
        </is>
      </c>
      <c r="C6" s="109" t="inlineStr">
        <is>
          <t>Exam 1 Lecture - Older Adult</t>
        </is>
      </c>
      <c r="D6" s="73" t="inlineStr">
        <is>
          <t>Exam prep</t>
        </is>
      </c>
      <c r="E6" s="72" t="inlineStr">
        <is>
          <t>Video</t>
        </is>
      </c>
      <c r="F6" s="110">
        <f>HYPERLINK("https://drive.google.com/file/d/1cAp3VRFG4m3iAIc7BIx1RBqyllw1qmV4/view","▶  Watch")</f>
        <v/>
      </c>
      <c r="G6" s="109" t="inlineStr">
        <is>
          <t>Week 1</t>
        </is>
      </c>
    </row>
    <row r="7">
      <c r="A7" s="76" t="inlineStr">
        <is>
          <t>NUR 198</t>
        </is>
      </c>
      <c r="B7" s="76" t="inlineStr">
        <is>
          <t>Exam 3</t>
        </is>
      </c>
      <c r="C7" s="111" t="inlineStr">
        <is>
          <t>Practice questions review - pharm, cardiac, vascular (21 Jun)</t>
        </is>
      </c>
      <c r="D7" s="78" t="inlineStr">
        <is>
          <t>Cory Meyer</t>
        </is>
      </c>
      <c r="E7" s="76" t="inlineStr">
        <is>
          <t>Video</t>
        </is>
      </c>
      <c r="F7" s="112">
        <f>HYPERLINK("https://drive.google.com/file/d/1WH0aQydvO8PNZI_gITvrrwYAglusRTc_/view","▶  Watch")</f>
        <v/>
      </c>
      <c r="G7" s="111" t="inlineStr">
        <is>
          <t>Week 7</t>
        </is>
      </c>
    </row>
    <row r="8">
      <c r="A8" s="72" t="inlineStr">
        <is>
          <t>NUR 198</t>
        </is>
      </c>
      <c r="B8" s="72" t="inlineStr">
        <is>
          <t>Exam 4</t>
        </is>
      </c>
      <c r="C8" s="109" t="inlineStr">
        <is>
          <t>Exam 4 Review Lectures</t>
        </is>
      </c>
      <c r="D8" s="73" t="inlineStr">
        <is>
          <t>Exam prep</t>
        </is>
      </c>
      <c r="E8" s="72" t="inlineStr">
        <is>
          <t>Video</t>
        </is>
      </c>
      <c r="F8" s="110">
        <f>HYPERLINK("https://drive.google.com/file/d/1Rcbc5XpjD9VtstRy-uwhiajLf-LFzYj_/view","▶  Watch")</f>
        <v/>
      </c>
      <c r="G8" s="109" t="inlineStr">
        <is>
          <t>5.4 GB, several sessions in one file</t>
        </is>
      </c>
    </row>
    <row r="9">
      <c r="A9" s="76" t="inlineStr">
        <is>
          <t>NUR 198</t>
        </is>
      </c>
      <c r="B9" s="76" t="inlineStr">
        <is>
          <t>Exam 4</t>
        </is>
      </c>
      <c r="C9" s="111" t="inlineStr">
        <is>
          <t>Exam Prep - Renal &amp; Urinary Disorders (3 Jul)</t>
        </is>
      </c>
      <c r="D9" s="78" t="inlineStr">
        <is>
          <t>Dr Clancey-Sollis + Dr Greg</t>
        </is>
      </c>
      <c r="E9" s="76" t="inlineStr">
        <is>
          <t>Video</t>
        </is>
      </c>
      <c r="F9" s="112">
        <f>HYPERLINK("https://drive.google.com/file/d/12n_z-PNGwS16Xn2J4wZbsBS7FiHvKmfE/view","▶  Watch")</f>
        <v/>
      </c>
      <c r="G9" s="111" t="inlineStr">
        <is>
          <t>Week 9</t>
        </is>
      </c>
    </row>
    <row r="10">
      <c r="A10" s="72" t="inlineStr">
        <is>
          <t>NUR 198</t>
        </is>
      </c>
      <c r="B10" s="72" t="inlineStr">
        <is>
          <t>Exam 4</t>
        </is>
      </c>
      <c r="C10" s="109" t="inlineStr">
        <is>
          <t>Renal &amp; Urinary Disorders Review - CKD, Dialysis, Incontinence</t>
        </is>
      </c>
      <c r="D10" s="73" t="inlineStr">
        <is>
          <t>SimpleNursing</t>
        </is>
      </c>
      <c r="E10" s="72" t="inlineStr">
        <is>
          <t>Video</t>
        </is>
      </c>
      <c r="F10" s="110">
        <f>HYPERLINK("https://drive.google.com/file/d/1JAA1oQgUSK4b51Ld6ZZ6bYoZMtAgI84X/view","▶  Watch")</f>
        <v/>
      </c>
      <c r="G10" s="109" t="inlineStr">
        <is>
          <t>Week 9, YouTube capture</t>
        </is>
      </c>
    </row>
    <row r="11">
      <c r="A11" s="76" t="inlineStr">
        <is>
          <t>NUR 198</t>
        </is>
      </c>
      <c r="B11" s="76" t="inlineStr">
        <is>
          <t>Exam 5</t>
        </is>
      </c>
      <c r="C11" s="111" t="inlineStr">
        <is>
          <t>Exam 5 prep - Zoom recording 23 Jul</t>
        </is>
      </c>
      <c r="D11" s="78" t="inlineStr">
        <is>
          <t>Exam prep</t>
        </is>
      </c>
      <c r="E11" s="76" t="inlineStr">
        <is>
          <t>Video</t>
        </is>
      </c>
      <c r="F11" s="112">
        <f>HYPERLINK("https://drive.google.com/file/d/1SkLjzKER5z7mRr2w_fvhuGHYDB47FMTU/view","▶  Watch")</f>
        <v/>
      </c>
      <c r="G11" s="111" t="n"/>
    </row>
    <row r="12">
      <c r="A12" s="72" t="inlineStr">
        <is>
          <t>NUR 198</t>
        </is>
      </c>
      <c r="B12" s="72" t="inlineStr">
        <is>
          <t>Exam 5</t>
        </is>
      </c>
      <c r="C12" s="109" t="inlineStr">
        <is>
          <t>Exam 5 prep - Zoom recording 24 Jul</t>
        </is>
      </c>
      <c r="D12" s="73" t="inlineStr">
        <is>
          <t>Exam prep</t>
        </is>
      </c>
      <c r="E12" s="72" t="inlineStr">
        <is>
          <t>Video</t>
        </is>
      </c>
      <c r="F12" s="110">
        <f>HYPERLINK("https://drive.google.com/file/d/1y-zZh8NEksWdsxMUB86YaDYPwaWHbnaP/view","▶  Watch")</f>
        <v/>
      </c>
      <c r="G12" s="109" t="n"/>
    </row>
    <row r="13">
      <c r="A13" s="76" t="inlineStr">
        <is>
          <t>NUR 198</t>
        </is>
      </c>
      <c r="B13" s="76" t="inlineStr">
        <is>
          <t>Exam 5</t>
        </is>
      </c>
      <c r="C13" s="111" t="inlineStr">
        <is>
          <t>GI Disorders Full Review - Appendicitis to Pancreatitis</t>
        </is>
      </c>
      <c r="D13" s="78" t="inlineStr">
        <is>
          <t>SimpleNursing</t>
        </is>
      </c>
      <c r="E13" s="76" t="inlineStr">
        <is>
          <t>Video</t>
        </is>
      </c>
      <c r="F13" s="112">
        <f>HYPERLINK("https://drive.google.com/file/d/1Xq3mRU_jxKjkdNDgxHWNQo6kr1amPwcB/view","▶  Watch")</f>
        <v/>
      </c>
      <c r="G13" s="111" t="inlineStr">
        <is>
          <t>Week 12, YouTube capture</t>
        </is>
      </c>
    </row>
    <row r="14">
      <c r="A14" s="72" t="inlineStr">
        <is>
          <t>NUR 198 ?</t>
        </is>
      </c>
      <c r="B14" s="72" t="inlineStr">
        <is>
          <t>ATI</t>
        </is>
      </c>
      <c r="C14" s="109" t="inlineStr">
        <is>
          <t>Adult health ATI practice review part 1 - shock, dialysis, asthma, electrolytes, sepsis (Sun 7 Sep)</t>
        </is>
      </c>
      <c r="D14" s="73" t="inlineStr">
        <is>
          <t>Not named</t>
        </is>
      </c>
      <c r="E14" s="72" t="inlineStr">
        <is>
          <t>Video</t>
        </is>
      </c>
      <c r="F14" s="110">
        <f>HYPERLINK("https://drive.google.com/file/d/1VwqGuxefxFmGgoQn9wZR_ctHpEO4qaSI/view","▶  Watch")</f>
        <v/>
      </c>
      <c r="G14" s="109" t="inlineStr">
        <is>
          <t>Could be NUR 258 - you tell me</t>
        </is>
      </c>
    </row>
    <row r="15">
      <c r="A15" s="76" t="inlineStr">
        <is>
          <t>NUR 198 ?</t>
        </is>
      </c>
      <c r="B15" s="76" t="inlineStr">
        <is>
          <t>ATI</t>
        </is>
      </c>
      <c r="C15" s="111" t="inlineStr">
        <is>
          <t>Adult health ATI practice review part 2 - electrolytes, respiratory (Mon 8 Sep)</t>
        </is>
      </c>
      <c r="D15" s="78" t="inlineStr">
        <is>
          <t>Not named</t>
        </is>
      </c>
      <c r="E15" s="76" t="inlineStr">
        <is>
          <t>Video</t>
        </is>
      </c>
      <c r="F15" s="112">
        <f>HYPERLINK("https://drive.google.com/file/d/17FEOKc4ndrct33Uz5cCzC3WgQ5ff-5Tl/view","▶  Watch")</f>
        <v/>
      </c>
      <c r="G15" s="111" t="inlineStr">
        <is>
          <t>Part 2 of the session above</t>
        </is>
      </c>
    </row>
    <row r="16">
      <c r="A16" s="72" t="inlineStr">
        <is>
          <t>NUR 175</t>
        </is>
      </c>
      <c r="B16" s="72" t="inlineStr">
        <is>
          <t>Pharm</t>
        </is>
      </c>
      <c r="C16" s="109" t="inlineStr">
        <is>
          <t>Review Pharmacology</t>
        </is>
      </c>
      <c r="D16" s="73" t="inlineStr">
        <is>
          <t>Wilkins</t>
        </is>
      </c>
      <c r="E16" s="72" t="inlineStr">
        <is>
          <t>Video</t>
        </is>
      </c>
      <c r="F16" s="110">
        <f>HYPERLINK("https://drive.google.com/file/d/11WezNrtsoNJiN3qI-6UBYpqm0TQwmg53/view","▶  Watch")</f>
        <v/>
      </c>
      <c r="G16" s="109" t="inlineStr">
        <is>
          <t>Spring 2026 cohort</t>
        </is>
      </c>
    </row>
    <row r="17">
      <c r="A17" s="76" t="inlineStr">
        <is>
          <t>NUR 175</t>
        </is>
      </c>
      <c r="B17" s="76" t="inlineStr">
        <is>
          <t>Final</t>
        </is>
      </c>
      <c r="C17" s="111" t="inlineStr">
        <is>
          <t>Mental Health Full Review - Psych Meds, Schizophrenia, Bipolar &amp; More</t>
        </is>
      </c>
      <c r="D17" s="78" t="inlineStr">
        <is>
          <t>SimpleNursing</t>
        </is>
      </c>
      <c r="E17" s="76" t="inlineStr">
        <is>
          <t>Video</t>
        </is>
      </c>
      <c r="F17" s="112">
        <f>HYPERLINK("https://drive.google.com/file/d/1GjskjzLlmq4xc_IHoBwi6ySUS_g_ymIC/view","▶  Watch")</f>
        <v/>
      </c>
      <c r="G17" s="111" t="inlineStr">
        <is>
          <t>YouTube capture, 1.7 GB</t>
        </is>
      </c>
    </row>
    <row r="18">
      <c r="A18" s="76" t="inlineStr">
        <is>
          <t>NUR 175</t>
        </is>
      </c>
      <c r="B18" s="76" t="inlineStr">
        <is>
          <t>Module 6</t>
        </is>
      </c>
      <c r="C18" s="111" t="inlineStr">
        <is>
          <t>Module 6 - Anger, Hostility, Aggression, Abuse, Violence</t>
        </is>
      </c>
      <c r="D18" s="78" t="inlineStr">
        <is>
          <t>Dr Corey Meyer + Dr Greg</t>
        </is>
      </c>
      <c r="E18" s="76" t="inlineStr">
        <is>
          <t>Video</t>
        </is>
      </c>
      <c r="F18" s="112">
        <f>HYPERLINK("https://drive.google.com/file/d/1s-JFTVHX7JowbxG52oebTWEyFXSAyVap/view","▶  Watch")</f>
        <v/>
      </c>
      <c r="G18" s="111" t="inlineStr">
        <is>
          <t>LSC exam prep, 88:06 on Canvas. Named from the recording's own opening caption. Phone capture 6 Oct 1:29 AM (671 MB), in Nursing School Videos.</t>
        </is>
      </c>
    </row>
    <row r="19">
      <c r="A19" s="72" t="inlineStr">
        <is>
          <t>BIO 290V</t>
        </is>
      </c>
      <c r="B19" s="72" t="inlineStr">
        <is>
          <t>Exam 1</t>
        </is>
      </c>
      <c r="C19" s="109" t="inlineStr">
        <is>
          <t>Exam prep - drugs, receptors, dosing (12 Sep 2025)</t>
        </is>
      </c>
      <c r="D19" s="73" t="inlineStr">
        <is>
          <t>Not named</t>
        </is>
      </c>
      <c r="E19" s="72" t="inlineStr">
        <is>
          <t>Video</t>
        </is>
      </c>
      <c r="F19" s="110">
        <f>HYPERLINK("https://drive.google.com/file/d/1WpniByv8x74YmS6zuxJ1jwAJaPvTTvAA/view","▶  Watch")</f>
        <v/>
      </c>
      <c r="G19" s="109" t="inlineStr">
        <is>
          <t>Week 2 screen recording</t>
        </is>
      </c>
    </row>
    <row r="20">
      <c r="A20" s="76" t="inlineStr">
        <is>
          <t>BIO 290V</t>
        </is>
      </c>
      <c r="B20" s="76" t="inlineStr">
        <is>
          <t>Exam 2</t>
        </is>
      </c>
      <c r="C20" s="111" t="inlineStr">
        <is>
          <t>Exam 2 Review</t>
        </is>
      </c>
      <c r="D20" s="78" t="inlineStr">
        <is>
          <t>King</t>
        </is>
      </c>
      <c r="E20" s="76" t="inlineStr">
        <is>
          <t>Video</t>
        </is>
      </c>
      <c r="F20" s="112">
        <f>HYPERLINK("https://drive.google.com/file/d/1yzddvEmfZY3CNtnQ1RSJo_XHA5G3S3ol/view","▶  Watch")</f>
        <v/>
      </c>
      <c r="G20" s="111" t="n"/>
    </row>
    <row r="21" ht="15.75" customHeight="1" s="113">
      <c r="A21" s="72" t="inlineStr">
        <is>
          <t>BIO 290V</t>
        </is>
      </c>
      <c r="B21" s="72" t="inlineStr">
        <is>
          <t>Exam 3</t>
        </is>
      </c>
      <c r="C21" s="109" t="inlineStr">
        <is>
          <t>Exam 3 Review</t>
        </is>
      </c>
      <c r="D21" s="73" t="inlineStr">
        <is>
          <t>Guerra</t>
        </is>
      </c>
      <c r="E21" s="72" t="inlineStr">
        <is>
          <t>Video</t>
        </is>
      </c>
      <c r="F21" s="110">
        <f>HYPERLINK("https://drive.google.com/file/d/1_wdvObqJojcouuKBZ-1_Xg1LlMcOeiA_/view","▶  Watch")</f>
        <v/>
      </c>
      <c r="G21" s="109" t="n"/>
    </row>
    <row r="22" ht="15.75" customHeight="1" s="113">
      <c r="A22" s="76" t="inlineStr">
        <is>
          <t>BIO 290V</t>
        </is>
      </c>
      <c r="B22" s="76" t="inlineStr">
        <is>
          <t>Exam 4</t>
        </is>
      </c>
      <c r="C22" s="111" t="inlineStr">
        <is>
          <t>Exam 4</t>
        </is>
      </c>
      <c r="D22" s="78" t="inlineStr">
        <is>
          <t>Guerra</t>
        </is>
      </c>
      <c r="E22" s="76" t="inlineStr">
        <is>
          <t>Video</t>
        </is>
      </c>
      <c r="F22" s="112">
        <f>HYPERLINK("https://drive.google.com/file/d/15gDrKfNa9XozHzbvVaTEi55TSh3mFdep/view","▶  Watch")</f>
        <v/>
      </c>
      <c r="G22" s="111" t="n"/>
    </row>
    <row r="23" ht="15.75" customHeight="1" s="113">
      <c r="A23" s="72" t="inlineStr">
        <is>
          <t>BIO 290V</t>
        </is>
      </c>
      <c r="B23" s="72" t="inlineStr">
        <is>
          <t>Exam 4</t>
        </is>
      </c>
      <c r="C23" s="109" t="inlineStr">
        <is>
          <t>Exam 4 Review</t>
        </is>
      </c>
      <c r="D23" s="73" t="inlineStr">
        <is>
          <t>Christensen</t>
        </is>
      </c>
      <c r="E23" s="72" t="inlineStr">
        <is>
          <t>Video</t>
        </is>
      </c>
      <c r="F23" s="110">
        <f>HYPERLINK("https://drive.google.com/file/d/1pFVjLbA4S81AoKMrwkfO_d-oOl3d1AyG/view","▶  Watch")</f>
        <v/>
      </c>
      <c r="G23" s="109" t="n"/>
    </row>
    <row r="24" ht="15.75" customHeight="1" s="113">
      <c r="A24" s="76" t="inlineStr">
        <is>
          <t>BIO 290V</t>
        </is>
      </c>
      <c r="B24" s="76" t="inlineStr">
        <is>
          <t>Exam 5</t>
        </is>
      </c>
      <c r="C24" s="111" t="inlineStr">
        <is>
          <t>Exam 5 Review</t>
        </is>
      </c>
      <c r="D24" s="78" t="inlineStr">
        <is>
          <t>Guerra</t>
        </is>
      </c>
      <c r="E24" s="76" t="inlineStr">
        <is>
          <t>Video</t>
        </is>
      </c>
      <c r="F24" s="112">
        <f>HYPERLINK("https://drive.google.com/file/d/1hm4Y2UGMf5umd8Djxmm9nrVz4uBSMEat/view","▶  Watch")</f>
        <v/>
      </c>
      <c r="G24" s="111" t="n"/>
    </row>
    <row r="25" ht="15.75" customHeight="1" s="113">
      <c r="A25" s="72" t="inlineStr">
        <is>
          <t>BIO 290V</t>
        </is>
      </c>
      <c r="B25" s="72" t="inlineStr">
        <is>
          <t>Exam 5</t>
        </is>
      </c>
      <c r="C25" s="109" t="inlineStr">
        <is>
          <t>Exam 5 Prep - Pharmacology Modules 8 and 9</t>
        </is>
      </c>
      <c r="D25" s="73" t="inlineStr">
        <is>
          <t>Exam prep</t>
        </is>
      </c>
      <c r="E25" s="72" t="inlineStr">
        <is>
          <t>Video</t>
        </is>
      </c>
      <c r="F25" s="110">
        <f>HYPERLINK("https://drive.google.com/file/d/12zEmpmMLDWRxVxvXWIl96bo9Js5pzC_H/view","▶  Watch")</f>
        <v/>
      </c>
      <c r="G25" s="109" t="n"/>
    </row>
    <row r="26" ht="15.75" customHeight="1" s="113">
      <c r="A26" s="76" t="inlineStr">
        <is>
          <t>BIO 290V</t>
        </is>
      </c>
      <c r="B26" s="76" t="inlineStr">
        <is>
          <t>Exam 6</t>
        </is>
      </c>
      <c r="C26" s="111" t="inlineStr">
        <is>
          <t>Exam 6 Lecture</t>
        </is>
      </c>
      <c r="D26" s="78" t="inlineStr">
        <is>
          <t>King</t>
        </is>
      </c>
      <c r="E26" s="76" t="inlineStr">
        <is>
          <t>Video</t>
        </is>
      </c>
      <c r="F26" s="112">
        <f>HYPERLINK("https://drive.google.com/file/d/1dr7UWaG5lynxtHJJbo8jI2aTBxmE37gQ/view","▶  Watch")</f>
        <v/>
      </c>
      <c r="G26" s="111" t="n"/>
    </row>
    <row r="27" ht="15.75" customHeight="1" s="113">
      <c r="A27" s="72" t="inlineStr">
        <is>
          <t>BIO 290V</t>
        </is>
      </c>
      <c r="B27" s="72" t="inlineStr">
        <is>
          <t>Exam 7</t>
        </is>
      </c>
      <c r="C27" s="109" t="inlineStr">
        <is>
          <t>Exam 7 Prep Session</t>
        </is>
      </c>
      <c r="D27" s="73" t="inlineStr">
        <is>
          <t>King</t>
        </is>
      </c>
      <c r="E27" s="72" t="inlineStr">
        <is>
          <t>Video</t>
        </is>
      </c>
      <c r="F27" s="110">
        <f>HYPERLINK("https://drive.google.com/file/d/1om7GpMMAgV490uNZcgPebM6_e3akw_Je/view","▶  Watch")</f>
        <v/>
      </c>
      <c r="G27" s="109" t="n"/>
    </row>
    <row r="28" ht="15.75" customHeight="1" s="113">
      <c r="A28" s="76" t="inlineStr">
        <is>
          <t>BIO 290V</t>
        </is>
      </c>
      <c r="B28" s="76" t="inlineStr">
        <is>
          <t>FINAL</t>
        </is>
      </c>
      <c r="C28" s="111" t="inlineStr">
        <is>
          <t>Final exam review 1</t>
        </is>
      </c>
      <c r="D28" s="78" t="inlineStr">
        <is>
          <t>Guerra</t>
        </is>
      </c>
      <c r="E28" s="76" t="inlineStr">
        <is>
          <t>Video</t>
        </is>
      </c>
      <c r="F28" s="112">
        <f>HYPERLINK("https://drive.google.com/file/d/1acOr-VH5wLsa5nifIVtkUb9T096o8-Ci/view","▶  Watch")</f>
        <v/>
      </c>
      <c r="G28" s="111" t="n"/>
    </row>
    <row r="29" ht="15.75" customHeight="1" s="113">
      <c r="A29" s="72" t="inlineStr">
        <is>
          <t>BIO 290V</t>
        </is>
      </c>
      <c r="B29" s="72" t="inlineStr">
        <is>
          <t>FINAL</t>
        </is>
      </c>
      <c r="C29" s="109" t="inlineStr">
        <is>
          <t>Final exam review 2</t>
        </is>
      </c>
      <c r="D29" s="73" t="inlineStr">
        <is>
          <t>Guerra</t>
        </is>
      </c>
      <c r="E29" s="72" t="inlineStr">
        <is>
          <t>Video</t>
        </is>
      </c>
      <c r="F29" s="110">
        <f>HYPERLINK("https://drive.google.com/file/d/1h4dE5HNtS-D_P5hQHWPpD8_uR0uJx9V4/view","▶  Watch")</f>
        <v/>
      </c>
      <c r="G29" s="109" t="n"/>
    </row>
    <row r="30" ht="15.75" customHeight="1" s="113">
      <c r="A30" s="76" t="inlineStr">
        <is>
          <t>BIO 290V</t>
        </is>
      </c>
      <c r="B30" s="76" t="inlineStr">
        <is>
          <t>FINAL</t>
        </is>
      </c>
      <c r="C30" s="111" t="inlineStr">
        <is>
          <t>Final exam review</t>
        </is>
      </c>
      <c r="D30" s="78" t="inlineStr">
        <is>
          <t>Pohl</t>
        </is>
      </c>
      <c r="E30" s="76" t="inlineStr">
        <is>
          <t>Video</t>
        </is>
      </c>
      <c r="F30" s="112">
        <f>HYPERLINK("https://drive.google.com/file/d/1afY6_3escGKEXej2K9-YaMCWdm0w3uc8/view","▶  Watch")</f>
        <v/>
      </c>
      <c r="G30" s="111" t="n"/>
    </row>
    <row r="31" ht="15.75" customHeight="1" s="113">
      <c r="A31" s="72" t="inlineStr">
        <is>
          <t>BIO 280V</t>
        </is>
      </c>
      <c r="B31" s="72" t="inlineStr">
        <is>
          <t>Exam 1</t>
        </is>
      </c>
      <c r="C31" s="109" t="inlineStr">
        <is>
          <t>Bio 280V Exam 1 Prep</t>
        </is>
      </c>
      <c r="D31" s="73" t="inlineStr">
        <is>
          <t>Exam prep</t>
        </is>
      </c>
      <c r="E31" s="72" t="inlineStr">
        <is>
          <t>Video</t>
        </is>
      </c>
      <c r="F31" s="110">
        <f>HYPERLINK("https://drive.google.com/file/d/1StGpFy32sz13JGfcY_uajmjWhjWW10n8/view","▶  Watch")</f>
        <v/>
      </c>
      <c r="G31" s="109" t="inlineStr">
        <is>
          <t>919 MB</t>
        </is>
      </c>
    </row>
    <row r="32" ht="15.75" customHeight="1" s="113">
      <c r="A32" s="76" t="inlineStr">
        <is>
          <t>BIO 280V</t>
        </is>
      </c>
      <c r="B32" s="76" t="inlineStr">
        <is>
          <t>Exam 1</t>
        </is>
      </c>
      <c r="C32" s="111" t="inlineStr">
        <is>
          <t>Exam 1 Prep Lecture</t>
        </is>
      </c>
      <c r="D32" s="78" t="inlineStr">
        <is>
          <t>Exam prep</t>
        </is>
      </c>
      <c r="E32" s="76" t="inlineStr">
        <is>
          <t>Video</t>
        </is>
      </c>
      <c r="F32" s="112">
        <f>HYPERLINK("https://drive.google.com/file/d/1nm3wWywVomKZ8twD5ZAeY1WCR-NJmbqA/view","▶  Watch")</f>
        <v/>
      </c>
      <c r="G32" s="111" t="n"/>
    </row>
    <row r="33" ht="15.75" customHeight="1" s="113">
      <c r="A33" s="72" t="inlineStr">
        <is>
          <t>BIO 280V</t>
        </is>
      </c>
      <c r="B33" s="72" t="inlineStr">
        <is>
          <t>Exam 1</t>
        </is>
      </c>
      <c r="C33" s="109" t="inlineStr">
        <is>
          <t>Exam 1 prep - screen recording 15 Sep 2025, 20:03</t>
        </is>
      </c>
      <c r="D33" s="73" t="inlineStr">
        <is>
          <t>Not named</t>
        </is>
      </c>
      <c r="E33" s="72" t="inlineStr">
        <is>
          <t>Video</t>
        </is>
      </c>
      <c r="F33" s="110">
        <f>HYPERLINK("https://drive.google.com/file/d/1Ur5_qaXldGBM-oAdDeGh7xCeXyrqtRB3/view","▶  Watch")</f>
        <v/>
      </c>
      <c r="G33" s="109" t="n"/>
    </row>
    <row r="34" ht="15.75" customHeight="1" s="113">
      <c r="A34" s="76" t="inlineStr">
        <is>
          <t>BIO 280V</t>
        </is>
      </c>
      <c r="B34" s="76" t="inlineStr">
        <is>
          <t>Exam 1</t>
        </is>
      </c>
      <c r="C34" s="111" t="inlineStr">
        <is>
          <t>Exam 1 prep - screen recording 15 Sep 2025, 20:36</t>
        </is>
      </c>
      <c r="D34" s="78" t="inlineStr">
        <is>
          <t>Not named</t>
        </is>
      </c>
      <c r="E34" s="76" t="inlineStr">
        <is>
          <t>Video</t>
        </is>
      </c>
      <c r="F34" s="112">
        <f>HYPERLINK("https://drive.google.com/file/d/19I5RittzDcpdFj67UL_zEMY6EDTPfIeS/view","▶  Watch")</f>
        <v/>
      </c>
      <c r="G34" s="111" t="n"/>
    </row>
    <row r="35" ht="15.75" customHeight="1" s="113">
      <c r="A35" s="72" t="inlineStr">
        <is>
          <t>BIO 280V</t>
        </is>
      </c>
      <c r="B35" s="72" t="inlineStr">
        <is>
          <t>Exam 2</t>
        </is>
      </c>
      <c r="C35" s="109" t="inlineStr">
        <is>
          <t>Exam 2 Lecture</t>
        </is>
      </c>
      <c r="D35" s="73" t="inlineStr">
        <is>
          <t>Exam prep</t>
        </is>
      </c>
      <c r="E35" s="72" t="inlineStr">
        <is>
          <t>Video</t>
        </is>
      </c>
      <c r="F35" s="110">
        <f>HYPERLINK("https://drive.google.com/file/d/1xEezQMx-KNmoVyLCeGcrvHeDz9ZZ9kDZ/view","▶  Watch")</f>
        <v/>
      </c>
      <c r="G35" s="109" t="inlineStr">
        <is>
          <t>2.9 GB</t>
        </is>
      </c>
    </row>
    <row r="36" ht="15.75" customHeight="1" s="113">
      <c r="A36" s="76" t="inlineStr">
        <is>
          <t>BIO 280V</t>
        </is>
      </c>
      <c r="B36" s="76" t="inlineStr">
        <is>
          <t>Exam 2</t>
        </is>
      </c>
      <c r="C36" s="111" t="inlineStr">
        <is>
          <t>Exam prep - cell injury, hypoxia, drugs (22 Sep 2025)</t>
        </is>
      </c>
      <c r="D36" s="78" t="inlineStr">
        <is>
          <t>Not named</t>
        </is>
      </c>
      <c r="E36" s="76" t="inlineStr">
        <is>
          <t>Video</t>
        </is>
      </c>
      <c r="F36" s="112">
        <f>HYPERLINK("https://drive.google.com/file/d/1nhLqtOdgUOHjQXABDMu1dQtwDse-tN0S/view","▶  Watch")</f>
        <v/>
      </c>
      <c r="G36" s="111" t="inlineStr">
        <is>
          <t>Week 4 screen recording</t>
        </is>
      </c>
    </row>
    <row r="37" ht="15.75" customHeight="1" s="113">
      <c r="A37" s="72" t="inlineStr">
        <is>
          <t>BIO 280V</t>
        </is>
      </c>
      <c r="B37" s="72" t="inlineStr">
        <is>
          <t>Exam 3</t>
        </is>
      </c>
      <c r="C37" s="109" t="inlineStr">
        <is>
          <t>Exam 3 Zoom</t>
        </is>
      </c>
      <c r="D37" s="73" t="inlineStr">
        <is>
          <t>Exam prep</t>
        </is>
      </c>
      <c r="E37" s="72" t="inlineStr">
        <is>
          <t>Video</t>
        </is>
      </c>
      <c r="F37" s="110">
        <f>HYPERLINK("https://drive.google.com/file/d/1bzs2XBpKhnDs9mkpzXQyUIqcva8Vca_9/view","▶  Watch")</f>
        <v/>
      </c>
      <c r="G37" s="109" t="n"/>
    </row>
    <row r="38" ht="15.75" customHeight="1" s="113">
      <c r="A38" s="76" t="inlineStr">
        <is>
          <t>BIO 280V</t>
        </is>
      </c>
      <c r="B38" s="76" t="inlineStr">
        <is>
          <t>Exam 3</t>
        </is>
      </c>
      <c r="C38" s="111" t="inlineStr">
        <is>
          <t>Bio280 Exam 3 Prep</t>
        </is>
      </c>
      <c r="D38" s="78" t="inlineStr">
        <is>
          <t>Exam prep</t>
        </is>
      </c>
      <c r="E38" s="76" t="inlineStr">
        <is>
          <t>Video</t>
        </is>
      </c>
      <c r="F38" s="112">
        <f>HYPERLINK("https://drive.google.com/file/d/1f6MwoICNucUfOOv7mB_X0rfGdlX0gJiU/view","▶  Watch")</f>
        <v/>
      </c>
      <c r="G38" s="111" t="inlineStr">
        <is>
          <t>1 GB</t>
        </is>
      </c>
    </row>
    <row r="39" ht="15.75" customHeight="1" s="113">
      <c r="A39" s="72" t="inlineStr">
        <is>
          <t>BIO 280V</t>
        </is>
      </c>
      <c r="B39" s="72" t="inlineStr">
        <is>
          <t>Exam 4</t>
        </is>
      </c>
      <c r="C39" s="109" t="inlineStr">
        <is>
          <t>Exam 4 prep - screen recording 26 Oct 2025</t>
        </is>
      </c>
      <c r="D39" s="73" t="inlineStr">
        <is>
          <t>Not named</t>
        </is>
      </c>
      <c r="E39" s="72" t="inlineStr">
        <is>
          <t>Video</t>
        </is>
      </c>
      <c r="F39" s="110">
        <f>HYPERLINK("https://drive.google.com/file/d/1xK-o6-XiEIM64IG_U-GFv_GNbNHEjEBL/view","▶  Watch")</f>
        <v/>
      </c>
      <c r="G39" s="109" t="n"/>
    </row>
    <row r="40" ht="15.75" customHeight="1" s="113">
      <c r="A40" s="76" t="inlineStr">
        <is>
          <t>BIO 280V</t>
        </is>
      </c>
      <c r="B40" s="76" t="inlineStr">
        <is>
          <t>Exam 5</t>
        </is>
      </c>
      <c r="C40" s="111" t="inlineStr">
        <is>
          <t>Exam 5 prep - screen recording 7 Nov 2025</t>
        </is>
      </c>
      <c r="D40" s="78" t="inlineStr">
        <is>
          <t>Not named</t>
        </is>
      </c>
      <c r="E40" s="76" t="inlineStr">
        <is>
          <t>Video</t>
        </is>
      </c>
      <c r="F40" s="112">
        <f>HYPERLINK("https://drive.google.com/file/d/19WESnmeDH52d7Z272xVo6UshjrjqDnmO/view","▶  Watch")</f>
        <v/>
      </c>
      <c r="G40" s="111" t="n"/>
    </row>
    <row r="41" ht="15.75" customHeight="1" s="113">
      <c r="A41" s="72" t="inlineStr">
        <is>
          <t>BIO 280V</t>
        </is>
      </c>
      <c r="B41" s="72" t="inlineStr">
        <is>
          <t>FINAL</t>
        </is>
      </c>
      <c r="C41" s="109" t="inlineStr">
        <is>
          <t>Final exam prep</t>
        </is>
      </c>
      <c r="D41" s="73" t="inlineStr">
        <is>
          <t>Exam prep</t>
        </is>
      </c>
      <c r="E41" s="72" t="inlineStr">
        <is>
          <t>Video</t>
        </is>
      </c>
      <c r="F41" s="110">
        <f>HYPERLINK("https://drive.google.com/file/d/116e4sUGbtET7q_r_FWaWS4E3YqOfGWI6/view","▶  Watch")</f>
        <v/>
      </c>
      <c r="G41" s="109" t="n"/>
    </row>
    <row r="42" ht="15.75" customHeight="1" s="113">
      <c r="A42" s="76" t="inlineStr">
        <is>
          <t>Anatomy</t>
        </is>
      </c>
      <c r="B42" s="76" t="inlineStr">
        <is>
          <t>Module 8</t>
        </is>
      </c>
      <c r="C42" s="111" t="inlineStr">
        <is>
          <t>Exam review</t>
        </is>
      </c>
      <c r="D42" s="78" t="inlineStr">
        <is>
          <t>Not named</t>
        </is>
      </c>
      <c r="E42" s="76" t="inlineStr">
        <is>
          <t>Video</t>
        </is>
      </c>
      <c r="F42" s="112">
        <f>HYPERLINK("https://drive.google.com/file/d/10zFKUxRWpBiNulYb_P0pOcA9T196bWRY/view","▶  Watch")</f>
        <v/>
      </c>
      <c r="G42" s="111" t="inlineStr">
        <is>
          <t>Week 8</t>
        </is>
      </c>
    </row>
    <row r="43" ht="15.75" customHeight="1" s="113">
      <c r="A43" s="72" t="inlineStr">
        <is>
          <t>Anatomy</t>
        </is>
      </c>
      <c r="B43" s="72" t="inlineStr">
        <is>
          <t>FINAL</t>
        </is>
      </c>
      <c r="C43" s="109" t="inlineStr">
        <is>
          <t>Final Review 5 August 2025</t>
        </is>
      </c>
      <c r="D43" s="73" t="inlineStr">
        <is>
          <t>Not named</t>
        </is>
      </c>
      <c r="E43" s="72" t="inlineStr">
        <is>
          <t>Video</t>
        </is>
      </c>
      <c r="F43" s="110">
        <f>HYPERLINK("https://drive.google.com/file/d/1oi_EhJSyj1T5PEM3HTnFd2aPm8pi1Yu6/view","▶  Watch")</f>
        <v/>
      </c>
      <c r="G43" s="109" t="n"/>
    </row>
    <row r="44" ht="15.75" customHeight="1" s="113">
      <c r="A44" s="76" t="inlineStr">
        <is>
          <t>Anatomy</t>
        </is>
      </c>
      <c r="B44" s="76" t="inlineStr">
        <is>
          <t>FINAL</t>
        </is>
      </c>
      <c r="C44" s="111" t="inlineStr">
        <is>
          <t>Final exam prep - screen recording 10 Aug 2025, 02:31</t>
        </is>
      </c>
      <c r="D44" s="78" t="inlineStr">
        <is>
          <t>Not named</t>
        </is>
      </c>
      <c r="E44" s="76" t="inlineStr">
        <is>
          <t>Video</t>
        </is>
      </c>
      <c r="F44" s="112">
        <f>HYPERLINK("https://drive.google.com/file/d/1jFE2tp8mgv0V-9nhg1jqA-Xx8zVi8Ez4/view","▶  Watch")</f>
        <v/>
      </c>
      <c r="G44" s="111" t="n"/>
    </row>
    <row r="45" ht="15.75" customHeight="1" s="113">
      <c r="A45" s="72" t="inlineStr">
        <is>
          <t>Anatomy</t>
        </is>
      </c>
      <c r="B45" s="72" t="inlineStr">
        <is>
          <t>FINAL</t>
        </is>
      </c>
      <c r="C45" s="109" t="inlineStr">
        <is>
          <t>Final exam prep - screen recording 12 Aug 2025, 01:43</t>
        </is>
      </c>
      <c r="D45" s="73" t="inlineStr">
        <is>
          <t>Not named</t>
        </is>
      </c>
      <c r="E45" s="72" t="inlineStr">
        <is>
          <t>Video</t>
        </is>
      </c>
      <c r="F45" s="110">
        <f>HYPERLINK("https://drive.google.com/file/d/111O_aKSsWxthGegu4uVMyUPomLdaIPhe/view","▶  Watch")</f>
        <v/>
      </c>
      <c r="G45" s="109" t="n"/>
    </row>
    <row r="46" ht="15.75" customHeight="1" s="113">
      <c r="A46" s="76" t="inlineStr">
        <is>
          <t>Anatomy</t>
        </is>
      </c>
      <c r="B46" s="76" t="inlineStr">
        <is>
          <t>FINAL</t>
        </is>
      </c>
      <c r="C46" s="111" t="inlineStr">
        <is>
          <t>Final exam prep - screen recording 12 Aug 2025, 02:12</t>
        </is>
      </c>
      <c r="D46" s="78" t="inlineStr">
        <is>
          <t>Not named</t>
        </is>
      </c>
      <c r="E46" s="76" t="inlineStr">
        <is>
          <t>Video</t>
        </is>
      </c>
      <c r="F46" s="112">
        <f>HYPERLINK("https://drive.google.com/file/d/1GBJR87x3CJbRZ0Vq-nRL4uNZKGR9nDrC/view","▶  Watch")</f>
        <v/>
      </c>
      <c r="G46" s="111" t="n"/>
    </row>
    <row r="47" ht="15.75" customHeight="1" s="113">
      <c r="A47" s="72" t="inlineStr">
        <is>
          <t>Anatomy</t>
        </is>
      </c>
      <c r="B47" s="72" t="inlineStr">
        <is>
          <t>FINAL</t>
        </is>
      </c>
      <c r="C47" s="109" t="inlineStr">
        <is>
          <t>Final exam prep - screen recording 12 Aug 2025, 22:59</t>
        </is>
      </c>
      <c r="D47" s="73" t="inlineStr">
        <is>
          <t>Not named</t>
        </is>
      </c>
      <c r="E47" s="72" t="inlineStr">
        <is>
          <t>Video</t>
        </is>
      </c>
      <c r="F47" s="110">
        <f>HYPERLINK("https://drive.google.com/file/d/12h8EGohla0Dq81dCk26DPpHsOx40V9VL/view","▶  Watch")</f>
        <v/>
      </c>
      <c r="G47" s="109" t="n"/>
    </row>
    <row r="48" ht="15.75" customHeight="1" s="113">
      <c r="A48" s="76" t="inlineStr">
        <is>
          <t>Physiology</t>
        </is>
      </c>
      <c r="B48" s="76" t="inlineStr">
        <is>
          <t>Module 10</t>
        </is>
      </c>
      <c r="C48" s="111" t="inlineStr">
        <is>
          <t>Exam Review Lecture</t>
        </is>
      </c>
      <c r="D48" s="78" t="inlineStr">
        <is>
          <t>Not named</t>
        </is>
      </c>
      <c r="E48" s="76" t="inlineStr">
        <is>
          <t>Video</t>
        </is>
      </c>
      <c r="F48" s="112">
        <f>HYPERLINK("https://drive.google.com/file/d/1UGUpXHp40ongHJunXoRhTQ0kTlTLA7Pq/view","▶  Watch")</f>
        <v/>
      </c>
      <c r="G48" s="111" t="inlineStr">
        <is>
          <t>Week 10</t>
        </is>
      </c>
    </row>
    <row r="49" ht="15.75" customHeight="1" s="113">
      <c r="A49" s="72" t="inlineStr">
        <is>
          <t>Physiology</t>
        </is>
      </c>
      <c r="B49" s="72" t="inlineStr">
        <is>
          <t>FINAL</t>
        </is>
      </c>
      <c r="C49" s="109" t="inlineStr">
        <is>
          <t>Final Exam Prep Lecture</t>
        </is>
      </c>
      <c r="D49" s="73" t="inlineStr">
        <is>
          <t>Not named</t>
        </is>
      </c>
      <c r="E49" s="72" t="inlineStr">
        <is>
          <t>Video</t>
        </is>
      </c>
      <c r="F49" s="110">
        <f>HYPERLINK("https://drive.google.com/file/d/1lWnTg0uyOq290vEkP28MvkqvJ97y5f9W/view","▶  Watch")</f>
        <v/>
      </c>
      <c r="G49" s="109" t="n"/>
    </row>
    <row r="50" ht="15.75" customHeight="1" s="113">
      <c r="A50" s="76" t="inlineStr">
        <is>
          <t>Physiology</t>
        </is>
      </c>
      <c r="B50" s="76" t="inlineStr">
        <is>
          <t>FINAL</t>
        </is>
      </c>
      <c r="C50" s="111" t="inlineStr">
        <is>
          <t>Final exam prep - screen recording 6 Aug 2025, 02:52</t>
        </is>
      </c>
      <c r="D50" s="78" t="inlineStr">
        <is>
          <t>Not named</t>
        </is>
      </c>
      <c r="E50" s="76" t="inlineStr">
        <is>
          <t>Video</t>
        </is>
      </c>
      <c r="F50" s="112">
        <f>HYPERLINK("https://drive.google.com/file/d/1z3f-a4JvsYQKFoXXjrlKhVoYD6fI2na-/view","▶  Watch")</f>
        <v/>
      </c>
      <c r="G50" s="111" t="n"/>
    </row>
    <row r="51" ht="15.75" customHeight="1" s="113">
      <c r="A51" s="72" t="inlineStr">
        <is>
          <t>Physiology</t>
        </is>
      </c>
      <c r="B51" s="72" t="inlineStr">
        <is>
          <t>FINAL</t>
        </is>
      </c>
      <c r="C51" s="109" t="inlineStr">
        <is>
          <t>Final exam prep - screen recording 6 Aug 2025, 03:31</t>
        </is>
      </c>
      <c r="D51" s="73" t="inlineStr">
        <is>
          <t>Not named</t>
        </is>
      </c>
      <c r="E51" s="72" t="inlineStr">
        <is>
          <t>Video</t>
        </is>
      </c>
      <c r="F51" s="110">
        <f>HYPERLINK("https://drive.google.com/file/d/1TL8au62OwpCJB8QvoJQPTAP3DPr2rQ9B/view","▶  Watch")</f>
        <v/>
      </c>
      <c r="G51" s="109" t="n"/>
    </row>
    <row r="52" ht="15.75" customHeight="1" s="113">
      <c r="A52" s="76" t="inlineStr">
        <is>
          <t>MAT 300</t>
        </is>
      </c>
      <c r="B52" s="76" t="inlineStr">
        <is>
          <t>Exam 1</t>
        </is>
      </c>
      <c r="C52" s="111" t="inlineStr">
        <is>
          <t>Week 7 Exam 1 Review Session</t>
        </is>
      </c>
      <c r="D52" s="78" t="inlineStr">
        <is>
          <t>Not named</t>
        </is>
      </c>
      <c r="E52" s="76" t="inlineStr">
        <is>
          <t>Video</t>
        </is>
      </c>
      <c r="F52" s="112">
        <f>HYPERLINK("https://drive.google.com/file/d/1xmpcMMEuUqaxs3rJIQPhScpMpaK6kQEZ/view","▶  Watch")</f>
        <v/>
      </c>
      <c r="G52" s="111" t="n"/>
    </row>
    <row r="53" ht="15.75" customHeight="1" s="113">
      <c r="A53" s="72" t="inlineStr">
        <is>
          <t>MAT 300</t>
        </is>
      </c>
      <c r="B53" s="72" t="inlineStr">
        <is>
          <t>FINAL</t>
        </is>
      </c>
      <c r="C53" s="109" t="inlineStr">
        <is>
          <t>Week 13 Live Session - Overview of Final Exam and Study Prep</t>
        </is>
      </c>
      <c r="D53" s="73" t="inlineStr">
        <is>
          <t>Not named</t>
        </is>
      </c>
      <c r="E53" s="72" t="inlineStr">
        <is>
          <t>Video</t>
        </is>
      </c>
      <c r="F53" s="110">
        <f>HYPERLINK("https://drive.google.com/file/d/1_R3mEoaWiDwBkg9wO_y2pz1VLP9YQkt0/view","▶  Watch")</f>
        <v/>
      </c>
      <c r="G53" s="109" t="n"/>
    </row>
    <row r="54" ht="15.75" customHeight="1" s="113">
      <c r="A54" s="76" t="inlineStr">
        <is>
          <t>MAT 300</t>
        </is>
      </c>
      <c r="B54" s="76" t="inlineStr">
        <is>
          <t>FINAL</t>
        </is>
      </c>
      <c r="C54" s="111" t="inlineStr">
        <is>
          <t>Final Exam Review Session</t>
        </is>
      </c>
      <c r="D54" s="78" t="inlineStr">
        <is>
          <t>Not named</t>
        </is>
      </c>
      <c r="E54" s="76" t="inlineStr">
        <is>
          <t>Video</t>
        </is>
      </c>
      <c r="F54" s="112">
        <f>HYPERLINK("https://drive.google.com/file/d/15iJt8VD1yRH6a94TFhQsv4XpNmoFCD-6/view","▶  Watch")</f>
        <v/>
      </c>
      <c r="G54" s="111" t="n"/>
    </row>
    <row r="55" ht="15.75" customHeight="1" s="113">
      <c r="A55" s="88" t="n"/>
      <c r="B55" s="88" t="n"/>
      <c r="C55" s="88" t="n"/>
      <c r="D55" s="88" t="n"/>
      <c r="E55" s="88" t="n"/>
      <c r="F55" s="88" t="n"/>
      <c r="G55" s="88" t="n"/>
    </row>
    <row r="56" ht="15.75" customHeight="1" s="113">
      <c r="A56" s="88" t="n"/>
      <c r="B56" s="88" t="n"/>
      <c r="C56" s="88" t="n"/>
      <c r="D56" s="88" t="n"/>
      <c r="E56" s="88" t="n"/>
      <c r="F56" s="88" t="n"/>
      <c r="G56" s="88" t="n"/>
    </row>
    <row r="57" ht="15.75" customHeight="1" s="113">
      <c r="A57" s="88" t="n"/>
      <c r="B57" s="88" t="n"/>
      <c r="C57" s="88" t="n"/>
      <c r="D57" s="88" t="n"/>
      <c r="E57" s="88" t="n"/>
      <c r="F57" s="88" t="n"/>
      <c r="G57" s="88"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2026-10-11T06:22:13Z</dcterms:created>
  <dcterms:modified xmlns:dcterms="http://purl.org/dc/terms/" xmlns:xsi="http://www.w3.org/2001/XMLSchema-instance" xsi:type="dcterms:W3CDTF">2026-10-12T19:41:35Z</dcterms:modified>
</cp:coreProperties>
</file>