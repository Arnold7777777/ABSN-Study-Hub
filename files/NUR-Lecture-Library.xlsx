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NUR198 Videos" sheetId="17" state="visible" r:id="rId17"/>
    <sheet xmlns:r="http://schemas.openxmlformats.org/officeDocument/2006/relationships" name="NUR175 Videos" sheetId="18" state="visible" r:id="rId18"/>
    <sheet xmlns:r="http://schemas.openxmlformats.org/officeDocument/2006/relationships" name="NUR125 Videos" sheetId="19" state="visible" r:id="rId19"/>
    <sheet xmlns:r="http://schemas.openxmlformats.org/officeDocument/2006/relationships" name="Exam Reviews (other classes)" sheetId="20" state="visible" r:id="rId20"/>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1155CC"/>
      <sz val="12"/>
      <u val="single"/>
    </font>
    <font>
      <name val="Arial"/>
      <b val="1"/>
      <color rgb="FFFFFFFF"/>
      <sz val="12"/>
      <u val="single"/>
    </font>
    <font>
      <name val="Arial"/>
      <b val="1"/>
      <color rgb="FFFFFFFF"/>
      <sz val="12"/>
      <u val="single"/>
    </font>
    <font>
      <name val="Arial"/>
      <b val="1"/>
      <color rgb="FF1155CC"/>
      <sz val="11"/>
      <u val="single"/>
    </font>
    <font>
      <name val="Arial"/>
      <b val="1"/>
      <color rgb="FF1155CC"/>
      <sz val="11"/>
      <u val="single"/>
    </font>
    <font>
      <name val="Arial"/>
      <b val="1"/>
      <color rgb="FF404040"/>
      <sz val="11"/>
    </font>
    <font>
      <name val="Arial"/>
      <b val="1"/>
      <color rgb="FFFFFFFF"/>
      <sz val="11"/>
      <u val="single"/>
    </font>
    <font>
      <name val="Arial"/>
      <b val="1"/>
      <color rgb="FF1155CC"/>
      <sz val="11"/>
      <u val="single"/>
    </font>
    <font>
      <name val="Arial"/>
      <color theme="1"/>
      <sz val="11"/>
    </font>
    <font>
      <name val="Arial"/>
      <color rgb="FF1155CC"/>
      <sz val="11"/>
      <u val="single"/>
    </font>
    <font>
      <name val="Arial"/>
      <i val="1"/>
      <color rgb="FF333333"/>
      <sz val="11"/>
    </font>
    <font>
      <name val="Arial"/>
      <b val="1"/>
      <color rgb="FFFFFFFF"/>
      <sz val="11"/>
      <u val="single"/>
    </font>
    <font>
      <name val="Arial"/>
      <b val="1"/>
      <color rgb="FFFFFFFF"/>
      <sz val="14"/>
      <u val="single"/>
    </font>
    <font>
      <name val="Arial"/>
      <b val="1"/>
      <color rgb="FFFFFFFF"/>
      <sz val="12"/>
      <u val="single"/>
    </font>
    <font>
      <name val="Arial"/>
      <color rgb="FF1155CC"/>
      <sz val="11"/>
      <u val="single"/>
    </font>
    <font>
      <name val="Arial"/>
      <b val="1"/>
      <color rgb="FFFFFFFF"/>
      <sz val="11"/>
    </font>
    <font>
      <name val="Arial"/>
      <color rgb="FFFFFFFF"/>
      <sz val="11"/>
    </font>
    <font>
      <name val="Arial"/>
      <b val="1"/>
      <color rgb="FFFFFFFF"/>
      <sz val="11"/>
      <u val="single"/>
    </font>
    <font>
      <name val="Arial"/>
      <color theme="0"/>
      <sz val="11"/>
    </font>
    <font>
      <name val="Arial"/>
      <b val="1"/>
      <color rgb="FFFFFFFF"/>
      <sz val="11"/>
      <u val="single"/>
    </font>
    <font>
      <name val="Arial"/>
      <b val="1"/>
      <color rgb="FFFFFFFF"/>
      <sz val="14"/>
      <u val="single"/>
    </font>
    <font>
      <name val="Arial"/>
      <b val="1"/>
      <color rgb="FFFFFFFF"/>
      <sz val="12"/>
      <u val="single"/>
    </font>
    <font>
      <name val="Arial"/>
      <b val="1"/>
      <color theme="0"/>
      <sz val="11"/>
      <u val="single"/>
    </font>
    <font>
      <name val="Arial"/>
      <b val="1"/>
      <color theme="0"/>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9">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EDEDED"/>
        <bgColor rgb="FFEDEDED"/>
      </patternFill>
    </fill>
    <fill>
      <patternFill patternType="solid">
        <fgColor rgb="FF24406B"/>
        <bgColor rgb="FF24406B"/>
      </patternFill>
    </fill>
    <fill>
      <patternFill patternType="solid">
        <fgColor rgb="FF7D6320"/>
        <bgColor rgb="FF7D6320"/>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4A3A10"/>
        <bgColor rgb="FF4A3A1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
      <patternFill patternType="solid">
        <fgColor rgb="FF7A3B0C"/>
      </patternFill>
    </fill>
    <fill>
      <patternFill patternType="solid">
        <fgColor rgb="FF3B2A6E"/>
      </patternFill>
    </fill>
    <fill>
      <patternFill patternType="solid">
        <fgColor rgb="FF2E4A1E"/>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5">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0" borderId="0" pivotButton="0" quotePrefix="0" xfId="0"/>
    <xf numFmtId="0" fontId="5" fillId="0" borderId="0" applyAlignment="1" pivotButton="0" quotePrefix="0" xfId="0">
      <alignment horizontal="left" vertical="center"/>
    </xf>
    <xf numFmtId="0" fontId="7" fillId="5" borderId="3" applyAlignment="1" pivotButton="0" quotePrefix="0" xfId="0">
      <alignment horizontal="center" vertical="center"/>
    </xf>
    <xf numFmtId="0" fontId="6" fillId="5" borderId="4" applyAlignment="1" pivotButton="0" quotePrefix="0" xfId="0">
      <alignment horizontal="center" vertical="center"/>
    </xf>
    <xf numFmtId="0" fontId="8" fillId="6" borderId="4" applyAlignment="1" pivotButton="0" quotePrefix="0" xfId="0">
      <alignment horizontal="center" vertical="center"/>
    </xf>
    <xf numFmtId="0" fontId="9" fillId="6" borderId="3" applyAlignment="1" pivotButton="0" quotePrefix="0" xfId="0">
      <alignment horizontal="center" vertical="center"/>
    </xf>
    <xf numFmtId="0" fontId="10" fillId="7" borderId="4" applyAlignment="1" pivotButton="0" quotePrefix="0" xfId="0">
      <alignment horizontal="center" vertical="center"/>
    </xf>
    <xf numFmtId="0" fontId="11" fillId="8" borderId="4" applyAlignment="1" pivotButton="0" quotePrefix="0" xfId="0">
      <alignment horizontal="center" vertical="center"/>
    </xf>
    <xf numFmtId="0" fontId="12" fillId="6" borderId="4" applyAlignment="1" pivotButton="0" quotePrefix="0" xfId="0">
      <alignment horizontal="center" vertical="center"/>
    </xf>
    <xf numFmtId="0" fontId="13" fillId="6" borderId="3" applyAlignment="1" pivotButton="0" quotePrefix="0" xfId="0">
      <alignment horizontal="center" vertical="center"/>
    </xf>
    <xf numFmtId="0" fontId="14" fillId="6" borderId="4" applyAlignment="1" pivotButton="0" quotePrefix="0" xfId="0">
      <alignment horizontal="center" vertical="center"/>
    </xf>
    <xf numFmtId="0" fontId="15" fillId="9" borderId="0" applyAlignment="1" pivotButton="0" quotePrefix="0" xfId="0">
      <alignment horizontal="center" vertical="center"/>
    </xf>
    <xf numFmtId="0" fontId="16" fillId="6" borderId="0" applyAlignment="1" pivotButton="0" quotePrefix="0" xfId="0">
      <alignment horizontal="center" vertical="center"/>
    </xf>
    <xf numFmtId="0" fontId="17" fillId="0" borderId="0" pivotButton="0" quotePrefix="0" xfId="0"/>
    <xf numFmtId="0" fontId="18" fillId="10" borderId="5" applyAlignment="1" pivotButton="0" quotePrefix="0" xfId="0">
      <alignment horizontal="center" vertical="center"/>
    </xf>
    <xf numFmtId="0" fontId="19" fillId="0" borderId="6" applyAlignment="1" pivotButton="0" quotePrefix="0" xfId="0">
      <alignment vertical="center" wrapText="1"/>
    </xf>
    <xf numFmtId="0" fontId="3" fillId="0" borderId="7" pivotButton="0" quotePrefix="0" xfId="0"/>
    <xf numFmtId="0" fontId="20" fillId="11" borderId="5" applyAlignment="1" pivotButton="0" quotePrefix="0" xfId="0">
      <alignment horizontal="center" vertical="center"/>
    </xf>
    <xf numFmtId="0" fontId="21" fillId="3" borderId="0" applyAlignment="1" pivotButton="0" quotePrefix="0" xfId="0">
      <alignment horizontal="left" vertical="center"/>
    </xf>
    <xf numFmtId="0" fontId="3" fillId="0" borderId="8" pivotButton="0" quotePrefix="0" xfId="0"/>
    <xf numFmtId="0" fontId="22" fillId="11" borderId="0" applyAlignment="1" pivotButton="0" quotePrefix="0" xfId="0">
      <alignment horizontal="left" vertical="center"/>
    </xf>
    <xf numFmtId="0" fontId="17" fillId="11" borderId="0" pivotButton="0" quotePrefix="0" xfId="0"/>
    <xf numFmtId="0" fontId="24" fillId="4" borderId="4" applyAlignment="1" pivotButton="0" quotePrefix="0" xfId="0">
      <alignment horizontal="center" vertical="center"/>
    </xf>
    <xf numFmtId="0" fontId="23" fillId="10" borderId="0" applyAlignment="1" pivotButton="0" quotePrefix="0" xfId="0">
      <alignment horizontal="center" vertical="center"/>
    </xf>
    <xf numFmtId="0" fontId="24" fillId="4" borderId="4" applyAlignment="1" pivotButton="0" quotePrefix="0" xfId="0">
      <alignment horizontal="left" vertical="center"/>
    </xf>
    <xf numFmtId="0" fontId="25" fillId="12" borderId="4" applyAlignment="1" pivotButton="0" quotePrefix="0" xfId="0">
      <alignment horizontal="center" vertical="center"/>
    </xf>
    <xf numFmtId="0" fontId="25" fillId="12" borderId="4" applyAlignment="1" pivotButton="0" quotePrefix="0" xfId="0">
      <alignment horizontal="left" vertical="center"/>
    </xf>
    <xf numFmtId="0" fontId="24" fillId="12" borderId="4" applyAlignment="1" pivotButton="0" quotePrefix="0" xfId="0">
      <alignment horizontal="left" vertical="center"/>
    </xf>
    <xf numFmtId="0" fontId="25" fillId="12" borderId="4" applyAlignment="1" pivotButton="0" quotePrefix="0" xfId="0">
      <alignment horizontal="left" vertical="center" wrapText="1"/>
    </xf>
    <xf numFmtId="0" fontId="26" fillId="12"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vertical="center" wrapText="1"/>
    </xf>
    <xf numFmtId="0" fontId="25" fillId="13" borderId="4" applyAlignment="1" pivotButton="0" quotePrefix="0" xfId="0">
      <alignment horizontal="center" vertical="center"/>
    </xf>
    <xf numFmtId="0" fontId="27" fillId="11" borderId="4" applyAlignment="1" pivotButton="0" quotePrefix="0" xfId="0">
      <alignment horizontal="center" vertical="center"/>
    </xf>
    <xf numFmtId="0" fontId="25" fillId="13" borderId="4" applyAlignment="1" pivotButton="0" quotePrefix="0" xfId="0">
      <alignment horizontal="left" vertical="center"/>
    </xf>
    <xf numFmtId="0" fontId="27" fillId="11" borderId="4" applyAlignment="1" pivotButton="0" quotePrefix="0" xfId="0">
      <alignment horizontal="left" vertical="center"/>
    </xf>
    <xf numFmtId="0" fontId="28" fillId="13" borderId="4" applyAlignment="1" pivotButton="0" quotePrefix="0" xfId="0">
      <alignment horizontal="left" vertical="center"/>
    </xf>
    <xf numFmtId="0" fontId="25" fillId="13" borderId="4" applyAlignment="1" pivotButton="0" quotePrefix="0" xfId="0">
      <alignment vertical="center" wrapText="1"/>
    </xf>
    <xf numFmtId="0" fontId="29" fillId="14" borderId="0" applyAlignment="1" pivotButton="0" quotePrefix="0" xfId="0">
      <alignment horizontal="left" vertical="center"/>
    </xf>
    <xf numFmtId="0" fontId="30" fillId="15" borderId="0" applyAlignment="1" pivotButton="0" quotePrefix="0" xfId="0">
      <alignment horizontal="left" vertical="center"/>
    </xf>
    <xf numFmtId="0" fontId="25" fillId="11" borderId="4" applyAlignment="1" pivotButton="0" quotePrefix="0" xfId="0">
      <alignment horizontal="center" vertical="center"/>
    </xf>
    <xf numFmtId="0" fontId="25" fillId="13" borderId="4" applyAlignment="1" pivotButton="0" quotePrefix="0" xfId="0">
      <alignment horizontal="left" vertical="center" wrapText="1"/>
    </xf>
    <xf numFmtId="0" fontId="31" fillId="16" borderId="4" applyAlignment="1" pivotButton="0" quotePrefix="0" xfId="0">
      <alignment horizontal="left" vertical="center"/>
    </xf>
    <xf numFmtId="0" fontId="17" fillId="15" borderId="0" pivotButton="0" quotePrefix="0" xfId="0"/>
    <xf numFmtId="0" fontId="25" fillId="11" borderId="4" applyAlignment="1" pivotButton="0" quotePrefix="0" xfId="0">
      <alignment horizontal="left" vertical="center"/>
    </xf>
    <xf numFmtId="0" fontId="25" fillId="17" borderId="4" applyAlignment="1" pivotButton="0" quotePrefix="0" xfId="0">
      <alignment horizontal="center" vertical="center"/>
    </xf>
    <xf numFmtId="0" fontId="27" fillId="16" borderId="4" applyAlignment="1" pivotButton="0" quotePrefix="0" xfId="0">
      <alignment horizontal="left" vertical="center"/>
    </xf>
    <xf numFmtId="0" fontId="25" fillId="17" borderId="4" applyAlignment="1" pivotButton="0" quotePrefix="0" xfId="0">
      <alignment horizontal="left" vertical="center"/>
    </xf>
    <xf numFmtId="0" fontId="32" fillId="11" borderId="4" applyAlignment="1" pivotButton="0" quotePrefix="0" xfId="0">
      <alignment horizontal="left" vertical="center"/>
    </xf>
    <xf numFmtId="0" fontId="33" fillId="11" borderId="4" applyAlignment="1" pivotButton="0" quotePrefix="0" xfId="0">
      <alignment horizontal="left" vertical="center"/>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34" fillId="18" borderId="0" applyAlignment="1" pivotButton="0" quotePrefix="0" xfId="0">
      <alignment horizontal="left" vertical="center"/>
    </xf>
    <xf numFmtId="0" fontId="35" fillId="19" borderId="0" applyAlignment="1" pivotButton="0" quotePrefix="0" xfId="0">
      <alignment horizontal="left" vertical="center"/>
    </xf>
    <xf numFmtId="0" fontId="17" fillId="19" borderId="0" pivotButton="0" quotePrefix="0" xfId="0"/>
    <xf numFmtId="0" fontId="36" fillId="16" borderId="4" applyAlignment="1" pivotButton="0" quotePrefix="0" xfId="0">
      <alignment horizontal="left" vertical="center"/>
    </xf>
    <xf numFmtId="0" fontId="24" fillId="11" borderId="4"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24" fillId="16" borderId="4" applyAlignment="1" pivotButton="0" quotePrefix="0" xfId="0">
      <alignment horizontal="left" vertical="center"/>
    </xf>
    <xf numFmtId="0" fontId="40" fillId="0" borderId="0" pivotButton="0" quotePrefix="0" xfId="0"/>
    <xf numFmtId="0" fontId="25" fillId="21" borderId="4" applyAlignment="1" pivotButton="0" quotePrefix="0" xfId="0">
      <alignment horizontal="left" vertical="center"/>
    </xf>
    <xf numFmtId="0" fontId="41" fillId="19" borderId="4" applyAlignment="1" pivotButton="0" quotePrefix="0" xfId="0">
      <alignment horizontal="left" vertical="center"/>
    </xf>
    <xf numFmtId="0" fontId="25" fillId="19" borderId="4" applyAlignment="1" pivotButton="0" quotePrefix="0" xfId="0">
      <alignment horizontal="left" vertical="center"/>
    </xf>
    <xf numFmtId="0" fontId="27" fillId="0" borderId="0" pivotButton="0" quotePrefix="0" xfId="0"/>
    <xf numFmtId="0" fontId="42" fillId="11" borderId="0" applyAlignment="1" pivotButton="0" quotePrefix="0" xfId="0">
      <alignment horizontal="center" vertical="center"/>
    </xf>
    <xf numFmtId="0" fontId="24" fillId="3" borderId="4" applyAlignment="1" pivotButton="0" quotePrefix="0" xfId="0">
      <alignment horizontal="center" vertical="center" wrapText="1"/>
    </xf>
    <xf numFmtId="0" fontId="43" fillId="3" borderId="4" applyAlignment="1" pivotButton="0" quotePrefix="0" xfId="0">
      <alignment horizontal="center" vertical="center" wrapText="1"/>
    </xf>
    <xf numFmtId="0" fontId="44" fillId="16" borderId="4" applyAlignment="1" pivotButton="0" quotePrefix="0" xfId="0">
      <alignment horizontal="left" vertical="center"/>
    </xf>
    <xf numFmtId="0" fontId="45" fillId="11" borderId="4" applyAlignment="1" pivotButton="0" quotePrefix="0" xfId="0">
      <alignment horizontal="left" vertical="center"/>
    </xf>
    <xf numFmtId="0" fontId="27" fillId="21" borderId="4" applyAlignment="1" pivotButton="0" quotePrefix="0" xfId="0">
      <alignment horizontal="left" vertical="center"/>
    </xf>
    <xf numFmtId="0" fontId="46" fillId="0" borderId="0" pivotButton="0" quotePrefix="0" xfId="0"/>
    <xf numFmtId="0" fontId="47" fillId="0" borderId="0" pivotButton="0" quotePrefix="0" xfId="0"/>
    <xf numFmtId="0" fontId="2" fillId="14" borderId="1" applyAlignment="1" pivotButton="0" quotePrefix="0" xfId="0">
      <alignment horizontal="left" vertical="center"/>
    </xf>
    <xf numFmtId="0" fontId="24" fillId="14" borderId="4" applyAlignment="1" pivotButton="0" quotePrefix="0" xfId="0">
      <alignment horizontal="center" vertical="center" wrapText="1"/>
    </xf>
    <xf numFmtId="0" fontId="25" fillId="15" borderId="4" applyAlignment="1" pivotButton="0" quotePrefix="0" xfId="0">
      <alignment horizontal="center" vertical="center"/>
    </xf>
    <xf numFmtId="0" fontId="25" fillId="15" borderId="4" applyAlignment="1" pivotButton="0" quotePrefix="0" xfId="0">
      <alignment horizontal="left" vertical="center"/>
    </xf>
    <xf numFmtId="0" fontId="48" fillId="15"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9" fillId="22" borderId="4" applyAlignment="1" pivotButton="0" quotePrefix="0" xfId="0">
      <alignment horizontal="left" vertical="center"/>
    </xf>
    <xf numFmtId="0" fontId="25" fillId="15" borderId="4" applyAlignment="1" pivotButton="0" quotePrefix="0" xfId="0">
      <alignment vertical="center" wrapText="1"/>
    </xf>
    <xf numFmtId="0" fontId="50" fillId="15" borderId="4" applyAlignment="1" pivotButton="0" quotePrefix="0" xfId="0">
      <alignment horizontal="left" vertical="center"/>
    </xf>
    <xf numFmtId="0" fontId="51" fillId="22" borderId="4" applyAlignment="1" pivotButton="0" quotePrefix="0" xfId="0">
      <alignment horizontal="left" vertical="center"/>
    </xf>
    <xf numFmtId="0" fontId="25" fillId="23" borderId="4" applyAlignment="1" pivotButton="0" quotePrefix="0" xfId="0">
      <alignment horizontal="left" vertical="center"/>
    </xf>
    <xf numFmtId="0" fontId="52" fillId="10" borderId="5" applyAlignment="1" pivotButton="0" quotePrefix="0" xfId="0">
      <alignment horizontal="center" vertical="center"/>
    </xf>
    <xf numFmtId="0" fontId="2" fillId="18" borderId="1" applyAlignment="1" pivotButton="0" quotePrefix="0" xfId="0">
      <alignment horizontal="left" vertical="center"/>
    </xf>
    <xf numFmtId="0" fontId="53" fillId="24" borderId="5" applyAlignment="1" pivotButton="0" quotePrefix="0" xfId="0">
      <alignment horizontal="center" vertical="center"/>
    </xf>
    <xf numFmtId="0" fontId="24" fillId="18" borderId="4" applyAlignment="1" pivotButton="0" quotePrefix="0" xfId="0">
      <alignment horizontal="center" vertical="center" wrapText="1"/>
    </xf>
    <xf numFmtId="0" fontId="25" fillId="19" borderId="4" applyAlignment="1" pivotButton="0" quotePrefix="0" xfId="0">
      <alignment horizontal="center"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4" fillId="24" borderId="4" applyAlignment="1" pivotButton="0" quotePrefix="0" xfId="0">
      <alignment horizontal="left" vertical="center"/>
    </xf>
    <xf numFmtId="0" fontId="25" fillId="25" borderId="4" applyAlignment="1" pivotButton="0" quotePrefix="0" xfId="0">
      <alignment horizontal="left" vertical="center"/>
    </xf>
    <xf numFmtId="0" fontId="25" fillId="24" borderId="4" applyAlignment="1" pivotButton="0" quotePrefix="0" xfId="0">
      <alignment vertical="center" wrapText="1"/>
    </xf>
    <xf numFmtId="0" fontId="24" fillId="19" borderId="4" applyAlignment="1" pivotButton="0" quotePrefix="0" xfId="0">
      <alignment horizontal="left" vertical="center"/>
    </xf>
    <xf numFmtId="0" fontId="24" fillId="24" borderId="4" applyAlignment="1" pivotButton="0" quotePrefix="0" xfId="0">
      <alignment horizontal="left" vertical="center"/>
    </xf>
    <xf numFmtId="0" fontId="55" fillId="24" borderId="0" applyAlignment="1" pivotButton="0" quotePrefix="0" xfId="0">
      <alignment horizontal="center" vertical="center"/>
    </xf>
    <xf numFmtId="0" fontId="56" fillId="0" borderId="0" pivotButton="0" quotePrefix="0" xfId="0"/>
    <xf numFmtId="0" fontId="57" fillId="19" borderId="4" applyAlignment="1" pivotButton="0" quotePrefix="0" xfId="0">
      <alignment horizontal="left" vertical="center"/>
    </xf>
    <xf numFmtId="0" fontId="25" fillId="25" borderId="0" pivotButton="0" quotePrefix="0" xfId="0"/>
    <xf numFmtId="0" fontId="58" fillId="10" borderId="5" applyAlignment="1" pivotButton="0" quotePrefix="0" xfId="0">
      <alignment horizontal="center" vertical="center"/>
    </xf>
    <xf numFmtId="0" fontId="24" fillId="22" borderId="0" applyAlignment="1" pivotButton="0" quotePrefix="0" xfId="0">
      <alignment horizontal="center" vertical="center"/>
    </xf>
    <xf numFmtId="0" fontId="58" fillId="10" borderId="0" applyAlignment="1" pivotButton="0" quotePrefix="0" xfId="0">
      <alignment horizontal="center" vertical="center"/>
    </xf>
    <xf numFmtId="0" fontId="25" fillId="15" borderId="4" applyAlignment="1" pivotButton="0" quotePrefix="0" xfId="0">
      <alignment horizontal="left" vertical="center" wrapText="1"/>
    </xf>
    <xf numFmtId="0" fontId="59" fillId="15" borderId="4" applyAlignment="1" pivotButton="0" quotePrefix="0" xfId="0">
      <alignment horizontal="center" vertical="center"/>
    </xf>
    <xf numFmtId="0" fontId="25" fillId="22" borderId="4" applyAlignment="1" pivotButton="0" quotePrefix="0" xfId="0">
      <alignment horizontal="left" vertical="center" wrapText="1"/>
    </xf>
    <xf numFmtId="0" fontId="60" fillId="22" borderId="4" applyAlignment="1" pivotButton="0" quotePrefix="0" xfId="0">
      <alignment horizontal="center" vertical="center"/>
    </xf>
    <xf numFmtId="0" fontId="0" fillId="0" borderId="0" pivotButton="0" quotePrefix="0" xfId="0"/>
    <xf numFmtId="0" fontId="19" fillId="0" borderId="5" applyAlignment="1" pivotButton="0" quotePrefix="0" xfId="0">
      <alignment vertical="center" wrapText="1"/>
    </xf>
    <xf numFmtId="0" fontId="0" fillId="0" borderId="7" pivotButton="0" quotePrefix="0" xfId="0"/>
    <xf numFmtId="0" fontId="0" fillId="0" borderId="8" pivotButton="0" quotePrefix="0" xfId="0"/>
    <xf numFmtId="0" fontId="6" fillId="26" borderId="4" applyAlignment="1" pivotButton="0" quotePrefix="0" xfId="0">
      <alignment horizontal="center" vertical="center"/>
    </xf>
    <xf numFmtId="0" fontId="6" fillId="27" borderId="4" applyAlignment="1" pivotButton="0" quotePrefix="0" xfId="0">
      <alignment horizontal="center" vertical="center"/>
    </xf>
    <xf numFmtId="0" fontId="6" fillId="28" borderId="4" applyAlignment="1" pivotButton="0" quotePrefix="0" xfId="0">
      <alignment horizontal="center" vertical="center"/>
    </xf>
    <xf numFmtId="0" fontId="10" fillId="26" borderId="4" applyAlignment="1" pivotButton="0" quotePrefix="0" xfId="0">
      <alignment horizontal="center" vertical="center"/>
    </xf>
    <xf numFmtId="0" fontId="10" fillId="27" borderId="4" applyAlignment="1" pivotButton="0" quotePrefix="0" xfId="0">
      <alignment horizontal="center" vertical="center"/>
    </xf>
    <xf numFmtId="0" fontId="10" fillId="28" borderId="4"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12" customWidth="1" style="115" min="6" max="6"/>
    <col width="12" customWidth="1" style="115" min="7" max="7"/>
    <col width="12" customWidth="1" style="115" min="8" max="8"/>
  </cols>
  <sheetData>
    <row r="1">
      <c r="A1" s="1" t="inlineStr">
        <is>
          <t>NUR LECTURE LIBRARY</t>
        </is>
      </c>
      <c r="F1" s="5" t="n"/>
      <c r="G1" s="5" t="n"/>
    </row>
    <row r="2">
      <c r="A2" s="6" t="inlineStr">
        <is>
          <t>Click a class below → then use the sub-tabs at the top of each sheet.</t>
        </is>
      </c>
      <c r="F2" s="5" t="n"/>
      <c r="G2" s="5" t="n"/>
    </row>
    <row r="3">
      <c r="A3" s="8" t="inlineStr">
        <is>
          <t>NUR234</t>
        </is>
      </c>
      <c r="B3" s="11" t="inlineStr">
        <is>
          <t>NUR235</t>
        </is>
      </c>
      <c r="C3" s="12" t="inlineStr">
        <is>
          <t>NUR258</t>
        </is>
      </c>
      <c r="D3" s="15" t="inlineStr">
        <is>
          <t>🏠 START HERE</t>
        </is>
      </c>
      <c r="E3" s="17" t="inlineStr">
        <is>
          <t>📥 Sort me</t>
        </is>
      </c>
      <c r="F3" s="119" t="inlineStr">
        <is>
          <t>NUR198</t>
        </is>
      </c>
      <c r="G3" s="120" t="inlineStr">
        <is>
          <t>NUR175</t>
        </is>
      </c>
      <c r="H3" s="121" t="inlineStr">
        <is>
          <t>NUR125</t>
        </is>
      </c>
    </row>
    <row r="4">
      <c r="A4" s="18" t="n"/>
      <c r="B4" s="18" t="n"/>
      <c r="C4" s="18" t="n"/>
      <c r="D4" s="18" t="n"/>
      <c r="E4" s="18" t="n"/>
      <c r="F4" s="5" t="n"/>
      <c r="G4" s="5" t="n"/>
    </row>
    <row r="5">
      <c r="A5" s="23" t="inlineStr">
        <is>
          <t>NUR234</t>
        </is>
      </c>
      <c r="F5" s="5" t="n"/>
      <c r="G5" s="5" t="n"/>
    </row>
    <row r="6">
      <c r="A6" s="25" t="inlineStr">
        <is>
          <t>→  Kaiser</t>
        </is>
      </c>
      <c r="B6" s="26" t="n"/>
      <c r="C6" s="26" t="n"/>
      <c r="D6" s="26" t="n"/>
      <c r="E6" s="26" t="n"/>
      <c r="F6" s="5" t="n"/>
      <c r="G6" s="5" t="n"/>
    </row>
    <row r="7">
      <c r="A7" s="25" t="inlineStr">
        <is>
          <t>→  Buhler</t>
        </is>
      </c>
      <c r="B7" s="26" t="n"/>
      <c r="C7" s="26" t="n"/>
      <c r="D7" s="26" t="n"/>
      <c r="E7" s="26" t="n"/>
      <c r="F7" s="5" t="n"/>
      <c r="G7" s="5" t="n"/>
    </row>
    <row r="8">
      <c r="A8" s="25" t="inlineStr">
        <is>
          <t>→  Glesner</t>
        </is>
      </c>
      <c r="B8" s="26" t="n"/>
      <c r="C8" s="26" t="n"/>
      <c r="D8" s="26" t="n"/>
      <c r="E8" s="26" t="n"/>
      <c r="F8" s="5" t="n"/>
      <c r="G8" s="5" t="n"/>
    </row>
    <row r="9">
      <c r="A9" s="25" t="inlineStr">
        <is>
          <t>→  Exam Reviews</t>
        </is>
      </c>
      <c r="B9" s="26" t="n"/>
      <c r="C9" s="26" t="n"/>
      <c r="D9" s="26" t="n"/>
      <c r="E9" s="26" t="n"/>
      <c r="F9" s="5" t="n"/>
      <c r="G9" s="5" t="n"/>
    </row>
    <row r="10">
      <c r="A10" s="25">
        <f>HYPERLINK('START HERE'!$B$36,"→  Zoom Backup")</f>
        <v/>
      </c>
      <c r="B10" s="26" t="n"/>
      <c r="C10" s="26" t="n"/>
      <c r="D10" s="26" t="n"/>
      <c r="E10" s="26" t="n"/>
      <c r="F10" s="5" t="n"/>
      <c r="G10" s="5" t="n"/>
    </row>
    <row r="11">
      <c r="A11" s="25" t="inlineStr">
        <is>
          <t>→  Review videos</t>
        </is>
      </c>
      <c r="B11" s="26" t="n"/>
      <c r="C11" s="26" t="n"/>
      <c r="D11" s="26" t="n"/>
      <c r="E11" s="26" t="n"/>
      <c r="F11" s="5" t="n"/>
      <c r="G11" s="5" t="n"/>
    </row>
    <row r="12">
      <c r="A12" s="43" t="inlineStr">
        <is>
          <t>NUR235</t>
        </is>
      </c>
      <c r="F12" s="5" t="n"/>
      <c r="G12" s="5" t="n"/>
    </row>
    <row r="13">
      <c r="A13" s="44" t="inlineStr">
        <is>
          <t>→  Fadell</t>
        </is>
      </c>
      <c r="B13" s="48" t="n"/>
      <c r="C13" s="48" t="n"/>
      <c r="D13" s="48" t="n"/>
      <c r="E13" s="48" t="n"/>
      <c r="F13" s="5" t="n"/>
      <c r="G13" s="5" t="n"/>
    </row>
    <row r="14">
      <c r="A14" s="44" t="inlineStr">
        <is>
          <t>→  Fuller</t>
        </is>
      </c>
      <c r="B14" s="48" t="n"/>
      <c r="C14" s="48" t="n"/>
      <c r="D14" s="48" t="n"/>
      <c r="E14" s="48" t="n"/>
      <c r="F14" s="5" t="n"/>
      <c r="G14" s="5" t="n"/>
    </row>
    <row r="15">
      <c r="A15" s="44" t="inlineStr">
        <is>
          <t>→  Exam Reviews</t>
        </is>
      </c>
      <c r="B15" s="48" t="n"/>
      <c r="C15" s="48" t="n"/>
      <c r="D15" s="48" t="n"/>
      <c r="E15" s="48" t="n"/>
      <c r="F15" s="5" t="n"/>
      <c r="G15" s="5" t="n"/>
    </row>
    <row r="16">
      <c r="A16" s="44">
        <f>HYPERLINK('START HERE'!$B$36,"→  Zoom Backup")</f>
        <v/>
      </c>
      <c r="B16" s="48" t="n"/>
      <c r="C16" s="48" t="n"/>
      <c r="D16" s="48" t="n"/>
      <c r="E16" s="48" t="n"/>
      <c r="F16" s="5" t="n"/>
      <c r="G16" s="5" t="n"/>
    </row>
    <row r="17">
      <c r="A17" s="44" t="inlineStr">
        <is>
          <t>→  Review videos</t>
        </is>
      </c>
      <c r="B17" s="48" t="n"/>
      <c r="C17" s="48" t="n"/>
      <c r="D17" s="48" t="n"/>
      <c r="E17" s="48" t="n"/>
      <c r="F17" s="5" t="n"/>
      <c r="G17" s="5" t="n"/>
    </row>
    <row r="18">
      <c r="A18" s="57" t="inlineStr">
        <is>
          <t>NUR258</t>
        </is>
      </c>
      <c r="F18" s="5" t="n"/>
      <c r="G18" s="5" t="n"/>
    </row>
    <row r="19">
      <c r="A19" s="58" t="inlineStr">
        <is>
          <t>→  Halecka</t>
        </is>
      </c>
      <c r="B19" s="59" t="n"/>
      <c r="C19" s="59" t="n"/>
      <c r="D19" s="59" t="n"/>
      <c r="E19" s="59" t="n"/>
      <c r="F19" s="5" t="n"/>
      <c r="G19" s="5" t="n"/>
    </row>
    <row r="20" ht="15.75" customHeight="1" s="115">
      <c r="A20" s="58" t="inlineStr">
        <is>
          <t>→  Wagner</t>
        </is>
      </c>
      <c r="B20" s="59" t="n"/>
      <c r="C20" s="59" t="n"/>
      <c r="D20" s="59" t="n"/>
      <c r="E20" s="59" t="n"/>
      <c r="F20" s="5" t="n"/>
      <c r="G20" s="5" t="n"/>
    </row>
    <row r="21" ht="15.75" customHeight="1" s="115">
      <c r="A21" s="58" t="inlineStr">
        <is>
          <t>→  Simmons</t>
        </is>
      </c>
      <c r="B21" s="59" t="n"/>
      <c r="C21" s="59" t="n"/>
      <c r="D21" s="59" t="n"/>
      <c r="E21" s="59" t="n"/>
      <c r="F21" s="5" t="n"/>
      <c r="G21" s="5" t="n"/>
    </row>
    <row r="22" ht="15.75" customHeight="1" s="115">
      <c r="A22" s="58" t="inlineStr">
        <is>
          <t>→  Exam Reviews</t>
        </is>
      </c>
      <c r="B22" s="59" t="n"/>
      <c r="C22" s="59" t="n"/>
      <c r="D22" s="59" t="n"/>
      <c r="E22" s="59" t="n"/>
      <c r="F22" s="5" t="n"/>
      <c r="G22" s="5" t="n"/>
    </row>
    <row r="23" ht="15.75" customHeight="1" s="115">
      <c r="A23" s="58">
        <f>HYPERLINK('START HERE'!$B$36,"→  Zoom Backup")</f>
        <v/>
      </c>
      <c r="B23" s="59" t="n"/>
      <c r="C23" s="59" t="n"/>
      <c r="D23" s="59" t="n"/>
      <c r="E23" s="59" t="n"/>
      <c r="F23" s="5" t="n"/>
      <c r="G23" s="5" t="n"/>
    </row>
    <row r="24" ht="15.75" customHeight="1" s="115">
      <c r="A24" s="58" t="inlineStr">
        <is>
          <t>→  Review videos</t>
        </is>
      </c>
      <c r="B24" s="59" t="n"/>
      <c r="C24" s="59" t="n"/>
      <c r="D24" s="59" t="n"/>
      <c r="E24" s="59" t="n"/>
      <c r="F24" s="5" t="n"/>
      <c r="G24" s="5" t="n"/>
    </row>
    <row r="25" ht="15.75" customHeight="1" s="115">
      <c r="A25" s="62" t="inlineStr">
        <is>
          <t>HOW TO USE IT</t>
        </is>
      </c>
      <c r="F25" s="5" t="n"/>
      <c r="G25" s="5" t="n"/>
    </row>
    <row r="26" ht="15.75" customHeight="1" s="115">
      <c r="A26" s="63" t="inlineStr">
        <is>
          <t>•  Every recording links straight to the video in your Google Drive - no passwords needed.</t>
        </is>
      </c>
      <c r="F26" s="5" t="n"/>
      <c r="G26" s="5" t="n"/>
    </row>
    <row r="27" ht="15.75" customHeight="1" s="115">
      <c r="A27" s="63" t="inlineStr">
        <is>
          <t>•  Each lecturer has their own sub-tab. The Lecturer column repeats it row by row.</t>
        </is>
      </c>
      <c r="F27" s="5" t="n"/>
      <c r="G27" s="5" t="n"/>
    </row>
    <row r="28" ht="15.75" customHeight="1" s="115">
      <c r="A28" s="63" t="inlineStr">
        <is>
          <t>•  Zoom (the "Zoom" button on each class, and the links above) opens your NUR Zoom backups workbook - old Zoom links and passwords for sessions with no Drive recording. It reads the link you paste into B36 below.</t>
        </is>
      </c>
      <c r="F28" s="5" t="n"/>
      <c r="G28" s="5" t="n"/>
    </row>
    <row r="29" ht="15.75" customHeight="1" s="115">
      <c r="A29" s="63" t="inlineStr">
        <is>
          <t>•  Use the My notes column however you like - mark what you have watched, jot reminders.</t>
        </is>
      </c>
      <c r="F29" s="5" t="n"/>
      <c r="G29" s="5" t="n"/>
    </row>
    <row r="30" ht="15.75" customHeight="1" s="115">
      <c r="A30" s="63" t="inlineStr">
        <is>
          <t>•  Empty dark rows are already set up for the rest of the semester - just type in them.</t>
        </is>
      </c>
      <c r="F30" s="5" t="n"/>
      <c r="G30" s="5" t="n"/>
    </row>
    <row r="31" ht="15.75" customHeight="1" s="115">
      <c r="A31" s="63" t="inlineStr">
        <is>
          <t>•  To add a recording: right-click the cell -&gt; Link -&gt; paste the Drive URL.</t>
        </is>
      </c>
      <c r="F31" s="5" t="n"/>
      <c r="G31" s="5" t="n"/>
    </row>
    <row r="32" ht="15.75" customHeight="1" s="115">
      <c r="A32" s="63"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5">
      <c r="A33" s="18" t="n"/>
      <c r="F33" s="5" t="n"/>
      <c r="G33" s="5" t="n"/>
    </row>
    <row r="34" ht="15.75" customHeight="1" s="115">
      <c r="A34"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5">
      <c r="A35" s="18" t="n"/>
      <c r="B35" s="18" t="n"/>
      <c r="C35" s="18" t="n"/>
      <c r="D35" s="18" t="n"/>
      <c r="E35" s="18" t="n"/>
      <c r="F35" s="5" t="n"/>
      <c r="G35" s="5" t="n"/>
    </row>
    <row r="36" ht="15.75" customHeight="1" s="115">
      <c r="A36" s="65" t="inlineStr">
        <is>
          <t>Zoom backups link → paste it into B36 and every "Zoom" button works again:</t>
        </is>
      </c>
      <c r="B36" s="67" t="n"/>
      <c r="C36" s="18" t="n"/>
      <c r="D36" s="18" t="n"/>
      <c r="E36" s="18" t="n"/>
      <c r="F36" s="5" t="n"/>
      <c r="G36" s="5" t="n"/>
    </row>
    <row r="37" ht="15.75" customHeight="1" s="115">
      <c r="A37" s="18" t="n"/>
      <c r="B37" s="18" t="n"/>
      <c r="C37" s="18" t="n"/>
      <c r="D37" s="18" t="n"/>
      <c r="E37" s="18" t="n"/>
      <c r="F37" s="5" t="n"/>
      <c r="G37" s="5" t="n"/>
    </row>
    <row r="38" ht="15.75" customHeight="1" s="115">
      <c r="A38" s="18" t="n"/>
      <c r="B38" s="18" t="n"/>
      <c r="C38" s="18" t="n"/>
      <c r="D38" s="18" t="n"/>
      <c r="E38" s="18" t="n"/>
      <c r="F38" s="5" t="n"/>
      <c r="G38" s="5" t="n"/>
    </row>
    <row r="39" ht="15.75" customHeight="1" s="115">
      <c r="A39" s="18" t="n"/>
      <c r="B39" s="18" t="n"/>
      <c r="C39" s="18" t="n"/>
      <c r="D39" s="18" t="n"/>
      <c r="E39" s="18" t="n"/>
      <c r="F39" s="5" t="n"/>
      <c r="G39" s="5" t="n"/>
    </row>
    <row r="40" ht="15.75" customHeight="1" s="115">
      <c r="A40" s="18" t="n"/>
      <c r="B40" s="18" t="n"/>
      <c r="C40" s="18" t="n"/>
      <c r="D40" s="18" t="n"/>
      <c r="E40" s="18" t="n"/>
      <c r="F40" s="5" t="n"/>
      <c r="G40" s="5" t="n"/>
    </row>
    <row r="41" ht="15.75" customHeight="1" s="115">
      <c r="A41" s="18" t="n"/>
      <c r="B41" s="18" t="n"/>
      <c r="C41" s="18" t="n"/>
      <c r="D41" s="18" t="n"/>
      <c r="E41" s="18" t="n"/>
      <c r="F41" s="5" t="n"/>
      <c r="G41" s="5" t="n"/>
    </row>
    <row r="42" ht="15.75" customHeight="1" s="115">
      <c r="A42" s="18" t="n"/>
      <c r="B42" s="18" t="n"/>
      <c r="C42" s="18" t="n"/>
      <c r="D42" s="18" t="n"/>
      <c r="E42" s="18" t="n"/>
      <c r="F42" s="5" t="n"/>
      <c r="G42" s="5" t="n"/>
    </row>
    <row r="43" ht="15.75" customHeight="1" s="115">
      <c r="A43" s="18" t="n"/>
      <c r="B43" s="18" t="n"/>
      <c r="C43" s="18" t="n"/>
      <c r="D43" s="18" t="n"/>
      <c r="E43" s="18"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row>
    <row r="61" ht="15.75" customHeight="1" s="115">
      <c r="A61" s="5" t="n"/>
      <c r="B61" s="5" t="n"/>
      <c r="C61" s="5" t="n"/>
      <c r="D61" s="5" t="n"/>
      <c r="E61" s="5" t="n"/>
      <c r="F61" s="5" t="n"/>
    </row>
    <row r="62" ht="15.75" customHeight="1" s="115">
      <c r="A62" s="5" t="n"/>
      <c r="B62" s="5" t="n"/>
      <c r="C62" s="5" t="n"/>
      <c r="D62" s="5" t="n"/>
      <c r="E62" s="5" t="n"/>
      <c r="F62" s="5" t="n"/>
    </row>
    <row r="63" ht="15.75" customHeight="1" s="115">
      <c r="A63" s="5" t="n"/>
      <c r="B63" s="5" t="n"/>
      <c r="C63" s="5" t="n"/>
      <c r="D63" s="5" t="n"/>
      <c r="E63" s="5" t="n"/>
      <c r="F63" s="5" t="n"/>
    </row>
    <row r="64" ht="15.75" customHeight="1" s="115">
      <c r="A64" s="5" t="n"/>
      <c r="B64" s="5" t="n"/>
      <c r="C64" s="5" t="n"/>
      <c r="D64" s="5" t="n"/>
      <c r="E64" s="5" t="n"/>
      <c r="F64" s="5" t="n"/>
    </row>
    <row r="65" ht="15.75" customHeight="1" s="115">
      <c r="A65" s="5" t="n"/>
      <c r="B65" s="5" t="n"/>
      <c r="C65" s="5" t="n"/>
      <c r="D65" s="5" t="n"/>
      <c r="E65" s="5" t="n"/>
      <c r="F65" s="5" t="n"/>
    </row>
    <row r="66" ht="15.75" customHeight="1" s="115">
      <c r="A66" s="5" t="n"/>
      <c r="B66" s="5" t="n"/>
      <c r="C66" s="5" t="n"/>
      <c r="D66" s="5" t="n"/>
      <c r="E66" s="5" t="n"/>
      <c r="F66" s="5" t="n"/>
    </row>
    <row r="67" ht="15.75" customHeight="1" s="115">
      <c r="A67" s="5" t="n"/>
      <c r="B67" s="5" t="n"/>
      <c r="C67" s="5" t="n"/>
      <c r="D67" s="5" t="n"/>
      <c r="E67" s="5" t="n"/>
      <c r="F67" s="5" t="n"/>
    </row>
    <row r="68" ht="15.75" customHeight="1" s="115">
      <c r="A68" s="5" t="n"/>
      <c r="B68" s="5" t="n"/>
      <c r="C68" s="5" t="n"/>
      <c r="D68" s="5" t="n"/>
      <c r="E68" s="5" t="n"/>
      <c r="F68" s="5" t="n"/>
    </row>
    <row r="69" ht="15.75" customHeight="1" s="115">
      <c r="A69" s="5" t="n"/>
      <c r="B69" s="5" t="n"/>
      <c r="C69" s="5" t="n"/>
      <c r="D69" s="5" t="n"/>
      <c r="E69" s="5" t="n"/>
      <c r="F69" s="5" t="n"/>
    </row>
    <row r="70" ht="15.75" customHeight="1" s="115">
      <c r="A70" s="5" t="n"/>
      <c r="B70" s="5" t="n"/>
      <c r="C70" s="5" t="n"/>
      <c r="D70" s="5" t="n"/>
      <c r="E70" s="5" t="n"/>
      <c r="F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F3" location="'NUR198 Videos'!A1" display="NUR198"/>
    <hyperlink ref="G3" location="'NUR175 Videos'!A1" display="NUR175"/>
    <hyperlink ref="H3"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4" t="inlineStr">
        <is>
          <t>NEW RECORDINGS  ·  sort me</t>
        </is>
      </c>
    </row>
    <row r="2">
      <c r="A2" s="9" t="inlineStr">
        <is>
          <t>NUR234</t>
        </is>
      </c>
      <c r="B2" s="9" t="inlineStr">
        <is>
          <t>NUR235</t>
        </is>
      </c>
      <c r="C2" s="9" t="inlineStr">
        <is>
          <t>NUR258</t>
        </is>
      </c>
      <c r="D2" s="13" t="inlineStr">
        <is>
          <t>🏠 START HERE</t>
        </is>
      </c>
      <c r="E2" s="16" t="inlineStr">
        <is>
          <t>📥 Sort me</t>
        </is>
      </c>
      <c r="F2" s="18" t="n"/>
      <c r="G2" s="18"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8" t="n"/>
      <c r="B4" s="18" t="n"/>
      <c r="C4" s="18" t="n"/>
      <c r="D4" s="18" t="n"/>
      <c r="E4" s="18" t="n"/>
      <c r="F4" s="18" t="n"/>
      <c r="G4" s="18" t="n"/>
    </row>
    <row r="5">
      <c r="A5" s="27" t="inlineStr">
        <is>
          <t>Recorded</t>
        </is>
      </c>
      <c r="B5" s="27" t="inlineStr">
        <is>
          <t>App</t>
        </is>
      </c>
      <c r="C5" s="29" t="inlineStr">
        <is>
          <t>Course</t>
        </is>
      </c>
      <c r="D5" s="29" t="inlineStr">
        <is>
          <t>Lecturer</t>
        </is>
      </c>
      <c r="E5" s="29" t="inlineStr">
        <is>
          <t>Recording</t>
        </is>
      </c>
      <c r="F5" s="29" t="inlineStr">
        <is>
          <t>File</t>
        </is>
      </c>
      <c r="G5" s="29" t="inlineStr">
        <is>
          <t>Notes</t>
        </is>
      </c>
    </row>
    <row r="6">
      <c r="A6" s="30" t="n"/>
      <c r="B6" s="30" t="n"/>
      <c r="C6" s="31" t="n"/>
      <c r="D6" s="31" t="n"/>
      <c r="E6" s="32" t="n"/>
      <c r="F6" s="31" t="n"/>
      <c r="G6" s="33" t="n"/>
    </row>
    <row r="7">
      <c r="A7" s="30" t="n"/>
      <c r="B7" s="30" t="n"/>
      <c r="C7" s="31" t="n"/>
      <c r="D7" s="31" t="n"/>
      <c r="E7" s="32" t="n"/>
      <c r="F7" s="31" t="n"/>
      <c r="G7" s="33" t="n"/>
    </row>
    <row r="8">
      <c r="A8" s="30" t="n"/>
      <c r="B8" s="30" t="n"/>
      <c r="C8" s="31" t="n"/>
      <c r="D8" s="31" t="n"/>
      <c r="E8" s="32" t="n"/>
      <c r="F8" s="31" t="n"/>
      <c r="G8" s="33" t="n"/>
    </row>
    <row r="9">
      <c r="A9" s="30" t="n"/>
      <c r="B9" s="30" t="n"/>
      <c r="C9" s="31" t="n"/>
      <c r="D9" s="31" t="n"/>
      <c r="E9" s="34" t="n"/>
      <c r="F9" s="31" t="n"/>
      <c r="G9" s="36" t="n"/>
    </row>
    <row r="10">
      <c r="A10" s="37" t="n"/>
      <c r="B10" s="37" t="n"/>
      <c r="C10" s="39" t="n"/>
      <c r="D10" s="39" t="n"/>
      <c r="E10" s="41" t="n"/>
      <c r="F10" s="39" t="n"/>
      <c r="G10" s="42" t="n"/>
    </row>
    <row r="11">
      <c r="A11" s="30" t="n"/>
      <c r="B11" s="30" t="n"/>
      <c r="C11" s="31" t="n"/>
      <c r="D11" s="31" t="n"/>
      <c r="E11" s="34" t="n"/>
      <c r="F11" s="31" t="n"/>
      <c r="G11" s="33" t="n"/>
    </row>
    <row r="12">
      <c r="A12" s="37" t="n"/>
      <c r="B12" s="37" t="n"/>
      <c r="C12" s="39" t="n"/>
      <c r="D12" s="39" t="n"/>
      <c r="E12" s="41" t="n"/>
      <c r="F12" s="39" t="n"/>
      <c r="G12" s="46" t="n"/>
    </row>
    <row r="13">
      <c r="A13" s="30" t="n"/>
      <c r="B13" s="30" t="n"/>
      <c r="C13" s="31" t="n"/>
      <c r="D13" s="31" t="n"/>
      <c r="E13" s="32" t="n"/>
      <c r="F13" s="31" t="n"/>
      <c r="G13" s="33" t="n"/>
    </row>
    <row r="14">
      <c r="A14" s="50" t="n"/>
      <c r="B14" s="50" t="n"/>
      <c r="C14" s="52" t="n"/>
      <c r="D14" s="52" t="n"/>
      <c r="E14" s="52" t="n"/>
      <c r="F14" s="52" t="n"/>
      <c r="G14" s="52" t="n"/>
    </row>
    <row r="15">
      <c r="A15" s="50" t="n"/>
      <c r="B15" s="50" t="n"/>
      <c r="C15" s="52" t="n"/>
      <c r="D15" s="52" t="n"/>
      <c r="E15" s="52" t="n"/>
      <c r="F15" s="52" t="n"/>
      <c r="G15" s="52" t="n"/>
    </row>
    <row r="16">
      <c r="A16" s="50" t="n"/>
      <c r="B16" s="50" t="n"/>
      <c r="C16" s="52" t="n"/>
      <c r="D16" s="52" t="n"/>
      <c r="E16" s="52" t="n"/>
      <c r="F16" s="52" t="n"/>
      <c r="G16" s="52" t="n"/>
    </row>
    <row r="17">
      <c r="A17" s="50" t="n"/>
      <c r="B17" s="50" t="n"/>
      <c r="C17" s="52" t="n"/>
      <c r="D17" s="52" t="n"/>
      <c r="E17" s="52" t="n"/>
      <c r="F17" s="52" t="n"/>
      <c r="G17" s="52"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5">
      <c r="A21" s="5" t="n"/>
      <c r="B21" s="5" t="n"/>
      <c r="C21" s="5" t="n"/>
      <c r="D21" s="5" t="n"/>
      <c r="E21" s="5" t="n"/>
      <c r="F21" s="5" t="n"/>
      <c r="G21" s="5" t="n"/>
    </row>
    <row r="22" ht="15.75" customHeight="1" s="115">
      <c r="A22" s="5" t="n"/>
      <c r="B22" s="5" t="n"/>
      <c r="C22" s="5" t="n"/>
      <c r="D22" s="5" t="n"/>
      <c r="E22" s="5" t="n"/>
      <c r="F22" s="5" t="n"/>
      <c r="G22" s="5" t="n"/>
    </row>
    <row r="23" ht="15.75" customHeight="1" s="115">
      <c r="A23" s="5" t="n"/>
      <c r="B23" s="5" t="n"/>
      <c r="C23" s="5" t="n"/>
      <c r="D23" s="5" t="n"/>
      <c r="E23" s="5" t="n"/>
      <c r="F23" s="5" t="n"/>
      <c r="G23" s="5" t="n"/>
    </row>
    <row r="24" ht="15.75" customHeight="1" s="115">
      <c r="A24" s="5" t="n"/>
      <c r="B24" s="5" t="n"/>
      <c r="C24" s="5" t="n"/>
      <c r="D24" s="5" t="n"/>
      <c r="E24" s="5" t="n"/>
      <c r="F24" s="5" t="n"/>
      <c r="G24" s="5" t="n"/>
    </row>
    <row r="25" ht="15.75" customHeight="1" s="115">
      <c r="A25" s="5" t="n"/>
      <c r="B25" s="5" t="n"/>
      <c r="C25" s="5" t="n"/>
      <c r="D25" s="5" t="n"/>
      <c r="E25" s="5" t="n"/>
      <c r="F25" s="5" t="n"/>
      <c r="G25" s="5" t="n"/>
    </row>
    <row r="26" ht="15.75" customHeight="1" s="115">
      <c r="A26" s="5" t="n"/>
      <c r="B26" s="5" t="n"/>
      <c r="C26" s="5" t="n"/>
      <c r="D26" s="5" t="n"/>
      <c r="E26" s="5" t="n"/>
      <c r="F26" s="5" t="n"/>
      <c r="G26" s="5" t="n"/>
    </row>
    <row r="27" ht="15.75" customHeight="1" s="115">
      <c r="A27" s="5" t="n"/>
      <c r="B27" s="5" t="n"/>
      <c r="C27" s="5" t="n"/>
      <c r="D27" s="5" t="n"/>
      <c r="E27" s="5" t="n"/>
      <c r="F27" s="5" t="n"/>
      <c r="G27" s="5" t="n"/>
    </row>
    <row r="28" ht="15.75" customHeight="1" s="115">
      <c r="A28" s="5" t="n"/>
      <c r="B28" s="5" t="n"/>
      <c r="C28" s="5" t="n"/>
      <c r="D28" s="5" t="n"/>
      <c r="E28" s="5" t="n"/>
      <c r="F28" s="5" t="n"/>
      <c r="G28" s="5" t="n"/>
    </row>
    <row r="29" ht="15.75" customHeight="1" s="115">
      <c r="A29" s="5" t="n"/>
      <c r="B29" s="5" t="n"/>
      <c r="C29" s="5" t="n"/>
      <c r="D29" s="5" t="n"/>
      <c r="E29" s="5" t="n"/>
      <c r="F29" s="5" t="n"/>
      <c r="G29" s="5" t="n"/>
    </row>
    <row r="30" ht="15.75" customHeight="1" s="115">
      <c r="A30" s="5" t="n"/>
      <c r="B30" s="5" t="n"/>
      <c r="C30" s="5" t="n"/>
      <c r="D30" s="5" t="n"/>
      <c r="E30" s="5" t="n"/>
      <c r="F30" s="5" t="n"/>
      <c r="G30" s="5" t="n"/>
    </row>
    <row r="31" ht="15.75" customHeight="1" s="115">
      <c r="A31" s="5" t="n"/>
      <c r="B31" s="5" t="n"/>
      <c r="C31" s="5" t="n"/>
      <c r="D31" s="5" t="n"/>
      <c r="E31" s="5" t="n"/>
      <c r="F31" s="5" t="n"/>
      <c r="G31" s="5" t="n"/>
    </row>
    <row r="32" ht="15.75" customHeight="1" s="115">
      <c r="A32" s="5" t="n"/>
      <c r="B32" s="5" t="n"/>
      <c r="C32" s="5" t="n"/>
      <c r="D32" s="5" t="n"/>
      <c r="E32" s="5" t="n"/>
      <c r="F32" s="5" t="n"/>
      <c r="G32" s="5"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5" t="n"/>
      <c r="B36" s="5" t="n"/>
      <c r="C36" s="5" t="n"/>
      <c r="D36" s="5" t="n"/>
      <c r="E36" s="5" t="n"/>
      <c r="F36" s="5" t="n"/>
      <c r="G36" s="5" t="n"/>
    </row>
    <row r="37" ht="15.75" customHeight="1" s="115">
      <c r="A37" s="5" t="n"/>
      <c r="B37" s="5" t="n"/>
      <c r="C37" s="5" t="n"/>
      <c r="D37" s="5" t="n"/>
      <c r="E37" s="5" t="n"/>
      <c r="F37" s="5" t="n"/>
      <c r="G37" s="5" t="n"/>
    </row>
    <row r="38" ht="15.75" customHeight="1" s="115">
      <c r="A38" s="5" t="n"/>
      <c r="B38" s="5" t="n"/>
      <c r="C38" s="5" t="n"/>
      <c r="D38" s="5" t="n"/>
      <c r="E38" s="5" t="n"/>
      <c r="F38" s="5" t="n"/>
      <c r="G38" s="5" t="n"/>
    </row>
    <row r="39" ht="15.75" customHeight="1" s="115">
      <c r="A39" s="5" t="n"/>
      <c r="B39" s="5" t="n"/>
      <c r="C39" s="5" t="n"/>
      <c r="D39" s="5" t="n"/>
      <c r="E39" s="5"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2" t="inlineStr">
        <is>
          <t>NUR234  ·  Kaiser</t>
        </is>
      </c>
    </row>
    <row r="2">
      <c r="A2" s="7" t="inlineStr">
        <is>
          <t>NUR234</t>
        </is>
      </c>
      <c r="B2" s="10" t="inlineStr">
        <is>
          <t>NUR235</t>
        </is>
      </c>
      <c r="C2" s="10" t="inlineStr">
        <is>
          <t>NUR258</t>
        </is>
      </c>
      <c r="D2" s="14" t="inlineStr">
        <is>
          <t>🏠 START HERE</t>
        </is>
      </c>
      <c r="E2" s="17" t="inlineStr">
        <is>
          <t>📥 Sort me</t>
        </is>
      </c>
      <c r="F2" s="18" t="n"/>
      <c r="G2" s="18" t="n"/>
    </row>
    <row r="3">
      <c r="A3" s="22" t="inlineStr">
        <is>
          <t>Kaiser</t>
        </is>
      </c>
      <c r="B3" s="19" t="inlineStr">
        <is>
          <t>Buhler</t>
        </is>
      </c>
      <c r="C3" s="19" t="inlineStr">
        <is>
          <t>Glesner</t>
        </is>
      </c>
      <c r="D3" s="28" t="inlineStr">
        <is>
          <t>Exams</t>
        </is>
      </c>
      <c r="E3" s="28">
        <f>HYPERLINK('START HERE'!$B$36,"Zoom")</f>
        <v/>
      </c>
      <c r="F3" s="19"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5" t="inlineStr">
        <is>
          <t>Module 1</t>
        </is>
      </c>
      <c r="B6" s="45" t="inlineStr">
        <is>
          <t>Day 1</t>
        </is>
      </c>
      <c r="C6" s="49" t="inlineStr">
        <is>
          <t>Spring 2026</t>
        </is>
      </c>
      <c r="D6" s="49" t="inlineStr">
        <is>
          <t>Kaiser</t>
        </is>
      </c>
      <c r="E6" s="53">
        <f>HYPERLINK("https://drive.google.com/open?id=1cFM6BCb3NZQF3oZ4pDuu8clij33-8Z0U&amp;usp=drive_fs","▶  Watch")</f>
        <v/>
      </c>
      <c r="F6" s="49" t="n"/>
      <c r="G6" s="49" t="inlineStr">
        <is>
          <t>Topic: Reproductive Life Planning &amp; Contraception</t>
        </is>
      </c>
    </row>
    <row r="7">
      <c r="A7" s="45" t="inlineStr">
        <is>
          <t>Module 1</t>
        </is>
      </c>
      <c r="B7" s="45" t="inlineStr">
        <is>
          <t>Day 1</t>
        </is>
      </c>
      <c r="C7" s="49" t="inlineStr">
        <is>
          <t>Fall 2026</t>
        </is>
      </c>
      <c r="D7" s="49" t="inlineStr">
        <is>
          <t>Kaiser</t>
        </is>
      </c>
      <c r="E7" s="54">
        <f>HYPERLINK("https://drive.google.com/file/d/1Ojm9nfAxdSOFsLLEmEm5Qj9D5qtjmo6o/view","▶  Watch")</f>
        <v/>
      </c>
      <c r="F7" s="49" t="inlineStr">
        <is>
          <t>NUR234_Fall2026_Kaiser_Wk01_Day1_Lecture.mp4</t>
        </is>
      </c>
      <c r="G7" s="49" t="inlineStr">
        <is>
          <t>Fall 2026 recording, uploaded 23 Sep as "NUR234Wk1Day1_Kaiser.mp4" (254 MB). This row used to repeat the Spring 2026 link.</t>
        </is>
      </c>
    </row>
    <row r="8">
      <c r="A8" s="45" t="inlineStr">
        <is>
          <t>Module 1</t>
        </is>
      </c>
      <c r="B8" s="45" t="inlineStr">
        <is>
          <t>Day 2</t>
        </is>
      </c>
      <c r="C8" s="49" t="inlineStr">
        <is>
          <t>Spring 2026</t>
        </is>
      </c>
      <c r="D8" s="49" t="inlineStr">
        <is>
          <t>Kaiser</t>
        </is>
      </c>
      <c r="E8" s="54">
        <f>HYPERLINK("https://drive.google.com/file/d/1BZlKg-lf2367FCwM5kMaH-zKj9hZ53ff/view","▶  Watch")</f>
        <v/>
      </c>
      <c r="F8" s="49" t="inlineStr">
        <is>
          <t>NUR234 M1d2.mp4</t>
        </is>
      </c>
      <c r="G8" s="49" t="inlineStr">
        <is>
          <t>Topic: Reproductive Life Planning &amp; Contraception</t>
        </is>
      </c>
    </row>
    <row r="9">
      <c r="A9" s="45" t="inlineStr">
        <is>
          <t>Module 1</t>
        </is>
      </c>
      <c r="B9" s="45" t="inlineStr">
        <is>
          <t>Day 2</t>
        </is>
      </c>
      <c r="C9" s="49" t="inlineStr">
        <is>
          <t>Fall 2026</t>
        </is>
      </c>
      <c r="D9" s="49" t="inlineStr">
        <is>
          <t>Kaiser</t>
        </is>
      </c>
      <c r="E9" s="54">
        <f>HYPERLINK("https://drive.google.com/file/d/1BZlKg-lf2367FCwM5kMaH-zKj9hZ53ff/view?usp=drive_link","▶  Watch")</f>
        <v/>
      </c>
      <c r="F9" s="49" t="n"/>
      <c r="G9" s="49" t="inlineStr">
        <is>
          <t>Topic: Reproductive Life Planning &amp; Contraception</t>
        </is>
      </c>
    </row>
    <row r="10">
      <c r="A10" s="55" t="inlineStr">
        <is>
          <t>Module 2</t>
        </is>
      </c>
      <c r="B10" s="55" t="inlineStr">
        <is>
          <t>Day 1</t>
        </is>
      </c>
      <c r="C10" s="49" t="inlineStr">
        <is>
          <t>Spring 2026</t>
        </is>
      </c>
      <c r="D10" s="56" t="inlineStr">
        <is>
          <t>Kaiser</t>
        </is>
      </c>
      <c r="E10" s="60">
        <f>HYPERLINK("https://drive.google.com/file/d/1aCpDDZvcw-_vKduldvfGzF82bcs3P9hY/view","▶  Watch")</f>
        <v/>
      </c>
      <c r="F10" s="56" t="inlineStr">
        <is>
          <t>NUR234 M2d1.mp4</t>
        </is>
      </c>
      <c r="G10" s="56" t="inlineStr">
        <is>
          <t>Topic: Conception, Fetal Development &amp; Placental Function</t>
        </is>
      </c>
    </row>
    <row r="11">
      <c r="A11" s="45" t="inlineStr">
        <is>
          <t>Module 2</t>
        </is>
      </c>
      <c r="B11" s="45" t="inlineStr">
        <is>
          <t>Day 2</t>
        </is>
      </c>
      <c r="C11" s="49" t="inlineStr">
        <is>
          <t>Spring 2026</t>
        </is>
      </c>
      <c r="D11" s="49" t="inlineStr">
        <is>
          <t>Kaiser</t>
        </is>
      </c>
      <c r="E11" s="54">
        <f>HYPERLINK("https://drive.google.com/file/d/1e1xVb3-N2gEFMoK2t1NaL7Qj8NDE9kFD/view","▶  Watch")</f>
        <v/>
      </c>
      <c r="F11" s="49" t="inlineStr">
        <is>
          <t>NUR234 M2D2.mp4</t>
        </is>
      </c>
      <c r="G11" s="49" t="inlineStr">
        <is>
          <t>Topic: Conception, Fetal Development &amp; Placental Function</t>
        </is>
      </c>
    </row>
    <row r="12">
      <c r="A12" s="45" t="inlineStr">
        <is>
          <t>Module 2</t>
        </is>
      </c>
      <c r="B12" s="45" t="inlineStr">
        <is>
          <t>Review session</t>
        </is>
      </c>
      <c r="C12" s="49" t="inlineStr">
        <is>
          <t>Fall 2026</t>
        </is>
      </c>
      <c r="D12" s="49" t="inlineStr">
        <is>
          <t>Kaiser</t>
        </is>
      </c>
      <c r="E12" s="54">
        <f>HYPERLINK("https://drive.google.com/file/d/1GOaFz2XE8d5IlnxGo_qJQu1LQA1wOxHF/view","▶  Watch")</f>
        <v/>
      </c>
      <c r="F12" s="49" t="inlineStr">
        <is>
          <t>NUR234_Fall2026_Kaiser_WkNA_DayNA_Fetal circulation and signs of pregnancy (review session).mp4</t>
        </is>
      </c>
      <c r="G12" s="49"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5" t="inlineStr">
        <is>
          <t>Module 3</t>
        </is>
      </c>
      <c r="B13" s="55" t="inlineStr">
        <is>
          <t>Day 1</t>
        </is>
      </c>
      <c r="C13" s="49" t="inlineStr">
        <is>
          <t>Spring 2026</t>
        </is>
      </c>
      <c r="D13" s="56" t="inlineStr">
        <is>
          <t>Kaiser</t>
        </is>
      </c>
      <c r="E13" s="60">
        <f>HYPERLINK("https://drive.google.com/file/d/1FBsNUnshlh4l-W3rNWVdSjbMPK53UmFM/view","▶  Watch")</f>
        <v/>
      </c>
      <c r="F13" s="56" t="inlineStr">
        <is>
          <t>NUR234 M3D1.mp4</t>
        </is>
      </c>
      <c r="G13" s="56" t="inlineStr">
        <is>
          <t>Topic: Physiologic &amp; Psychological Changes of Pregnancy</t>
        </is>
      </c>
    </row>
    <row r="14">
      <c r="A14" s="45" t="inlineStr">
        <is>
          <t>Module 3</t>
        </is>
      </c>
      <c r="B14" s="45" t="inlineStr">
        <is>
          <t>Day 2</t>
        </is>
      </c>
      <c r="C14" s="49" t="inlineStr">
        <is>
          <t>Spring 2026</t>
        </is>
      </c>
      <c r="D14" s="49" t="inlineStr">
        <is>
          <t>Kaiser</t>
        </is>
      </c>
      <c r="E14" s="54">
        <f>HYPERLINK("https://drive.google.com/file/d/1NN-2j7a6nheCGcHCHqUyBlAbHbGw_m4s/view","▶  Watch")</f>
        <v/>
      </c>
      <c r="F14" s="49" t="inlineStr">
        <is>
          <t>NUR234 M3D2.mp4</t>
        </is>
      </c>
      <c r="G14" s="49" t="inlineStr">
        <is>
          <t>Topic: Physiologic &amp; Psychological Changes of Pregnancy</t>
        </is>
      </c>
    </row>
    <row r="15">
      <c r="A15" s="55" t="inlineStr">
        <is>
          <t>Module 4</t>
        </is>
      </c>
      <c r="B15" s="55" t="inlineStr">
        <is>
          <t>Day 1</t>
        </is>
      </c>
      <c r="C15" s="49" t="inlineStr">
        <is>
          <t>Spring 2026</t>
        </is>
      </c>
      <c r="D15" s="56" t="inlineStr">
        <is>
          <t>Kaiser</t>
        </is>
      </c>
      <c r="E15" s="60">
        <f>HYPERLINK("https://drive.google.com/file/d/1vy0wZ5ijKEG57K1ibHH4ThIhHDTw_rt5/view","▶  Watch")</f>
        <v/>
      </c>
      <c r="F15" s="56" t="inlineStr">
        <is>
          <t>NUR234 M4D1.mp4</t>
        </is>
      </c>
      <c r="G15" s="56" t="inlineStr">
        <is>
          <t>Topic: Prenatal Assessment &amp; Antepartum Fetal Surveillance</t>
        </is>
      </c>
    </row>
    <row r="16">
      <c r="A16" s="45" t="inlineStr">
        <is>
          <t>Module 4</t>
        </is>
      </c>
      <c r="B16" s="45" t="inlineStr">
        <is>
          <t>Day 2</t>
        </is>
      </c>
      <c r="C16" s="49" t="inlineStr">
        <is>
          <t>Spring 2026</t>
        </is>
      </c>
      <c r="D16" s="49" t="inlineStr">
        <is>
          <t>Kaiser</t>
        </is>
      </c>
      <c r="E16" s="54">
        <f>HYPERLINK("https://drive.google.com/file/d/1rizN6FZCmazr35zFpzmy-m0cywYQ8w_6/view","▶  Watch")</f>
        <v/>
      </c>
      <c r="F16" s="49" t="inlineStr">
        <is>
          <t>NUR234 M4D2.mp4</t>
        </is>
      </c>
      <c r="G16" s="49" t="inlineStr">
        <is>
          <t>Topic: Prenatal Assessment &amp; Antepartum Fetal Surveillance</t>
        </is>
      </c>
    </row>
    <row r="17">
      <c r="A17" s="55" t="inlineStr">
        <is>
          <t>Module 5</t>
        </is>
      </c>
      <c r="B17" s="55" t="inlineStr">
        <is>
          <t>Day 1</t>
        </is>
      </c>
      <c r="C17" s="49" t="inlineStr">
        <is>
          <t>Spring 2026</t>
        </is>
      </c>
      <c r="D17" s="56" t="inlineStr">
        <is>
          <t>Kaiser</t>
        </is>
      </c>
      <c r="E17" s="60">
        <f>HYPERLINK("https://drive.google.com/file/d/1ypHWfABT1zSPWs_I_QvKnRKTbF7a5Y7I/view","▶  Watch")</f>
        <v/>
      </c>
      <c r="F17" s="56" t="inlineStr">
        <is>
          <t>NUR234 M5d1.mp4</t>
        </is>
      </c>
      <c r="G17" s="56" t="inlineStr">
        <is>
          <t>Topic: Nutrition &amp; Health Promotion in Pregnancy</t>
        </is>
      </c>
    </row>
    <row r="18">
      <c r="A18" s="45" t="inlineStr">
        <is>
          <t>Module 5</t>
        </is>
      </c>
      <c r="B18" s="45" t="inlineStr">
        <is>
          <t>Day 2</t>
        </is>
      </c>
      <c r="C18" s="49" t="inlineStr">
        <is>
          <t>Spring 2026</t>
        </is>
      </c>
      <c r="D18" s="49" t="inlineStr">
        <is>
          <t>Kaiser</t>
        </is>
      </c>
      <c r="E18" s="54">
        <f>HYPERLINK("https://drive.google.com/file/d/1qDF2FexZhZu5L5cqrEi6WVHwZ2-S1cBp/view","▶  Watch")</f>
        <v/>
      </c>
      <c r="F18" s="49" t="inlineStr">
        <is>
          <t>NUR234 M5d2.mp4</t>
        </is>
      </c>
      <c r="G18" s="49" t="inlineStr">
        <is>
          <t>Topic: Nutrition &amp; Health Promotion in Pregnancy</t>
        </is>
      </c>
    </row>
    <row r="19">
      <c r="A19" s="55" t="inlineStr">
        <is>
          <t>Module 6</t>
        </is>
      </c>
      <c r="B19" s="55" t="inlineStr">
        <is>
          <t>Day 1</t>
        </is>
      </c>
      <c r="C19" s="49" t="inlineStr">
        <is>
          <t>Spring 2026</t>
        </is>
      </c>
      <c r="D19" s="56" t="inlineStr">
        <is>
          <t>Kaiser</t>
        </is>
      </c>
      <c r="E19" s="60">
        <f>HYPERLINK("https://drive.google.com/file/d/1eG4tIMbxzIUTYlgc_SHD8twJNPRZh8CF/view","▶  Watch")</f>
        <v/>
      </c>
      <c r="F19" s="56" t="inlineStr">
        <is>
          <t>NUR234 M6d1.mp4</t>
        </is>
      </c>
      <c r="G19" s="56" t="inlineStr">
        <is>
          <t>Topic: Labor &amp; Birth</t>
        </is>
      </c>
    </row>
    <row r="20">
      <c r="A20" s="45" t="inlineStr">
        <is>
          <t>Module 6</t>
        </is>
      </c>
      <c r="B20" s="45" t="inlineStr">
        <is>
          <t>Day 2</t>
        </is>
      </c>
      <c r="C20" s="49" t="inlineStr">
        <is>
          <t>Spring 2026</t>
        </is>
      </c>
      <c r="D20" s="49" t="inlineStr">
        <is>
          <t>Kaiser</t>
        </is>
      </c>
      <c r="E20" s="54">
        <f>HYPERLINK("https://drive.google.com/file/d/1fYIx3Eng0YHVpJs7xrgFvRD5j4Kf225D/view","▶  Watch")</f>
        <v/>
      </c>
      <c r="F20" s="49" t="inlineStr">
        <is>
          <t>NUR234 M6d2.mp4</t>
        </is>
      </c>
      <c r="G20" s="49" t="inlineStr">
        <is>
          <t>Topic: Labor &amp; Birth</t>
        </is>
      </c>
    </row>
    <row r="21" ht="15.75" customHeight="1" s="115">
      <c r="A21" s="55" t="inlineStr">
        <is>
          <t>Module 7</t>
        </is>
      </c>
      <c r="B21" s="55" t="inlineStr">
        <is>
          <t>Day 1</t>
        </is>
      </c>
      <c r="C21" s="49" t="inlineStr">
        <is>
          <t>Spring 2026</t>
        </is>
      </c>
      <c r="D21" s="56" t="inlineStr">
        <is>
          <t>Kaiser</t>
        </is>
      </c>
      <c r="E21" s="60">
        <f>HYPERLINK("https://drive.google.com/file/d/114LZzONCBRZUWeE3_g8tfpMOmWZTn_B3/view","▶  Watch")</f>
        <v/>
      </c>
      <c r="F21" s="56" t="inlineStr">
        <is>
          <t>NUR234 M7d1.mp4</t>
        </is>
      </c>
      <c r="G21" s="56" t="inlineStr">
        <is>
          <t>Topic: Fetal Monitoring, Comfort &amp; Analgesia in Labor</t>
        </is>
      </c>
    </row>
    <row r="22" ht="15.75" customHeight="1" s="115">
      <c r="A22" s="45" t="inlineStr">
        <is>
          <t>Module 7</t>
        </is>
      </c>
      <c r="B22" s="45" t="inlineStr">
        <is>
          <t>Day 2</t>
        </is>
      </c>
      <c r="C22" s="49" t="inlineStr">
        <is>
          <t>Spring 2026</t>
        </is>
      </c>
      <c r="D22" s="49" t="inlineStr">
        <is>
          <t>Kaiser</t>
        </is>
      </c>
      <c r="E22" s="54">
        <f>HYPERLINK("https://drive.google.com/file/d/1gq2xvEUDy8TmFcK6gQepoJCr9GG3G0Ne/view","▶  Watch")</f>
        <v/>
      </c>
      <c r="F22" s="49" t="inlineStr">
        <is>
          <t>NUR234 M7d2.mp4</t>
        </is>
      </c>
      <c r="G22" s="49" t="inlineStr">
        <is>
          <t>Topic: Fetal Monitoring, Comfort &amp; Analgesia in Labor</t>
        </is>
      </c>
    </row>
    <row r="23" ht="15.75" customHeight="1" s="115">
      <c r="A23" s="55" t="inlineStr">
        <is>
          <t>Module 8</t>
        </is>
      </c>
      <c r="B23" s="55" t="inlineStr">
        <is>
          <t>Day 1</t>
        </is>
      </c>
      <c r="C23" s="49" t="inlineStr">
        <is>
          <t>Spring 2026</t>
        </is>
      </c>
      <c r="D23" s="56" t="inlineStr">
        <is>
          <t>Kaiser</t>
        </is>
      </c>
      <c r="E23" s="60">
        <f>HYPERLINK("https://drive.google.com/file/d/1CyyT2iUwn9hK8FH8kx-7n1ZZsrlj5Jxx/view?usp=drive_link","▶  Watch")</f>
        <v/>
      </c>
      <c r="F23" s="56" t="n"/>
      <c r="G23" s="56" t="inlineStr">
        <is>
          <t>Topic: Early Pregnancy Bleeding &amp; Ectopic Pregnancy</t>
        </is>
      </c>
    </row>
    <row r="24" ht="15.75" customHeight="1" s="115">
      <c r="A24" s="55" t="inlineStr">
        <is>
          <t>Module 8</t>
        </is>
      </c>
      <c r="B24" s="55" t="inlineStr">
        <is>
          <t>Day 2</t>
        </is>
      </c>
      <c r="C24" s="49" t="inlineStr">
        <is>
          <t>Spring 2026</t>
        </is>
      </c>
      <c r="D24" s="56" t="inlineStr">
        <is>
          <t>Kaiser</t>
        </is>
      </c>
      <c r="E24" s="60">
        <f>HYPERLINK("https://drive.google.com/file/d/1IooFZSZA_lB5jNCR6Xic7enhbams239R/view?usp=drive_link","▶  Watch")</f>
        <v/>
      </c>
      <c r="F24" s="56" t="n"/>
      <c r="G24" s="56" t="inlineStr">
        <is>
          <t>Topic: Early Pregnancy Bleeding &amp; Ectopic Pregnancy</t>
        </is>
      </c>
    </row>
    <row r="25" ht="15.75" customHeight="1" s="115">
      <c r="A25" s="55" t="inlineStr">
        <is>
          <t>Module 9</t>
        </is>
      </c>
      <c r="B25" s="55" t="inlineStr">
        <is>
          <t>Day 1</t>
        </is>
      </c>
      <c r="C25" s="49" t="inlineStr">
        <is>
          <t>Spring 2026</t>
        </is>
      </c>
      <c r="D25" s="56" t="inlineStr">
        <is>
          <t>Kaiser</t>
        </is>
      </c>
      <c r="E25" s="60">
        <f>HYPERLINK("https://drive.google.com/file/d/1PHu1Y0-LeptoeNuwhGqxFA10nvLuYDRn/view","▶  Watch")</f>
        <v/>
      </c>
      <c r="F25" s="56" t="inlineStr">
        <is>
          <t>NUR234 M9d1.mp4</t>
        </is>
      </c>
      <c r="G25" s="56" t="inlineStr">
        <is>
          <t>Topic: Hypertensive Disorders &amp; Magnesium Sulfate</t>
        </is>
      </c>
    </row>
    <row r="26" ht="15.75" customHeight="1" s="115">
      <c r="A26" s="45" t="inlineStr">
        <is>
          <t>Module 9</t>
        </is>
      </c>
      <c r="B26" s="45" t="inlineStr">
        <is>
          <t>Day 2</t>
        </is>
      </c>
      <c r="C26" s="49" t="inlineStr">
        <is>
          <t>Spring 2026</t>
        </is>
      </c>
      <c r="D26" s="49" t="inlineStr">
        <is>
          <t>Kaiser</t>
        </is>
      </c>
      <c r="E26" s="54">
        <f>HYPERLINK("https://drive.google.com/file/d/1ztT_Xq_DZviGrXv_kqODzN0mdrAsvLGz/view","▶  Watch")</f>
        <v/>
      </c>
      <c r="F26" s="49" t="inlineStr">
        <is>
          <t>NUR234 M9d2.mp4</t>
        </is>
      </c>
      <c r="G26" s="49" t="inlineStr">
        <is>
          <t>Topic: Hypertensive Disorders &amp; Magnesium Sulfate</t>
        </is>
      </c>
    </row>
    <row r="27" ht="15.75" customHeight="1" s="115">
      <c r="A27" s="55" t="inlineStr">
        <is>
          <t>Module 10</t>
        </is>
      </c>
      <c r="B27" s="55" t="inlineStr">
        <is>
          <t>Day 1</t>
        </is>
      </c>
      <c r="C27" s="49" t="inlineStr">
        <is>
          <t>Spring 2026</t>
        </is>
      </c>
      <c r="D27" s="56" t="inlineStr">
        <is>
          <t>Kaiser</t>
        </is>
      </c>
      <c r="E27" s="60">
        <f>HYPERLINK("https://drive.google.com/file/d/1aO52FeQSOyKWi1eae-uwq9kUR72kaCIh/view","▶  Watch")</f>
        <v/>
      </c>
      <c r="F27" s="56" t="inlineStr">
        <is>
          <t>NUR234 M10d1.mp4</t>
        </is>
      </c>
      <c r="G27" s="56" t="inlineStr">
        <is>
          <t>Topic: Dysfunctional Labor, Uterine Rupture &amp; Obstetric Drug Math</t>
        </is>
      </c>
    </row>
    <row r="28" ht="15.75" customHeight="1" s="115">
      <c r="A28" s="45" t="inlineStr">
        <is>
          <t>Module 10</t>
        </is>
      </c>
      <c r="B28" s="45" t="inlineStr">
        <is>
          <t>Day 2</t>
        </is>
      </c>
      <c r="C28" s="49" t="inlineStr">
        <is>
          <t>Spring 2026</t>
        </is>
      </c>
      <c r="D28" s="49" t="inlineStr">
        <is>
          <t>Kaiser</t>
        </is>
      </c>
      <c r="E28" s="54">
        <f>HYPERLINK("https://drive.google.com/file/d/1ZiJMzo4QipYed89-Vivr-c8vq60a2H6x/view","▶  Watch")</f>
        <v/>
      </c>
      <c r="F28" s="49" t="inlineStr">
        <is>
          <t>NUR234 M10d2.mp4</t>
        </is>
      </c>
      <c r="G28" s="49" t="inlineStr">
        <is>
          <t>Topic: Dysfunctional Labor, Uterine Rupture &amp; Obstetric Drug Math</t>
        </is>
      </c>
    </row>
    <row r="29" ht="15.75" customHeight="1" s="115">
      <c r="A29" s="55" t="inlineStr">
        <is>
          <t>Module 11</t>
        </is>
      </c>
      <c r="B29" s="55" t="inlineStr">
        <is>
          <t>Day 1</t>
        </is>
      </c>
      <c r="C29" s="49" t="inlineStr">
        <is>
          <t>Spring 2026</t>
        </is>
      </c>
      <c r="D29" s="56" t="inlineStr">
        <is>
          <t>Kaiser</t>
        </is>
      </c>
      <c r="E29" s="60">
        <f>HYPERLINK("https://drive.google.com/file/d/1uI7Bnu09YgneDcYKGm2t5FXwliTSsLAt/view","▶  Watch")</f>
        <v/>
      </c>
      <c r="F29" s="56" t="inlineStr">
        <is>
          <t>NUR234 M11d1.mp4</t>
        </is>
      </c>
      <c r="G29" s="56" t="inlineStr">
        <is>
          <t>Topic: Postpartum Assessment &amp; Hemorrhage</t>
        </is>
      </c>
    </row>
    <row r="30" ht="15.75" customHeight="1" s="115">
      <c r="A30" s="45" t="inlineStr">
        <is>
          <t>Module 11</t>
        </is>
      </c>
      <c r="B30" s="45" t="inlineStr">
        <is>
          <t>Day 2</t>
        </is>
      </c>
      <c r="C30" s="49" t="inlineStr">
        <is>
          <t>Spring 2026</t>
        </is>
      </c>
      <c r="D30" s="49" t="inlineStr">
        <is>
          <t>Kaiser</t>
        </is>
      </c>
      <c r="E30" s="54">
        <f>HYPERLINK("https://drive.google.com/file/d/1J9BeWya6ezWD15zmUgnZUF3R2Qlm-hhm/view","▶  Watch")</f>
        <v/>
      </c>
      <c r="F30" s="49" t="inlineStr">
        <is>
          <t>NUR234 M11d2.mp4</t>
        </is>
      </c>
      <c r="G30" s="49" t="inlineStr">
        <is>
          <t>Topic: Postpartum Assessment &amp; Hemorrhage</t>
        </is>
      </c>
    </row>
    <row r="31" ht="15.75" customHeight="1" s="115">
      <c r="A31" s="55" t="inlineStr">
        <is>
          <t>Module 12</t>
        </is>
      </c>
      <c r="B31" s="55" t="inlineStr">
        <is>
          <t>Day 1</t>
        </is>
      </c>
      <c r="C31" s="49" t="inlineStr">
        <is>
          <t>Spring 2026</t>
        </is>
      </c>
      <c r="D31" s="56" t="inlineStr">
        <is>
          <t>Kaiser</t>
        </is>
      </c>
      <c r="E31" s="60">
        <f>HYPERLINK("https://drive.google.com/file/d/1qcNw_OIsuyrFzVlLbAIgaGH_lb9RVNe0/view","▶  Watch")</f>
        <v/>
      </c>
      <c r="F31" s="56" t="inlineStr">
        <is>
          <t>NUR234 M12d1.mp4</t>
        </is>
      </c>
      <c r="G31" s="56" t="inlineStr">
        <is>
          <t>Topic: The Normal Newborn &amp; Thermoregulation</t>
        </is>
      </c>
    </row>
    <row r="32" ht="15.75" customHeight="1" s="115">
      <c r="A32" s="45" t="inlineStr">
        <is>
          <t>Module 12</t>
        </is>
      </c>
      <c r="B32" s="45" t="inlineStr">
        <is>
          <t>Day 2</t>
        </is>
      </c>
      <c r="C32" s="49" t="inlineStr">
        <is>
          <t>Spring 2026</t>
        </is>
      </c>
      <c r="D32" s="49" t="inlineStr">
        <is>
          <t>Kaiser</t>
        </is>
      </c>
      <c r="E32" s="54">
        <f>HYPERLINK("https://drive.google.com/file/d/1cu1ZuTYOyk2XjUeDljRL8sh--WKvu7J-/view","▶  Watch")</f>
        <v/>
      </c>
      <c r="F32" s="49" t="inlineStr">
        <is>
          <t>NUR234 M12d2.mp4</t>
        </is>
      </c>
      <c r="G32" s="49" t="inlineStr">
        <is>
          <t>Topic: The Normal Newborn &amp; Thermoregulation</t>
        </is>
      </c>
    </row>
    <row r="33" ht="15.75" customHeight="1" s="115">
      <c r="A33" s="55" t="inlineStr">
        <is>
          <t>Module 13</t>
        </is>
      </c>
      <c r="B33" s="55" t="inlineStr">
        <is>
          <t>Day 1</t>
        </is>
      </c>
      <c r="C33" s="49" t="inlineStr">
        <is>
          <t>Spring 2026</t>
        </is>
      </c>
      <c r="D33" s="56" t="inlineStr">
        <is>
          <t>Kaiser</t>
        </is>
      </c>
      <c r="E33" s="60">
        <f>HYPERLINK("https://drive.google.com/file/d/1HtFwGZg8qK_fQ8Tu9T7sHkXBWlLRVKaI/view","▶  Watch")</f>
        <v/>
      </c>
      <c r="F33" s="56" t="inlineStr">
        <is>
          <t>NUR234 M13D1.mp4</t>
        </is>
      </c>
      <c r="G33" s="56" t="inlineStr">
        <is>
          <t>Topic: Newborn Feeding</t>
        </is>
      </c>
    </row>
    <row r="34" ht="15.75" customHeight="1" s="115">
      <c r="A34" s="45" t="inlineStr">
        <is>
          <t>Module 13</t>
        </is>
      </c>
      <c r="B34" s="45" t="inlineStr">
        <is>
          <t>Day 2</t>
        </is>
      </c>
      <c r="C34" s="49" t="inlineStr">
        <is>
          <t>Spring 2026</t>
        </is>
      </c>
      <c r="D34" s="49" t="inlineStr">
        <is>
          <t>Kaiser</t>
        </is>
      </c>
      <c r="E34" s="54">
        <f>HYPERLINK("https://drive.google.com/file/d/1SIAOBsm4zGlMHs4Z5BAy__E3gjkbf5yI/view","▶  Watch")</f>
        <v/>
      </c>
      <c r="F34" s="49" t="inlineStr">
        <is>
          <t>NUR234 M13D2.mp4</t>
        </is>
      </c>
      <c r="G34" s="49" t="inlineStr">
        <is>
          <t>Topic: Newborn Feeding</t>
        </is>
      </c>
    </row>
    <row r="35" ht="15.75" customHeight="1" s="115">
      <c r="A35" s="45" t="inlineStr">
        <is>
          <t>Module 14</t>
        </is>
      </c>
      <c r="B35" s="45" t="inlineStr">
        <is>
          <t>Day 1</t>
        </is>
      </c>
      <c r="C35" s="49" t="inlineStr">
        <is>
          <t>Spring 2026</t>
        </is>
      </c>
      <c r="D35" s="49" t="inlineStr">
        <is>
          <t>Kaiser</t>
        </is>
      </c>
      <c r="E35" s="54">
        <f>HYPERLINK("https://drive.google.com/file/d/1IVUURpnc9Fvq64m_3K7sPNWRKkcmnfjK/view?usp=drive_link","▶  Watch")</f>
        <v/>
      </c>
      <c r="F35" s="49" t="n"/>
      <c r="G35" s="49" t="inlineStr">
        <is>
          <t>Topic: The High-Risk Newborn &amp; Course Review</t>
        </is>
      </c>
    </row>
    <row r="36" ht="15.75" customHeight="1" s="115">
      <c r="A36" s="45" t="inlineStr">
        <is>
          <t>Module 14</t>
        </is>
      </c>
      <c r="B36" s="45" t="inlineStr">
        <is>
          <t>Day 2</t>
        </is>
      </c>
      <c r="C36" s="49" t="inlineStr">
        <is>
          <t>Spring 2026</t>
        </is>
      </c>
      <c r="D36" s="49" t="inlineStr">
        <is>
          <t>Kaiser</t>
        </is>
      </c>
      <c r="E36" s="54">
        <f>HYPERLINK("https://drive.google.com/file/d/12LFXOcOPwZ40P442l0KmmsbYb3MRnrff/view?usp=drive_link","▶  Watch")</f>
        <v/>
      </c>
      <c r="F36" s="49" t="n"/>
      <c r="G36" s="49" t="inlineStr">
        <is>
          <t>Topic: The High-Risk Newborn &amp; Course Review</t>
        </is>
      </c>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68" t="n"/>
      <c r="B40" s="68" t="n"/>
      <c r="C40" s="68" t="n"/>
      <c r="D40" s="68" t="n"/>
      <c r="E40" s="68" t="n"/>
      <c r="F40" s="68" t="n"/>
      <c r="G40" s="68" t="n"/>
    </row>
    <row r="41" ht="15.75" customHeight="1" s="115">
      <c r="A41" s="68" t="n"/>
      <c r="B41" s="68" t="n"/>
      <c r="C41" s="68" t="n"/>
      <c r="D41" s="68" t="n"/>
      <c r="E41" s="68" t="n"/>
      <c r="F41" s="68" t="n"/>
      <c r="G41" s="68" t="n"/>
    </row>
    <row r="42" ht="15.75" customHeight="1" s="115">
      <c r="A42" s="68" t="n"/>
      <c r="B42" s="68" t="n"/>
      <c r="C42" s="68" t="n"/>
      <c r="D42" s="68" t="n"/>
      <c r="E42" s="68" t="n"/>
      <c r="F42" s="68" t="n"/>
      <c r="G42" s="68"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2" t="inlineStr">
        <is>
          <t>NUR234  ·  Buhler</t>
        </is>
      </c>
    </row>
    <row r="2">
      <c r="A2" s="7" t="inlineStr">
        <is>
          <t>NUR234</t>
        </is>
      </c>
      <c r="B2" s="10" t="inlineStr">
        <is>
          <t>NUR235</t>
        </is>
      </c>
      <c r="C2" s="10" t="inlineStr">
        <is>
          <t>NUR258</t>
        </is>
      </c>
      <c r="D2" s="14" t="inlineStr">
        <is>
          <t>🏠 START HERE</t>
        </is>
      </c>
      <c r="E2" s="17" t="inlineStr">
        <is>
          <t>📥 Sort me</t>
        </is>
      </c>
      <c r="F2" s="18" t="n"/>
      <c r="G2" s="18" t="n"/>
    </row>
    <row r="3">
      <c r="A3" s="19" t="inlineStr">
        <is>
          <t>Kaiser</t>
        </is>
      </c>
      <c r="B3" s="22" t="inlineStr">
        <is>
          <t>Buhler</t>
        </is>
      </c>
      <c r="C3" s="19" t="inlineStr">
        <is>
          <t>Glesner</t>
        </is>
      </c>
      <c r="D3" s="28" t="inlineStr">
        <is>
          <t>Exams</t>
        </is>
      </c>
      <c r="E3" s="28">
        <f>HYPERLINK('START HERE'!$B$36,"Zoom")</f>
        <v/>
      </c>
      <c r="F3" s="19"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38" t="inlineStr">
        <is>
          <t>Module 1</t>
        </is>
      </c>
      <c r="B6" s="38" t="inlineStr">
        <is>
          <t>Day 1</t>
        </is>
      </c>
      <c r="C6" s="40" t="inlineStr">
        <is>
          <t>Fall 2026</t>
        </is>
      </c>
      <c r="D6" s="40" t="inlineStr">
        <is>
          <t>Buhler</t>
        </is>
      </c>
      <c r="E6" s="47">
        <f>HYPERLINK("https://drive.google.com/open?id=1u4dmz5cUxg1cKSpzK5QEigVqQdw7ZAgV&amp;usp=drive_fs","▶  Watch")</f>
        <v/>
      </c>
      <c r="F6" s="51" t="inlineStr">
        <is>
          <t>NUR234_Buhler_Wk1_D1.mp4</t>
        </is>
      </c>
      <c r="G6" s="49" t="inlineStr">
        <is>
          <t>Chapter 6</t>
        </is>
      </c>
    </row>
    <row r="7">
      <c r="A7" s="45" t="inlineStr">
        <is>
          <t>Module 1</t>
        </is>
      </c>
      <c r="B7" s="45" t="inlineStr">
        <is>
          <t>Day 2</t>
        </is>
      </c>
      <c r="C7" s="49" t="inlineStr">
        <is>
          <t>Fall 2026</t>
        </is>
      </c>
      <c r="D7" s="49" t="inlineStr">
        <is>
          <t>Buhler</t>
        </is>
      </c>
      <c r="E7" s="54">
        <f>HYPERLINK("https://drive.google.com/file/d/1CnuSelmTyZAZC85GA3VHMHZZQq5ZtB-S/view","▶  Watch")</f>
        <v/>
      </c>
      <c r="F7" s="49" t="inlineStr">
        <is>
          <t>NUR234_Buhler_Wk1_D2.mp4</t>
        </is>
      </c>
      <c r="G7" s="49" t="inlineStr">
        <is>
          <t>Topic: Reproductive Life Planning &amp; Contraception</t>
        </is>
      </c>
    </row>
    <row r="8">
      <c r="A8" s="55" t="inlineStr">
        <is>
          <t>Module 2</t>
        </is>
      </c>
      <c r="B8" s="55" t="inlineStr">
        <is>
          <t>Day 1</t>
        </is>
      </c>
      <c r="C8" s="49" t="inlineStr">
        <is>
          <t>Fall 2026</t>
        </is>
      </c>
      <c r="D8" s="56" t="inlineStr">
        <is>
          <t>Buhler</t>
        </is>
      </c>
      <c r="E8" s="60">
        <f>HYPERLINK("https://drive.google.com/file/d/17VZ8oHKVfrKNkHLMkfalKuIqLrMv_okM/view","▶  Watch")</f>
        <v/>
      </c>
      <c r="F8" s="56" t="inlineStr">
        <is>
          <t>NUR234_Chapter_9_(Source).mp4</t>
        </is>
      </c>
      <c r="G8" s="56" t="inlineStr">
        <is>
          <t>Chapter 9 - placed by chapter order, move the row if it belongs elsewhere</t>
        </is>
      </c>
    </row>
    <row r="9">
      <c r="A9" s="45" t="inlineStr">
        <is>
          <t>Module 2</t>
        </is>
      </c>
      <c r="B9" s="45" t="inlineStr">
        <is>
          <t>Day 2</t>
        </is>
      </c>
      <c r="C9" s="49" t="inlineStr">
        <is>
          <t>Fall 2026</t>
        </is>
      </c>
      <c r="D9" s="49" t="inlineStr">
        <is>
          <t>Buhler</t>
        </is>
      </c>
      <c r="E9" s="61" t="n"/>
      <c r="F9" s="49" t="n"/>
      <c r="G9" s="49" t="n"/>
    </row>
    <row r="10">
      <c r="A10" s="55" t="inlineStr">
        <is>
          <t>Module 3</t>
        </is>
      </c>
      <c r="B10" s="55" t="inlineStr">
        <is>
          <t>Day 1</t>
        </is>
      </c>
      <c r="C10" s="49" t="inlineStr">
        <is>
          <t>Fall 2026</t>
        </is>
      </c>
      <c r="D10" s="56" t="inlineStr">
        <is>
          <t>Buhler</t>
        </is>
      </c>
      <c r="E10" s="60">
        <f>HYPERLINK("https://drive.google.com/file/d/13GSnMwCucMykxi0DP8aGTl_htiXv0mPZ/view","▶  Watch")</f>
        <v/>
      </c>
      <c r="F10" s="56" t="inlineStr">
        <is>
          <t>NUR234_Fall2026_Buhler_WkNA_DayNA_Chapter 10 Psychological and Physiological Changes of Pregnancy.mp4</t>
        </is>
      </c>
      <c r="G10" s="56" t="inlineStr">
        <is>
          <t>Chapter 10 - placed by chapter order, move the row if it belongs elsewhere</t>
        </is>
      </c>
    </row>
    <row r="11">
      <c r="A11" s="45" t="inlineStr">
        <is>
          <t>Module 3</t>
        </is>
      </c>
      <c r="B11" s="45" t="inlineStr">
        <is>
          <t>Day 2</t>
        </is>
      </c>
      <c r="C11" s="49" t="inlineStr">
        <is>
          <t>Fall 2026</t>
        </is>
      </c>
      <c r="D11" s="49" t="inlineStr">
        <is>
          <t>Buhler</t>
        </is>
      </c>
      <c r="E11" s="61" t="n"/>
      <c r="F11" s="49" t="n"/>
      <c r="G11" s="49" t="n"/>
    </row>
    <row r="12">
      <c r="A12" s="55" t="inlineStr">
        <is>
          <t>Module 4</t>
        </is>
      </c>
      <c r="B12" s="55" t="inlineStr">
        <is>
          <t>Day 1</t>
        </is>
      </c>
      <c r="C12" s="49" t="inlineStr">
        <is>
          <t>Fall 2026</t>
        </is>
      </c>
      <c r="D12" s="56" t="inlineStr">
        <is>
          <t>Not named</t>
        </is>
      </c>
      <c r="E12" s="60">
        <f>HYPERLINK("https://drive.google.com/file/d/1-DV8jAn3hFddHFvpr8kgYtyjI9t8QJZi/view","▶  Watch")</f>
        <v/>
      </c>
      <c r="F12" s="56" t="inlineStr">
        <is>
          <t>NUR234_Chapter_11_(Source).mp4</t>
        </is>
      </c>
      <c r="G12" s="56" t="inlineStr">
        <is>
          <t>Chapter 11 - lecturer is not named in the file. Placed by chapter order, move the row if it belongs elsewhere</t>
        </is>
      </c>
    </row>
    <row r="13">
      <c r="A13" s="45" t="inlineStr">
        <is>
          <t>Module 4</t>
        </is>
      </c>
      <c r="B13" s="45" t="inlineStr">
        <is>
          <t>Day 2</t>
        </is>
      </c>
      <c r="C13" s="49" t="inlineStr">
        <is>
          <t>Fall 2026</t>
        </is>
      </c>
      <c r="D13" s="49" t="inlineStr">
        <is>
          <t>Buhler</t>
        </is>
      </c>
      <c r="E13" s="61" t="n"/>
      <c r="F13" s="49" t="n"/>
      <c r="G13" s="49" t="n"/>
    </row>
    <row r="14">
      <c r="A14" s="55" t="inlineStr">
        <is>
          <t>Module 5</t>
        </is>
      </c>
      <c r="B14" s="55" t="inlineStr">
        <is>
          <t>Day 1</t>
        </is>
      </c>
      <c r="C14" s="49" t="inlineStr">
        <is>
          <t>Fall 2026</t>
        </is>
      </c>
      <c r="D14" s="56" t="inlineStr">
        <is>
          <t>Buhler</t>
        </is>
      </c>
      <c r="E14" s="60">
        <f>HYPERLINK("https://drive.google.com/file/d/1HQHKEoo2ntCRU3q8qmQ1y1F3tL6TOkJ2/view","▶  Watch")</f>
        <v/>
      </c>
      <c r="F14" s="56" t="inlineStr">
        <is>
          <t>NUR234_Fall2026_Buhler_Wk05_DayNA_Chapter 12.mp4</t>
        </is>
      </c>
      <c r="G14" s="56" t="inlineStr">
        <is>
          <t>Chapter 12</t>
        </is>
      </c>
    </row>
    <row r="15">
      <c r="A15" s="45" t="inlineStr">
        <is>
          <t>Module 5</t>
        </is>
      </c>
      <c r="B15" s="45" t="inlineStr">
        <is>
          <t>Day 2</t>
        </is>
      </c>
      <c r="C15" s="49" t="inlineStr">
        <is>
          <t>Fall 2026</t>
        </is>
      </c>
      <c r="D15" s="49" t="inlineStr">
        <is>
          <t>Buhler</t>
        </is>
      </c>
      <c r="E15" s="60">
        <f>HYPERLINK("https://drive.google.com/file/d/1z3U5EJf1WVte6o2sK-hdCtuE1Hos0YEj/view","▶  Watch")</f>
        <v/>
      </c>
      <c r="F15" s="56" t="inlineStr">
        <is>
          <t>NUR234_Fall2026_Buhler_Wk05_DayNA_Chapter 13.mp4</t>
        </is>
      </c>
      <c r="G15" s="56" t="inlineStr">
        <is>
          <t>Chapter 13</t>
        </is>
      </c>
    </row>
    <row r="16">
      <c r="A16" s="55" t="inlineStr">
        <is>
          <t>Module 6</t>
        </is>
      </c>
      <c r="B16" s="55" t="inlineStr">
        <is>
          <t>Day 1</t>
        </is>
      </c>
      <c r="C16" s="49" t="inlineStr">
        <is>
          <t>Fall 2026</t>
        </is>
      </c>
      <c r="D16" s="49" t="inlineStr">
        <is>
          <t>Not named</t>
        </is>
      </c>
      <c r="E16" s="60">
        <f>HYPERLINK("https://drive.google.com/file/d/1HvfwKXxW2MAssWfgSmFv9UD6rYShOYoa/view","▶  Watch")</f>
        <v/>
      </c>
      <c r="F16" s="56" t="inlineStr">
        <is>
          <t>NUR234_Fall2026_WkNA_DayNA_Chapter 15.mp4</t>
        </is>
      </c>
      <c r="G16" s="56"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5" t="inlineStr">
        <is>
          <t>Module 6</t>
        </is>
      </c>
      <c r="B17" s="45" t="inlineStr">
        <is>
          <t>Day 2</t>
        </is>
      </c>
      <c r="C17" s="49" t="inlineStr">
        <is>
          <t>Fall 2026</t>
        </is>
      </c>
      <c r="D17" s="49" t="inlineStr">
        <is>
          <t>Buhler</t>
        </is>
      </c>
      <c r="E17" s="61" t="n"/>
      <c r="F17" s="49" t="n"/>
      <c r="G17" s="49" t="n"/>
    </row>
    <row r="18">
      <c r="A18" s="55" t="inlineStr">
        <is>
          <t>Module 7</t>
        </is>
      </c>
      <c r="B18" s="55" t="inlineStr">
        <is>
          <t>Day 1</t>
        </is>
      </c>
      <c r="C18" s="49" t="inlineStr">
        <is>
          <t>Fall 2026</t>
        </is>
      </c>
      <c r="D18" s="56" t="inlineStr">
        <is>
          <t>Buhler</t>
        </is>
      </c>
      <c r="E18" s="60">
        <f>HYPERLINK("https://drive.google.com/file/d/1PIv85W-E3PUKMP_RCmbAdilOOO4FRkAi/view","▶  Watch")</f>
        <v/>
      </c>
      <c r="F18" s="56" t="inlineStr">
        <is>
          <t>NUR234_Fall2026_Buhler_Wk07_DayNA_Chapter 16 Providing Comfort During Labor and Birth.mp4</t>
        </is>
      </c>
      <c r="G18" s="56" t="inlineStr">
        <is>
          <t>Chapter 16 - Providing Comfort During Labor and Birth</t>
        </is>
      </c>
    </row>
    <row r="19">
      <c r="A19" s="45" t="inlineStr">
        <is>
          <t>Module 7</t>
        </is>
      </c>
      <c r="B19" s="45" t="inlineStr">
        <is>
          <t>Day 2</t>
        </is>
      </c>
      <c r="C19" s="49" t="inlineStr">
        <is>
          <t>Fall 2026</t>
        </is>
      </c>
      <c r="D19" s="49" t="inlineStr">
        <is>
          <t>Buhler</t>
        </is>
      </c>
      <c r="E19" s="61" t="n"/>
      <c r="F19" s="49" t="n"/>
      <c r="G19" s="49" t="n"/>
    </row>
    <row r="20">
      <c r="A20" s="55" t="inlineStr">
        <is>
          <t>Module 8</t>
        </is>
      </c>
      <c r="B20" s="55" t="inlineStr">
        <is>
          <t>Day 1</t>
        </is>
      </c>
      <c r="C20" s="49" t="inlineStr">
        <is>
          <t>Fall 2026</t>
        </is>
      </c>
      <c r="D20" s="56" t="inlineStr">
        <is>
          <t>Buhler</t>
        </is>
      </c>
      <c r="E20" s="66" t="n"/>
      <c r="F20" s="56" t="n"/>
      <c r="G20" s="56" t="n"/>
    </row>
    <row r="21" ht="15.75" customHeight="1" s="115">
      <c r="A21" s="55" t="inlineStr">
        <is>
          <t>Module 8</t>
        </is>
      </c>
      <c r="B21" s="55" t="inlineStr">
        <is>
          <t>Day 2</t>
        </is>
      </c>
      <c r="C21" s="49" t="inlineStr">
        <is>
          <t>Fall 2026</t>
        </is>
      </c>
      <c r="D21" s="56" t="inlineStr">
        <is>
          <t>Buhler</t>
        </is>
      </c>
      <c r="E21" s="66" t="n"/>
      <c r="F21" s="56" t="n"/>
      <c r="G21" s="56" t="n"/>
    </row>
    <row r="22" ht="15.75" customHeight="1" s="115">
      <c r="A22" s="55" t="inlineStr">
        <is>
          <t>Module 9</t>
        </is>
      </c>
      <c r="B22" s="55" t="inlineStr">
        <is>
          <t>Day 1</t>
        </is>
      </c>
      <c r="C22" s="49" t="inlineStr">
        <is>
          <t>Fall 2026</t>
        </is>
      </c>
      <c r="D22" s="56" t="inlineStr">
        <is>
          <t>Buhler</t>
        </is>
      </c>
      <c r="E22" s="66" t="n"/>
      <c r="F22" s="56" t="n"/>
      <c r="G22" s="56" t="n"/>
    </row>
    <row r="23" ht="15.75" customHeight="1" s="115">
      <c r="A23" s="45" t="inlineStr">
        <is>
          <t>Module 9</t>
        </is>
      </c>
      <c r="B23" s="45" t="inlineStr">
        <is>
          <t>Day 2</t>
        </is>
      </c>
      <c r="C23" s="49" t="inlineStr">
        <is>
          <t>Fall 2026</t>
        </is>
      </c>
      <c r="D23" s="49" t="inlineStr">
        <is>
          <t>Buhler</t>
        </is>
      </c>
      <c r="E23" s="61" t="n"/>
      <c r="F23" s="49" t="n"/>
      <c r="G23" s="49" t="n"/>
    </row>
    <row r="24" ht="15.75" customHeight="1" s="115">
      <c r="A24" s="55" t="inlineStr">
        <is>
          <t>Module 10</t>
        </is>
      </c>
      <c r="B24" s="55" t="inlineStr">
        <is>
          <t>Day 1</t>
        </is>
      </c>
      <c r="C24" s="49" t="inlineStr">
        <is>
          <t>Fall 2026</t>
        </is>
      </c>
      <c r="D24" s="56" t="inlineStr">
        <is>
          <t>Buhler</t>
        </is>
      </c>
      <c r="E24" s="66" t="n"/>
      <c r="F24" s="56" t="n"/>
      <c r="G24" s="56" t="n"/>
    </row>
    <row r="25" ht="15.75" customHeight="1" s="115">
      <c r="A25" s="45" t="inlineStr">
        <is>
          <t>Module 10</t>
        </is>
      </c>
      <c r="B25" s="45" t="inlineStr">
        <is>
          <t>Day 2</t>
        </is>
      </c>
      <c r="C25" s="49" t="inlineStr">
        <is>
          <t>Fall 2026</t>
        </is>
      </c>
      <c r="D25" s="49" t="inlineStr">
        <is>
          <t>Buhler</t>
        </is>
      </c>
      <c r="E25" s="61" t="n"/>
      <c r="F25" s="49" t="n"/>
      <c r="G25" s="49" t="n"/>
    </row>
    <row r="26" ht="15.75" customHeight="1" s="115">
      <c r="A26" s="55" t="inlineStr">
        <is>
          <t>Module 11</t>
        </is>
      </c>
      <c r="B26" s="55" t="inlineStr">
        <is>
          <t>Day 1</t>
        </is>
      </c>
      <c r="C26" s="49" t="inlineStr">
        <is>
          <t>Fall 2026</t>
        </is>
      </c>
      <c r="D26" s="56" t="inlineStr">
        <is>
          <t>Buhler</t>
        </is>
      </c>
      <c r="E26" s="66" t="n"/>
      <c r="F26" s="56" t="n"/>
      <c r="G26" s="56" t="n"/>
    </row>
    <row r="27" ht="15.75" customHeight="1" s="115">
      <c r="A27" s="45" t="inlineStr">
        <is>
          <t>Module 11</t>
        </is>
      </c>
      <c r="B27" s="45" t="inlineStr">
        <is>
          <t>Day 2</t>
        </is>
      </c>
      <c r="C27" s="49" t="inlineStr">
        <is>
          <t>Fall 2026</t>
        </is>
      </c>
      <c r="D27" s="49" t="inlineStr">
        <is>
          <t>Buhler</t>
        </is>
      </c>
      <c r="E27" s="61" t="n"/>
      <c r="F27" s="49" t="n"/>
      <c r="G27" s="49" t="n"/>
    </row>
    <row r="28" ht="15.75" customHeight="1" s="115">
      <c r="A28" s="55" t="inlineStr">
        <is>
          <t>Module 12</t>
        </is>
      </c>
      <c r="B28" s="55" t="inlineStr">
        <is>
          <t>Day 1</t>
        </is>
      </c>
      <c r="C28" s="49" t="inlineStr">
        <is>
          <t>Fall 2026</t>
        </is>
      </c>
      <c r="D28" s="56" t="inlineStr">
        <is>
          <t>Buhler</t>
        </is>
      </c>
      <c r="E28" s="66" t="n"/>
      <c r="F28" s="56" t="n"/>
      <c r="G28" s="56" t="n"/>
    </row>
    <row r="29" ht="15.75" customHeight="1" s="115">
      <c r="A29" s="45" t="inlineStr">
        <is>
          <t>Module 12</t>
        </is>
      </c>
      <c r="B29" s="45" t="inlineStr">
        <is>
          <t>Day 2</t>
        </is>
      </c>
      <c r="C29" s="49" t="inlineStr">
        <is>
          <t>Fall 2026</t>
        </is>
      </c>
      <c r="D29" s="49" t="inlineStr">
        <is>
          <t>Buhler</t>
        </is>
      </c>
      <c r="E29" s="61" t="n"/>
      <c r="F29" s="49" t="n"/>
      <c r="G29" s="49" t="n"/>
    </row>
    <row r="30" ht="15.75" customHeight="1" s="115">
      <c r="A30" s="55" t="inlineStr">
        <is>
          <t>Module 13</t>
        </is>
      </c>
      <c r="B30" s="55" t="inlineStr">
        <is>
          <t>Day 1</t>
        </is>
      </c>
      <c r="C30" s="49" t="inlineStr">
        <is>
          <t>Fall 2026</t>
        </is>
      </c>
      <c r="D30" s="56" t="inlineStr">
        <is>
          <t>Buhler</t>
        </is>
      </c>
      <c r="E30" s="66" t="n"/>
      <c r="F30" s="56" t="n"/>
      <c r="G30" s="56" t="n"/>
    </row>
    <row r="31" ht="15.75" customHeight="1" s="115">
      <c r="A31" s="45" t="inlineStr">
        <is>
          <t>Module 13</t>
        </is>
      </c>
      <c r="B31" s="45" t="inlineStr">
        <is>
          <t>Day 2</t>
        </is>
      </c>
      <c r="C31" s="49" t="inlineStr">
        <is>
          <t>Fall 2026</t>
        </is>
      </c>
      <c r="D31" s="49" t="inlineStr">
        <is>
          <t>Buhler</t>
        </is>
      </c>
      <c r="E31" s="61" t="n"/>
      <c r="F31" s="49" t="n"/>
      <c r="G31" s="49" t="n"/>
    </row>
    <row r="32" ht="15.75" customHeight="1" s="115">
      <c r="A32" s="45" t="inlineStr">
        <is>
          <t>Module 14</t>
        </is>
      </c>
      <c r="B32" s="45" t="inlineStr">
        <is>
          <t>Day 1</t>
        </is>
      </c>
      <c r="C32" s="49" t="inlineStr">
        <is>
          <t>Fall 2026</t>
        </is>
      </c>
      <c r="D32" s="49" t="inlineStr">
        <is>
          <t>Buhler</t>
        </is>
      </c>
      <c r="E32" s="61" t="n"/>
      <c r="F32" s="49" t="n"/>
      <c r="G32" s="49" t="n"/>
    </row>
    <row r="33" ht="15.75" customHeight="1" s="115">
      <c r="A33" s="45" t="inlineStr">
        <is>
          <t>Module 14</t>
        </is>
      </c>
      <c r="B33" s="45" t="inlineStr">
        <is>
          <t>Day 2</t>
        </is>
      </c>
      <c r="C33" s="49" t="inlineStr">
        <is>
          <t>Fall 2026</t>
        </is>
      </c>
      <c r="D33" s="49" t="inlineStr">
        <is>
          <t>Buhler</t>
        </is>
      </c>
      <c r="E33" s="61" t="n"/>
      <c r="F33" s="49" t="n"/>
      <c r="G33" s="49"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2" t="inlineStr">
        <is>
          <t>NUR234  ·  Glesner</t>
        </is>
      </c>
    </row>
    <row r="2">
      <c r="A2" s="7" t="inlineStr">
        <is>
          <t>NUR234</t>
        </is>
      </c>
      <c r="B2" s="10" t="inlineStr">
        <is>
          <t>NUR235</t>
        </is>
      </c>
      <c r="C2" s="10" t="inlineStr">
        <is>
          <t>NUR258</t>
        </is>
      </c>
      <c r="D2" s="14" t="inlineStr">
        <is>
          <t>🏠 START HERE</t>
        </is>
      </c>
      <c r="E2" s="17" t="inlineStr">
        <is>
          <t>📥 Sort me</t>
        </is>
      </c>
      <c r="F2" s="18" t="n"/>
      <c r="G2" s="18" t="n"/>
    </row>
    <row r="3">
      <c r="A3" s="19" t="inlineStr">
        <is>
          <t>Kaiser</t>
        </is>
      </c>
      <c r="B3" s="22" t="inlineStr">
        <is>
          <t>Buhler</t>
        </is>
      </c>
      <c r="C3" s="19" t="inlineStr">
        <is>
          <t>Glesner</t>
        </is>
      </c>
      <c r="D3" s="28" t="inlineStr">
        <is>
          <t>Exams</t>
        </is>
      </c>
      <c r="E3" s="28">
        <f>HYPERLINK('START HERE'!$B$36,"Zoom")</f>
        <v/>
      </c>
      <c r="F3" s="19"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55" t="inlineStr">
        <is>
          <t>Module 1</t>
        </is>
      </c>
      <c r="B6" s="55" t="inlineStr">
        <is>
          <t>Day 1</t>
        </is>
      </c>
      <c r="C6" s="56" t="inlineStr">
        <is>
          <t>Fall 2026</t>
        </is>
      </c>
      <c r="D6" s="56" t="inlineStr">
        <is>
          <t>Glesner</t>
        </is>
      </c>
      <c r="E6" s="60">
        <f>HYPERLINK("https://drive.google.com/file/d/15RBwcq_izjKd8bkaA19fLfSTZWiWQdIY/view","▶  Watch")</f>
        <v/>
      </c>
      <c r="F6" s="56" t="inlineStr">
        <is>
          <t>Glesner Wk 1.mp4</t>
        </is>
      </c>
      <c r="G6" s="56" t="inlineStr">
        <is>
          <t>Topic: Reproductive Life Planning &amp; Contraception</t>
        </is>
      </c>
    </row>
    <row r="7">
      <c r="A7" s="55" t="inlineStr">
        <is>
          <t>Module 1</t>
        </is>
      </c>
      <c r="B7" s="55" t="inlineStr">
        <is>
          <t>Day 2</t>
        </is>
      </c>
      <c r="C7" s="56" t="inlineStr">
        <is>
          <t>Fall 2026</t>
        </is>
      </c>
      <c r="D7" s="56" t="inlineStr">
        <is>
          <t>Glesner</t>
        </is>
      </c>
      <c r="E7" s="66" t="n"/>
      <c r="F7" s="56" t="n"/>
      <c r="G7" s="56" t="n"/>
    </row>
    <row r="8">
      <c r="A8" s="45" t="inlineStr">
        <is>
          <t>Module 2</t>
        </is>
      </c>
      <c r="B8" s="45" t="inlineStr">
        <is>
          <t>Day 1</t>
        </is>
      </c>
      <c r="C8" s="49" t="inlineStr">
        <is>
          <t>Fall 2026</t>
        </is>
      </c>
      <c r="D8" s="49" t="inlineStr">
        <is>
          <t>Glesner</t>
        </is>
      </c>
      <c r="E8" s="61" t="n"/>
      <c r="F8" s="49" t="n"/>
      <c r="G8" s="49" t="n"/>
    </row>
    <row r="9">
      <c r="A9" s="55" t="inlineStr">
        <is>
          <t>Module 2</t>
        </is>
      </c>
      <c r="B9" s="55" t="inlineStr">
        <is>
          <t>Day 2</t>
        </is>
      </c>
      <c r="C9" s="56" t="inlineStr">
        <is>
          <t>Fall 2026</t>
        </is>
      </c>
      <c r="D9" s="56" t="inlineStr">
        <is>
          <t>Glesner</t>
        </is>
      </c>
      <c r="E9" s="66" t="n"/>
      <c r="F9" s="56" t="n"/>
      <c r="G9" s="56" t="n"/>
    </row>
    <row r="10">
      <c r="A10" s="45" t="inlineStr">
        <is>
          <t>Module 3</t>
        </is>
      </c>
      <c r="B10" s="45" t="inlineStr">
        <is>
          <t>Day 1</t>
        </is>
      </c>
      <c r="C10" s="49" t="inlineStr">
        <is>
          <t>Fall 2026</t>
        </is>
      </c>
      <c r="D10" s="49" t="inlineStr">
        <is>
          <t>Glesner</t>
        </is>
      </c>
      <c r="E10" s="61" t="n"/>
      <c r="F10" s="49" t="n"/>
      <c r="G10" s="49" t="n"/>
    </row>
    <row r="11">
      <c r="A11" s="55" t="inlineStr">
        <is>
          <t>Module 3</t>
        </is>
      </c>
      <c r="B11" s="55" t="inlineStr">
        <is>
          <t>Day 2</t>
        </is>
      </c>
      <c r="C11" s="56" t="inlineStr">
        <is>
          <t>Fall 2026</t>
        </is>
      </c>
      <c r="D11" s="56" t="inlineStr">
        <is>
          <t>Glesner</t>
        </is>
      </c>
      <c r="E11" s="66" t="n"/>
      <c r="F11" s="56" t="n"/>
      <c r="G11" s="56" t="n"/>
    </row>
    <row r="12">
      <c r="A12" s="45" t="inlineStr">
        <is>
          <t>Module 4</t>
        </is>
      </c>
      <c r="B12" s="45" t="inlineStr">
        <is>
          <t>Day 1</t>
        </is>
      </c>
      <c r="C12" s="49" t="inlineStr">
        <is>
          <t>Fall 2026</t>
        </is>
      </c>
      <c r="D12" s="49" t="inlineStr">
        <is>
          <t>Glesner</t>
        </is>
      </c>
      <c r="E12" s="61" t="n"/>
      <c r="F12" s="49" t="n"/>
      <c r="G12" s="49" t="n"/>
    </row>
    <row r="13">
      <c r="A13" s="55" t="inlineStr">
        <is>
          <t>Module 4</t>
        </is>
      </c>
      <c r="B13" s="55" t="inlineStr">
        <is>
          <t>Day 2</t>
        </is>
      </c>
      <c r="C13" s="56" t="inlineStr">
        <is>
          <t>Fall 2026</t>
        </is>
      </c>
      <c r="D13" s="56" t="inlineStr">
        <is>
          <t>Glesner</t>
        </is>
      </c>
      <c r="E13" s="66" t="n"/>
      <c r="F13" s="56" t="n"/>
      <c r="G13" s="56" t="n"/>
    </row>
    <row r="14">
      <c r="A14" s="45" t="inlineStr">
        <is>
          <t>Module 5</t>
        </is>
      </c>
      <c r="B14" s="45" t="inlineStr">
        <is>
          <t>Day 1</t>
        </is>
      </c>
      <c r="C14" s="49" t="inlineStr">
        <is>
          <t>Fall 2026</t>
        </is>
      </c>
      <c r="D14" s="49"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55" t="inlineStr">
        <is>
          <t>Module 5</t>
        </is>
      </c>
      <c r="B15" s="55" t="inlineStr">
        <is>
          <t>Day 2</t>
        </is>
      </c>
      <c r="C15" s="56" t="inlineStr">
        <is>
          <t>Fall 2026</t>
        </is>
      </c>
      <c r="D15" s="56" t="inlineStr">
        <is>
          <t>Glesner</t>
        </is>
      </c>
      <c r="E15" s="66" t="n"/>
      <c r="F15" s="56" t="n"/>
      <c r="G15" s="56" t="n"/>
    </row>
    <row r="16">
      <c r="A16" s="45" t="inlineStr">
        <is>
          <t>Module 6</t>
        </is>
      </c>
      <c r="B16" s="45" t="inlineStr">
        <is>
          <t>Day 1</t>
        </is>
      </c>
      <c r="C16" s="49" t="inlineStr">
        <is>
          <t>Fall 2026</t>
        </is>
      </c>
      <c r="D16" s="49" t="inlineStr">
        <is>
          <t>Glesner</t>
        </is>
      </c>
      <c r="E16" s="61" t="n"/>
      <c r="F16" s="49" t="n"/>
      <c r="G16" s="49" t="n"/>
    </row>
    <row r="17">
      <c r="A17" s="55" t="inlineStr">
        <is>
          <t>Module 6</t>
        </is>
      </c>
      <c r="B17" s="55" t="inlineStr">
        <is>
          <t>Day 2</t>
        </is>
      </c>
      <c r="C17" s="56" t="inlineStr">
        <is>
          <t>Fall 2026</t>
        </is>
      </c>
      <c r="D17" s="56" t="inlineStr">
        <is>
          <t>Glesner</t>
        </is>
      </c>
      <c r="E17" s="66" t="n"/>
      <c r="F17" s="56" t="n"/>
      <c r="G17" s="56" t="n"/>
    </row>
    <row r="18">
      <c r="A18" s="45" t="inlineStr">
        <is>
          <t>Module 7</t>
        </is>
      </c>
      <c r="B18" s="45" t="inlineStr">
        <is>
          <t>Day 1</t>
        </is>
      </c>
      <c r="C18" s="49" t="inlineStr">
        <is>
          <t>Fall 2026</t>
        </is>
      </c>
      <c r="D18" s="49" t="inlineStr">
        <is>
          <t>Glesner</t>
        </is>
      </c>
      <c r="E18" s="61" t="n"/>
      <c r="F18" s="49" t="n"/>
      <c r="G18" s="49" t="n"/>
    </row>
    <row r="19">
      <c r="A19" s="55" t="inlineStr">
        <is>
          <t>Module 7</t>
        </is>
      </c>
      <c r="B19" s="55" t="inlineStr">
        <is>
          <t>Day 2</t>
        </is>
      </c>
      <c r="C19" s="56" t="inlineStr">
        <is>
          <t>Fall 2026</t>
        </is>
      </c>
      <c r="D19" s="56" t="inlineStr">
        <is>
          <t>Glesner</t>
        </is>
      </c>
      <c r="E19" s="66" t="n"/>
      <c r="F19" s="56" t="n"/>
      <c r="G19" s="56" t="n"/>
    </row>
    <row r="20">
      <c r="A20" s="45" t="inlineStr">
        <is>
          <t>Module 8</t>
        </is>
      </c>
      <c r="B20" s="45" t="inlineStr">
        <is>
          <t>Day 1</t>
        </is>
      </c>
      <c r="C20" s="49" t="inlineStr">
        <is>
          <t>Fall 2026</t>
        </is>
      </c>
      <c r="D20" s="49" t="inlineStr">
        <is>
          <t>Glesner</t>
        </is>
      </c>
      <c r="E20" s="61" t="n"/>
      <c r="F20" s="49" t="n"/>
      <c r="G20" s="49" t="n"/>
    </row>
    <row r="21" ht="15.75" customHeight="1" s="115">
      <c r="A21" s="55" t="inlineStr">
        <is>
          <t>Module 8</t>
        </is>
      </c>
      <c r="B21" s="55" t="inlineStr">
        <is>
          <t>Day 2</t>
        </is>
      </c>
      <c r="C21" s="56" t="inlineStr">
        <is>
          <t>Fall 2026</t>
        </is>
      </c>
      <c r="D21" s="56" t="inlineStr">
        <is>
          <t>Glesner</t>
        </is>
      </c>
      <c r="E21" s="66" t="n"/>
      <c r="F21" s="56" t="n"/>
      <c r="G21" s="56" t="n"/>
    </row>
    <row r="22" ht="15.75" customHeight="1" s="115">
      <c r="A22" s="45" t="inlineStr">
        <is>
          <t>Module 9</t>
        </is>
      </c>
      <c r="B22" s="45" t="inlineStr">
        <is>
          <t>Day 1</t>
        </is>
      </c>
      <c r="C22" s="49" t="inlineStr">
        <is>
          <t>Fall 2026</t>
        </is>
      </c>
      <c r="D22" s="49" t="inlineStr">
        <is>
          <t>Glesner</t>
        </is>
      </c>
      <c r="E22" s="61" t="n"/>
      <c r="F22" s="49" t="n"/>
      <c r="G22" s="49" t="n"/>
    </row>
    <row r="23" ht="15.75" customHeight="1" s="115">
      <c r="A23" s="55" t="inlineStr">
        <is>
          <t>Module 9</t>
        </is>
      </c>
      <c r="B23" s="55" t="inlineStr">
        <is>
          <t>Day 2</t>
        </is>
      </c>
      <c r="C23" s="56" t="inlineStr">
        <is>
          <t>Fall 2026</t>
        </is>
      </c>
      <c r="D23" s="56" t="inlineStr">
        <is>
          <t>Glesner</t>
        </is>
      </c>
      <c r="E23" s="66" t="n"/>
      <c r="F23" s="56" t="n"/>
      <c r="G23" s="56" t="n"/>
    </row>
    <row r="24" ht="15.75" customHeight="1" s="115">
      <c r="A24" s="45" t="inlineStr">
        <is>
          <t>Module 10</t>
        </is>
      </c>
      <c r="B24" s="45" t="inlineStr">
        <is>
          <t>Day 1</t>
        </is>
      </c>
      <c r="C24" s="49" t="inlineStr">
        <is>
          <t>Fall 2026</t>
        </is>
      </c>
      <c r="D24" s="49" t="inlineStr">
        <is>
          <t>Glesner</t>
        </is>
      </c>
      <c r="E24" s="61" t="n"/>
      <c r="F24" s="49" t="n"/>
      <c r="G24" s="49" t="n"/>
    </row>
    <row r="25" ht="15.75" customHeight="1" s="115">
      <c r="A25" s="55" t="inlineStr">
        <is>
          <t>Module 10</t>
        </is>
      </c>
      <c r="B25" s="55" t="inlineStr">
        <is>
          <t>Day 2</t>
        </is>
      </c>
      <c r="C25" s="56" t="inlineStr">
        <is>
          <t>Fall 2026</t>
        </is>
      </c>
      <c r="D25" s="56" t="inlineStr">
        <is>
          <t>Glesner</t>
        </is>
      </c>
      <c r="E25" s="66" t="n"/>
      <c r="F25" s="56" t="n"/>
      <c r="G25" s="56" t="n"/>
    </row>
    <row r="26" ht="15.75" customHeight="1" s="115">
      <c r="A26" s="45" t="inlineStr">
        <is>
          <t>Module 11</t>
        </is>
      </c>
      <c r="B26" s="45" t="inlineStr">
        <is>
          <t>Day 1</t>
        </is>
      </c>
      <c r="C26" s="49" t="inlineStr">
        <is>
          <t>Fall 2026</t>
        </is>
      </c>
      <c r="D26" s="49" t="inlineStr">
        <is>
          <t>Glesner</t>
        </is>
      </c>
      <c r="E26" s="61" t="n"/>
      <c r="F26" s="49" t="n"/>
      <c r="G26" s="49" t="n"/>
    </row>
    <row r="27" ht="15.75" customHeight="1" s="115">
      <c r="A27" s="55" t="inlineStr">
        <is>
          <t>Module 11</t>
        </is>
      </c>
      <c r="B27" s="55" t="inlineStr">
        <is>
          <t>Day 2</t>
        </is>
      </c>
      <c r="C27" s="56" t="inlineStr">
        <is>
          <t>Fall 2026</t>
        </is>
      </c>
      <c r="D27" s="56" t="inlineStr">
        <is>
          <t>Glesner</t>
        </is>
      </c>
      <c r="E27" s="66" t="n"/>
      <c r="F27" s="56" t="n"/>
      <c r="G27" s="56" t="n"/>
    </row>
    <row r="28" ht="15.75" customHeight="1" s="115">
      <c r="A28" s="45" t="inlineStr">
        <is>
          <t>Module 12</t>
        </is>
      </c>
      <c r="B28" s="45" t="inlineStr">
        <is>
          <t>Day 1</t>
        </is>
      </c>
      <c r="C28" s="49" t="inlineStr">
        <is>
          <t>Fall 2026</t>
        </is>
      </c>
      <c r="D28" s="49" t="inlineStr">
        <is>
          <t>Glesner</t>
        </is>
      </c>
      <c r="E28" s="61" t="n"/>
      <c r="F28" s="49" t="n"/>
      <c r="G28" s="49" t="n"/>
    </row>
    <row r="29" ht="15.75" customHeight="1" s="115">
      <c r="A29" s="55" t="inlineStr">
        <is>
          <t>Module 12</t>
        </is>
      </c>
      <c r="B29" s="55" t="inlineStr">
        <is>
          <t>Day 2</t>
        </is>
      </c>
      <c r="C29" s="56" t="inlineStr">
        <is>
          <t>Fall 2026</t>
        </is>
      </c>
      <c r="D29" s="56" t="inlineStr">
        <is>
          <t>Glesner</t>
        </is>
      </c>
      <c r="E29" s="66" t="n"/>
      <c r="F29" s="56" t="n"/>
      <c r="G29" s="56" t="n"/>
    </row>
    <row r="30" ht="15.75" customHeight="1" s="115">
      <c r="A30" s="45" t="inlineStr">
        <is>
          <t>Module 13</t>
        </is>
      </c>
      <c r="B30" s="45" t="inlineStr">
        <is>
          <t>Day 1</t>
        </is>
      </c>
      <c r="C30" s="49" t="inlineStr">
        <is>
          <t>Fall 2026</t>
        </is>
      </c>
      <c r="D30" s="49" t="inlineStr">
        <is>
          <t>Glesner</t>
        </is>
      </c>
      <c r="E30" s="61" t="n"/>
      <c r="F30" s="49" t="n"/>
      <c r="G30" s="49" t="n"/>
    </row>
    <row r="31" ht="15.75" customHeight="1" s="115">
      <c r="A31" s="55" t="inlineStr">
        <is>
          <t>Module 13</t>
        </is>
      </c>
      <c r="B31" s="55" t="inlineStr">
        <is>
          <t>Day 2</t>
        </is>
      </c>
      <c r="C31" s="56" t="inlineStr">
        <is>
          <t>Fall 2026</t>
        </is>
      </c>
      <c r="D31" s="56" t="inlineStr">
        <is>
          <t>Glesner</t>
        </is>
      </c>
      <c r="E31" s="66" t="n"/>
      <c r="F31" s="56" t="n"/>
      <c r="G31" s="56" t="n"/>
    </row>
    <row r="32" ht="15.75" customHeight="1" s="115">
      <c r="A32" s="45" t="inlineStr">
        <is>
          <t>Module 14</t>
        </is>
      </c>
      <c r="B32" s="45" t="inlineStr">
        <is>
          <t>Day 1</t>
        </is>
      </c>
      <c r="C32" s="49" t="inlineStr">
        <is>
          <t>Fall 2026</t>
        </is>
      </c>
      <c r="D32" s="49" t="inlineStr">
        <is>
          <t>Glesner</t>
        </is>
      </c>
      <c r="E32" s="61" t="n"/>
      <c r="F32" s="49" t="n"/>
      <c r="G32" s="49" t="n"/>
    </row>
    <row r="33" ht="15.75" customHeight="1" s="115">
      <c r="A33" s="55" t="inlineStr">
        <is>
          <t>Module 14</t>
        </is>
      </c>
      <c r="B33" s="55" t="inlineStr">
        <is>
          <t>Day 2</t>
        </is>
      </c>
      <c r="C33" s="56" t="inlineStr">
        <is>
          <t>Fall 2026</t>
        </is>
      </c>
      <c r="D33" s="56" t="inlineStr">
        <is>
          <t>Glesner</t>
        </is>
      </c>
      <c r="E33" s="66" t="n"/>
      <c r="F33" s="56" t="n"/>
      <c r="G33" s="56"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2" t="inlineStr">
        <is>
          <t>NUR234  ·  Exam Reviews</t>
        </is>
      </c>
    </row>
    <row r="2">
      <c r="A2" s="8" t="inlineStr">
        <is>
          <t>NUR234</t>
        </is>
      </c>
      <c r="B2" s="9" t="inlineStr">
        <is>
          <t>NUR235</t>
        </is>
      </c>
      <c r="C2" s="9" t="inlineStr">
        <is>
          <t>NUR258</t>
        </is>
      </c>
      <c r="D2" s="13" t="inlineStr">
        <is>
          <t>🏠 START HERE</t>
        </is>
      </c>
      <c r="E2" s="17" t="inlineStr">
        <is>
          <t>📥 Sort me</t>
        </is>
      </c>
      <c r="F2" s="71" t="n"/>
      <c r="G2" s="71" t="n"/>
    </row>
    <row r="3">
      <c r="A3" s="19" t="inlineStr">
        <is>
          <t>Kaiser</t>
        </is>
      </c>
      <c r="B3" s="19" t="inlineStr">
        <is>
          <t>Buhler</t>
        </is>
      </c>
      <c r="C3" s="19" t="inlineStr">
        <is>
          <t>Glesner</t>
        </is>
      </c>
      <c r="D3" s="72" t="inlineStr">
        <is>
          <t>Exams</t>
        </is>
      </c>
      <c r="E3" s="28">
        <f>HYPERLINK('START HERE'!$B$36,"Zoom")</f>
        <v/>
      </c>
      <c r="F3" s="19" t="inlineStr">
        <is>
          <t>Review videos</t>
        </is>
      </c>
      <c r="G3" s="18" t="n"/>
    </row>
    <row r="4">
      <c r="A4" s="18" t="n"/>
      <c r="B4" s="18" t="n"/>
      <c r="C4" s="18" t="n"/>
      <c r="D4" s="18" t="n"/>
      <c r="E4" s="18" t="n"/>
      <c r="F4" s="71" t="n"/>
      <c r="G4" s="18"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55" t="inlineStr">
        <is>
          <t>Exam 1</t>
        </is>
      </c>
      <c r="B6" s="55" t="n"/>
      <c r="C6" s="56" t="inlineStr">
        <is>
          <t>Study guide</t>
        </is>
      </c>
      <c r="D6" s="56" t="inlineStr">
        <is>
          <t>Course handout</t>
        </is>
      </c>
      <c r="E6" s="56" t="inlineStr">
        <is>
          <t>PDF</t>
        </is>
      </c>
      <c r="F6" s="75">
        <f>HYPERLINK("https://drive.google.com/file/d/1G-isAusr4xSiEajdswjxRKPg2ZXah-E9/view","📄  Open")</f>
        <v/>
      </c>
      <c r="G6" s="56" t="inlineStr">
        <is>
          <t>Maternal study guide</t>
        </is>
      </c>
    </row>
    <row r="7">
      <c r="A7" s="45" t="inlineStr">
        <is>
          <t>Exam 1</t>
        </is>
      </c>
      <c r="B7" s="45" t="n"/>
      <c r="C7" s="49" t="inlineStr">
        <is>
          <t>Practice questions</t>
        </is>
      </c>
      <c r="D7" s="49" t="inlineStr">
        <is>
          <t>Dr. Renee Hansen</t>
        </is>
      </c>
      <c r="E7" s="49" t="inlineStr">
        <is>
          <t>PDF</t>
        </is>
      </c>
      <c r="F7" s="76">
        <f>HYPERLINK("https://drive.google.com/file/d/18sXhH2IZ8qhFlQThhjENr3rB-P8La9BX/view","📄  Open")</f>
        <v/>
      </c>
      <c r="G7" s="49" t="inlineStr">
        <is>
          <t>Exam prep sessions hosted by Hansen (Student Success Coach)</t>
        </is>
      </c>
    </row>
    <row r="8">
      <c r="A8" s="55" t="inlineStr">
        <is>
          <t>Exam 1</t>
        </is>
      </c>
      <c r="B8" s="55" t="n"/>
      <c r="C8" s="56" t="inlineStr">
        <is>
          <t>Module 1 - Reproductive Life Planning</t>
        </is>
      </c>
      <c r="D8" s="56" t="inlineStr">
        <is>
          <t>Exam prep (LSC)</t>
        </is>
      </c>
      <c r="E8" s="56" t="n"/>
      <c r="F8" s="75">
        <f>HYPERLINK("https://drive.google.com/file/d/1BzJX0H7asjyK1qzOoVAj85MSXLDimJYx/view","▶  Watch")</f>
        <v/>
      </c>
      <c r="G8" s="56" t="inlineStr">
        <is>
          <t>Topic: Module 1 - Reproductive Life Planning</t>
        </is>
      </c>
    </row>
    <row r="9">
      <c r="A9" s="45" t="inlineStr">
        <is>
          <t>Exam 1</t>
        </is>
      </c>
      <c r="B9" s="45" t="n"/>
      <c r="C9" s="49" t="inlineStr">
        <is>
          <t>Module 2 - Normal Pregnancy and Care of the Growing Fetus</t>
        </is>
      </c>
      <c r="D9" s="49" t="inlineStr">
        <is>
          <t>Exam prep (LSC)</t>
        </is>
      </c>
      <c r="E9" s="49" t="n"/>
      <c r="F9" s="76">
        <f>HYPERLINK("https://drive.google.com/file/d/1Bk0lxp-seYQORXcarpIuO88Viox4fuOZ/view","▶  Watch")</f>
        <v/>
      </c>
      <c r="G9" s="49" t="inlineStr">
        <is>
          <t>Topic: Module 2 - Normal Pregnancy and Care of the Growing Fetus</t>
        </is>
      </c>
    </row>
    <row r="10">
      <c r="A10" s="55" t="inlineStr">
        <is>
          <t>Exam 1</t>
        </is>
      </c>
      <c r="B10" s="55" t="n"/>
      <c r="C10" s="56" t="inlineStr">
        <is>
          <t>Module 3 - Physiologic Changes of Pregnancy</t>
        </is>
      </c>
      <c r="D10" s="56" t="inlineStr">
        <is>
          <t>Exam prep (LSC)</t>
        </is>
      </c>
      <c r="E10" s="56" t="n"/>
      <c r="F10" s="75">
        <f>HYPERLINK("https://drive.google.com/file/d/1B4wu9ddK2huKEVy10lawIK1_YhYzO6bS/view","▶  Watch")</f>
        <v/>
      </c>
      <c r="G10" s="56" t="inlineStr">
        <is>
          <t>Topic: Module 3 - Physiologic Changes of Pregnancy</t>
        </is>
      </c>
    </row>
    <row r="11">
      <c r="A11" s="45" t="inlineStr">
        <is>
          <t>Exam 1</t>
        </is>
      </c>
      <c r="B11" s="45" t="n"/>
      <c r="C11" s="49" t="inlineStr">
        <is>
          <t>Module 3 - Psychological Changes of Pregnancy</t>
        </is>
      </c>
      <c r="D11" s="49" t="inlineStr">
        <is>
          <t>Exam prep (LSC)</t>
        </is>
      </c>
      <c r="E11" s="49" t="n"/>
      <c r="F11" s="76">
        <f>HYPERLINK("https://drive.google.com/file/d/15AJVaRpwi7uCi97zYj2Cd01PrGjJ5xTs/view","▶  Watch")</f>
        <v/>
      </c>
      <c r="G11" s="49" t="inlineStr">
        <is>
          <t>Topic: Module 3 - Psychological Changes of Pregnancy</t>
        </is>
      </c>
    </row>
    <row r="12">
      <c r="A12" s="55" t="inlineStr">
        <is>
          <t>Exam 1</t>
        </is>
      </c>
      <c r="B12" s="55" t="n"/>
      <c r="C12" s="56" t="inlineStr">
        <is>
          <t>Module 4 - Assessment of a Pregnant Family</t>
        </is>
      </c>
      <c r="D12" s="56" t="inlineStr">
        <is>
          <t>Exam prep (LSC)</t>
        </is>
      </c>
      <c r="E12" s="56" t="n"/>
      <c r="F12" s="75">
        <f>HYPERLINK("https://drive.google.com/file/d/1IQCgJ3dr5ipTv2VGO7t_8Vd16_cwFRKK/view","▶  Watch")</f>
        <v/>
      </c>
      <c r="G12" s="56" t="inlineStr">
        <is>
          <t>Topic: Module 4 - Assessment of a Pregnant Family</t>
        </is>
      </c>
    </row>
    <row r="13">
      <c r="A13" s="55" t="inlineStr">
        <is>
          <t>Exam 2</t>
        </is>
      </c>
      <c r="B13" s="55" t="n"/>
      <c r="C13" s="56" t="inlineStr">
        <is>
          <t>Module 5 - Prenatal</t>
        </is>
      </c>
      <c r="D13" s="56" t="inlineStr">
        <is>
          <t>Exam prep (LSC)</t>
        </is>
      </c>
      <c r="E13" s="56" t="n"/>
      <c r="F13" s="75">
        <f>HYPERLINK("https://drive.google.com/file/d/1C00mJ7cLrMjmrEFDRQPwrgq8w56Bjj3_/view","▶  Watch")</f>
        <v/>
      </c>
      <c r="G13" s="56" t="inlineStr">
        <is>
          <t>NUR234_Fall2026_LSC_Wk05_DayNA_Prenatal.mp4</t>
        </is>
      </c>
    </row>
    <row r="14">
      <c r="A14" s="55" t="inlineStr">
        <is>
          <t>Exam 2</t>
        </is>
      </c>
      <c r="B14" s="55" t="n"/>
      <c r="C14" s="56" t="inlineStr">
        <is>
          <t>Module 5 - Promoting Maternal Health</t>
        </is>
      </c>
      <c r="D14" s="56" t="inlineStr">
        <is>
          <t>Exam prep (LSC)</t>
        </is>
      </c>
      <c r="E14" s="56" t="n"/>
      <c r="F14" s="75">
        <f>HYPERLINK("https://drive.google.com/file/d/1LCdbszibb4W0yRbF9nLhKKKFeIHTmtug/view","▶  Watch")</f>
        <v/>
      </c>
      <c r="G14" s="56" t="inlineStr">
        <is>
          <t>NUR234_Fall2026_LSC_Wk05_DayNA_Promoting Maternal Health.mp4</t>
        </is>
      </c>
    </row>
    <row r="15">
      <c r="A15" s="55" t="inlineStr">
        <is>
          <t>Exam 2</t>
        </is>
      </c>
      <c r="B15" s="55" t="n"/>
      <c r="C15" s="56" t="inlineStr">
        <is>
          <t>Module 5 - Promoting Fetal Health</t>
        </is>
      </c>
      <c r="D15" s="56" t="inlineStr">
        <is>
          <t>Exam prep (LSC)</t>
        </is>
      </c>
      <c r="E15" s="56" t="n"/>
      <c r="F15" s="75">
        <f>HYPERLINK("https://drive.google.com/file/d/1ZizDdJyPX2SIYbCaVpnN9ncjhNtft7ii/view","▶  Watch")</f>
        <v/>
      </c>
      <c r="G15" s="56" t="inlineStr">
        <is>
          <t>NUR234_Fall2026_LSC_Wk05_DayNA_Promoting Fetal Health.mp4</t>
        </is>
      </c>
    </row>
    <row r="16">
      <c r="A16" s="55" t="inlineStr">
        <is>
          <t>Exam 2</t>
        </is>
      </c>
      <c r="B16" s="55" t="inlineStr">
        <is>
          <t>Fall 2026</t>
        </is>
      </c>
      <c r="C16" s="56" t="inlineStr">
        <is>
          <t>Module 6 - Care of a Family During Labor and Birth</t>
        </is>
      </c>
      <c r="D16" s="56" t="inlineStr">
        <is>
          <t>Exam prep (LSC)</t>
        </is>
      </c>
      <c r="E16" s="56" t="n"/>
      <c r="F16" s="75">
        <f>HYPERLINK("https://drive.google.com/file/d/1upYrXBwo5fWpYW8jlqTg8mS_DqrR1RrN/view","▶  Watch")</f>
        <v/>
      </c>
      <c r="G16" s="56" t="inlineStr">
        <is>
          <t>LSC exam prep, 76:16 on Canvas. Your phone capture of 5 Oct 11:01 PM (545 MB). NUR234_Fall2026_LSC_Wk06_DayNA_Module 6 - Care of a Family During Labor and Birth (exam prep, phone capture 5 Oct).mp4</t>
        </is>
      </c>
    </row>
    <row r="17">
      <c r="A17" s="55" t="inlineStr">
        <is>
          <t>Exam 2</t>
        </is>
      </c>
      <c r="B17" s="55" t="inlineStr">
        <is>
          <t>Fall 2026</t>
        </is>
      </c>
      <c r="C17" s="56" t="inlineStr">
        <is>
          <t>My materials - Tue 6 Oct 2:40 PM labor and birth (PC screen recording, 2.3 GB)</t>
        </is>
      </c>
      <c r="D17" s="56" t="inlineStr">
        <is>
          <t>Not named</t>
        </is>
      </c>
      <c r="E17" s="56" t="n"/>
      <c r="F17" s="75">
        <f>HYPERLINK("https://drive.google.com/file/d/15lwQeA3CG1kxZ3EC8HVENaR9QRodgD4Y/view","▶  Watch")</f>
        <v/>
      </c>
      <c r="G17" s="56" t="inlineStr">
        <is>
          <t>Topic from the speech index (labor, contractions, cervix, oxytocin, decelerations, newborn). Could be a second capture of the Module 6 exam prep or a class lecture - open it and tell me.</t>
        </is>
      </c>
    </row>
    <row r="18">
      <c r="A18" s="45" t="inlineStr">
        <is>
          <t>Exam 3</t>
        </is>
      </c>
      <c r="B18" s="45" t="n"/>
      <c r="C18" s="49" t="n"/>
      <c r="D18" s="49" t="n"/>
      <c r="E18" s="49" t="n"/>
      <c r="F18" s="40" t="n"/>
      <c r="G18" s="49" t="n"/>
    </row>
    <row r="19">
      <c r="A19" s="45" t="inlineStr">
        <is>
          <t>Exam 3</t>
        </is>
      </c>
      <c r="B19" s="45" t="n"/>
      <c r="C19" s="49" t="n"/>
      <c r="D19" s="49" t="n"/>
      <c r="E19" s="49" t="n"/>
      <c r="F19" s="40" t="n"/>
      <c r="G19" s="49" t="n"/>
    </row>
    <row r="20" ht="15.75" customHeight="1" s="115">
      <c r="A20" s="55" t="inlineStr">
        <is>
          <t>FINAL</t>
        </is>
      </c>
      <c r="B20" s="55" t="n"/>
      <c r="C20" s="56" t="n"/>
      <c r="D20" s="56" t="n"/>
      <c r="E20" s="56" t="n"/>
      <c r="F20" s="51" t="n"/>
      <c r="G20" s="56" t="n"/>
    </row>
    <row r="21" ht="15.75" customHeight="1" s="115">
      <c r="A21" s="45" t="inlineStr">
        <is>
          <t>FINAL</t>
        </is>
      </c>
      <c r="B21" s="45" t="n"/>
      <c r="C21" s="49" t="n"/>
      <c r="D21" s="49" t="n"/>
      <c r="E21" s="49" t="n"/>
      <c r="F21" s="40" t="n"/>
      <c r="G21" s="49" t="n"/>
    </row>
    <row r="22" ht="15.75" customHeight="1" s="115">
      <c r="A22" s="55" t="inlineStr">
        <is>
          <t>FINAL</t>
        </is>
      </c>
      <c r="B22" s="55" t="n"/>
      <c r="C22" s="56" t="n"/>
      <c r="D22" s="56" t="inlineStr">
        <is>
          <t>Kaiser</t>
        </is>
      </c>
      <c r="E22" s="56" t="inlineStr">
        <is>
          <t>Video</t>
        </is>
      </c>
      <c r="F22" s="47">
        <f>HYPERLINK("https://drive.google.com/file/d/1osViOBDNkX1DvBYY87Q6e9YPmC2yXvWZ/view","▶  Watch")</f>
        <v/>
      </c>
      <c r="G22" s="56" t="inlineStr">
        <is>
          <t>Kaiser final review.mp4</t>
        </is>
      </c>
    </row>
    <row r="23" ht="15.75" customHeight="1" s="115">
      <c r="A23" s="45" t="inlineStr">
        <is>
          <t>FINAL</t>
        </is>
      </c>
      <c r="B23" s="45" t="n"/>
      <c r="C23" s="49" t="n"/>
      <c r="D23" s="49" t="inlineStr">
        <is>
          <t>Kaiser</t>
        </is>
      </c>
      <c r="E23" s="49" t="inlineStr">
        <is>
          <t>Video</t>
        </is>
      </c>
      <c r="F23" s="53">
        <f>HYPERLINK("https://drive.google.com/file/d/1o5rlqxPFoHyGm38nNnVlNWZFdmCAcwJg/view","▶  Watch")</f>
        <v/>
      </c>
      <c r="G23" s="49" t="inlineStr">
        <is>
          <t>Kaiser final review 2.mp4</t>
        </is>
      </c>
    </row>
    <row r="24" ht="15.75" customHeight="1" s="115">
      <c r="A24" s="55" t="inlineStr">
        <is>
          <t>FINAL</t>
        </is>
      </c>
      <c r="B24" s="56" t="inlineStr">
        <is>
          <t>Summer 2026</t>
        </is>
      </c>
      <c r="C24" s="56" t="inlineStr">
        <is>
          <t>Final exam review - fetal heart rate monitoring and decelerations (6 Aug)</t>
        </is>
      </c>
      <c r="D24" s="56" t="inlineStr">
        <is>
          <t>Kaiser</t>
        </is>
      </c>
      <c r="E24" s="56" t="inlineStr">
        <is>
          <t>Video</t>
        </is>
      </c>
      <c r="F24" s="47">
        <f>HYPERLINK("https://drive.google.com/file/d/1AF4APNVK1nUVKVsDeOE_Mepqj-en-ldM/view","▶  Watch")</f>
        <v/>
      </c>
      <c r="G24" s="56" t="inlineStr">
        <is>
          <t>190 MB. The duplicate copy this row linked before was trashed on 6 Oct.</t>
        </is>
      </c>
    </row>
    <row r="25" ht="15.75" customHeight="1" s="115">
      <c r="A25" s="45" t="inlineStr">
        <is>
          <t>FINAL</t>
        </is>
      </c>
      <c r="B25" s="49" t="inlineStr">
        <is>
          <t>Summer 2026</t>
        </is>
      </c>
      <c r="C25" s="49" t="inlineStr">
        <is>
          <t>Final exam review day 2 - obstetric concepts and exam logistics (7 Aug)</t>
        </is>
      </c>
      <c r="D25" s="49" t="inlineStr">
        <is>
          <t>Kaiser</t>
        </is>
      </c>
      <c r="E25" s="49" t="inlineStr">
        <is>
          <t>Video</t>
        </is>
      </c>
      <c r="F25" s="53">
        <f>HYPERLINK("https://drive.google.com/file/d/10tLIx65hCfOM86q3mZgMt6S33lH0fiIs/view","▶  Watch")</f>
        <v/>
      </c>
      <c r="G25" s="49" t="inlineStr">
        <is>
          <t>237 MB. The duplicate copy this row linked before was trashed on 6 Oct.</t>
        </is>
      </c>
    </row>
    <row r="26" ht="15.75" customHeight="1" s="115">
      <c r="A26" s="45" t="inlineStr">
        <is>
          <t>Exam 2</t>
        </is>
      </c>
      <c r="B26" s="49" t="inlineStr">
        <is>
          <t>Fall 2026</t>
        </is>
      </c>
      <c r="C26" s="49" t="inlineStr">
        <is>
          <t>Module 7 - Providing Comfort During Labor and Birth</t>
        </is>
      </c>
      <c r="D26" s="49" t="inlineStr">
        <is>
          <t>Exam prep (LSC)</t>
        </is>
      </c>
      <c r="E26" s="49" t="inlineStr">
        <is>
          <t>Video</t>
        </is>
      </c>
      <c r="F26" s="53">
        <f>HYPERLINK("https://drive.google.com/file/d/1OND6CFsBlaoVjdanIfzFOYAFrFHlu4qQ/view","▶  Watch")</f>
        <v/>
      </c>
      <c r="G26" s="49" t="inlineStr">
        <is>
          <t>LSC exam prep, 30 Sep session (date on the title slide). Screen recording uploaded 12 Oct.</t>
        </is>
      </c>
    </row>
    <row r="27" ht="15.75" customHeight="1" s="115">
      <c r="A27" s="68" t="n"/>
      <c r="B27" s="68" t="n"/>
      <c r="C27" s="68" t="n"/>
      <c r="D27" s="68" t="n"/>
      <c r="E27" s="68" t="n"/>
      <c r="F27" s="77" t="n"/>
      <c r="G27" s="68" t="n"/>
    </row>
    <row r="28" ht="15.75" customHeight="1" s="115">
      <c r="A28" s="68" t="n"/>
      <c r="B28" s="68" t="n"/>
      <c r="C28" s="68" t="n"/>
      <c r="D28" s="68" t="n"/>
      <c r="E28" s="68" t="n"/>
      <c r="F28" s="77" t="n"/>
      <c r="G28" s="68" t="n"/>
    </row>
    <row r="29" ht="15.75" customHeight="1" s="115">
      <c r="A29" s="68" t="n"/>
      <c r="B29" s="68" t="n"/>
      <c r="C29" s="68" t="n"/>
      <c r="D29" s="68" t="n"/>
      <c r="E29" s="68" t="n"/>
      <c r="F29" s="77" t="n"/>
      <c r="G29" s="68" t="n"/>
    </row>
    <row r="30" ht="15.75" customHeight="1" s="115">
      <c r="A30" s="68" t="n"/>
      <c r="B30" s="68" t="n"/>
      <c r="C30" s="68" t="n"/>
      <c r="D30" s="68" t="n"/>
      <c r="E30" s="68" t="n"/>
      <c r="F30" s="77" t="n"/>
      <c r="G30" s="68" t="n"/>
    </row>
    <row r="31" ht="15.75" customHeight="1" s="115">
      <c r="A31" s="68" t="n"/>
      <c r="B31" s="68" t="n"/>
      <c r="C31" s="68" t="n"/>
      <c r="D31" s="68" t="n"/>
      <c r="E31" s="68" t="n"/>
      <c r="F31" s="77" t="n"/>
      <c r="G31" s="68" t="n"/>
    </row>
    <row r="32" ht="15.75" customHeight="1" s="115">
      <c r="A32" s="5" t="n"/>
      <c r="B32" s="5" t="n"/>
      <c r="C32" s="5" t="n"/>
      <c r="D32" s="5" t="n"/>
      <c r="E32" s="5" t="n"/>
      <c r="F32" s="78" t="n"/>
      <c r="G32" s="5" t="n"/>
    </row>
    <row r="33" ht="15.75" customHeight="1" s="115">
      <c r="A33" s="5" t="n"/>
      <c r="B33" s="5" t="n"/>
      <c r="C33" s="5" t="n"/>
      <c r="D33" s="5" t="n"/>
      <c r="E33" s="5" t="n"/>
      <c r="F33" s="78" t="n"/>
      <c r="G33" s="5" t="n"/>
    </row>
    <row r="34" ht="15.75" customHeight="1" s="115">
      <c r="A34" s="5" t="n"/>
      <c r="B34" s="5" t="n"/>
      <c r="C34" s="5" t="n"/>
      <c r="D34" s="5" t="n"/>
      <c r="E34" s="5" t="n"/>
      <c r="F34" s="78" t="n"/>
      <c r="G34" s="5" t="n"/>
    </row>
    <row r="35" ht="15.75" customHeight="1" s="115">
      <c r="A35" s="5" t="n"/>
      <c r="B35" s="5" t="n"/>
      <c r="C35" s="5" t="n"/>
      <c r="D35" s="5" t="n"/>
      <c r="E35" s="5" t="n"/>
      <c r="F35" s="78" t="n"/>
      <c r="G35" s="5" t="n"/>
    </row>
    <row r="36" ht="15.75" customHeight="1" s="115">
      <c r="A36" s="5" t="n"/>
      <c r="B36" s="5" t="n"/>
      <c r="C36" s="5" t="n"/>
      <c r="D36" s="5" t="n"/>
      <c r="E36" s="5" t="n"/>
      <c r="F36" s="78" t="n"/>
      <c r="G36" s="5" t="n"/>
    </row>
    <row r="37" ht="15.75" customHeight="1" s="115">
      <c r="A37" s="5" t="n"/>
      <c r="B37" s="5" t="n"/>
      <c r="C37" s="5" t="n"/>
      <c r="D37" s="5" t="n"/>
      <c r="E37" s="5" t="n"/>
      <c r="F37" s="78" t="n"/>
      <c r="G37" s="5" t="n"/>
    </row>
    <row r="38" ht="15.75" customHeight="1" s="115">
      <c r="A38" s="5" t="n"/>
      <c r="B38" s="5" t="n"/>
      <c r="C38" s="5" t="n"/>
      <c r="D38" s="5" t="n"/>
      <c r="E38" s="5" t="n"/>
      <c r="F38" s="78" t="n"/>
      <c r="G38" s="5" t="n"/>
    </row>
    <row r="39" ht="15.75" customHeight="1" s="115">
      <c r="A39" s="5" t="n"/>
      <c r="B39" s="5" t="n"/>
      <c r="C39" s="5" t="n"/>
      <c r="D39" s="5" t="n"/>
      <c r="E39" s="5" t="n"/>
      <c r="F39" s="78" t="n"/>
      <c r="G39" s="5" t="n"/>
    </row>
    <row r="40" ht="15.75" customHeight="1" s="115">
      <c r="A40" s="5" t="n"/>
      <c r="B40" s="5" t="n"/>
      <c r="C40" s="5" t="n"/>
      <c r="D40" s="5" t="n"/>
      <c r="E40" s="5" t="n"/>
      <c r="F40" s="78" t="n"/>
      <c r="G40" s="5" t="n"/>
    </row>
    <row r="41" ht="15.75" customHeight="1" s="115">
      <c r="A41" s="5" t="n"/>
      <c r="B41" s="5" t="n"/>
      <c r="C41" s="5" t="n"/>
      <c r="D41" s="5" t="n"/>
      <c r="E41" s="5" t="n"/>
      <c r="F41" s="78" t="n"/>
      <c r="G41" s="5" t="n"/>
    </row>
    <row r="42" ht="15.75" customHeight="1" s="115">
      <c r="A42" s="5" t="n"/>
      <c r="B42" s="5" t="n"/>
      <c r="C42" s="5" t="n"/>
      <c r="D42" s="5" t="n"/>
      <c r="E42" s="5" t="n"/>
      <c r="F42" s="78" t="n"/>
      <c r="G42" s="5" t="n"/>
    </row>
    <row r="43" ht="15.75" customHeight="1" s="115">
      <c r="A43" s="5" t="n"/>
      <c r="B43" s="5" t="n"/>
      <c r="C43" s="5" t="n"/>
      <c r="D43" s="5" t="n"/>
      <c r="E43" s="5" t="n"/>
      <c r="F43" s="78" t="n"/>
      <c r="G43" s="5" t="n"/>
    </row>
    <row r="44" ht="15.75" customHeight="1" s="115">
      <c r="A44" s="5" t="n"/>
      <c r="B44" s="5" t="n"/>
      <c r="C44" s="5" t="n"/>
      <c r="D44" s="5" t="n"/>
      <c r="E44" s="5" t="n"/>
      <c r="F44" s="78" t="n"/>
      <c r="G44" s="5" t="n"/>
    </row>
    <row r="45" ht="15.75" customHeight="1" s="115">
      <c r="A45" s="5" t="n"/>
      <c r="B45" s="5" t="n"/>
      <c r="C45" s="5" t="n"/>
      <c r="D45" s="5" t="n"/>
      <c r="E45" s="5" t="n"/>
      <c r="F45" s="78" t="n"/>
      <c r="G45" s="5" t="n"/>
    </row>
    <row r="46" ht="15.75" customHeight="1" s="115">
      <c r="A46" s="5" t="n"/>
      <c r="B46" s="5" t="n"/>
      <c r="C46" s="5" t="n"/>
      <c r="D46" s="5" t="n"/>
      <c r="E46" s="5" t="n"/>
      <c r="F46" s="78" t="n"/>
      <c r="G46" s="5" t="n"/>
    </row>
    <row r="47" ht="15.75" customHeight="1" s="115">
      <c r="A47" s="5" t="n"/>
      <c r="B47" s="5" t="n"/>
      <c r="C47" s="5" t="n"/>
      <c r="D47" s="5" t="n"/>
      <c r="E47" s="5" t="n"/>
      <c r="F47" s="78" t="n"/>
      <c r="G47" s="5" t="n"/>
    </row>
    <row r="48" ht="15.75" customHeight="1" s="115">
      <c r="A48" s="5" t="n"/>
      <c r="B48" s="5" t="n"/>
      <c r="C48" s="5" t="n"/>
      <c r="D48" s="5" t="n"/>
      <c r="E48" s="5" t="n"/>
      <c r="F48" s="78" t="n"/>
      <c r="G48" s="5" t="n"/>
    </row>
    <row r="49" ht="15.75" customHeight="1" s="115">
      <c r="A49" s="5" t="n"/>
      <c r="B49" s="5" t="n"/>
      <c r="C49" s="5" t="n"/>
      <c r="D49" s="5" t="n"/>
      <c r="E49" s="5" t="n"/>
      <c r="F49" s="78" t="n"/>
      <c r="G49" s="5" t="n"/>
    </row>
    <row r="50" ht="15.75" customHeight="1" s="115">
      <c r="A50" s="5" t="n"/>
      <c r="B50" s="5" t="n"/>
      <c r="C50" s="5" t="n"/>
      <c r="D50" s="5" t="n"/>
      <c r="E50" s="5" t="n"/>
      <c r="F50" s="78" t="n"/>
      <c r="G50" s="5" t="n"/>
    </row>
    <row r="51" ht="15.75" customHeight="1" s="115">
      <c r="A51" s="5" t="n"/>
      <c r="B51" s="5" t="n"/>
      <c r="C51" s="5" t="n"/>
      <c r="D51" s="5" t="n"/>
      <c r="E51" s="5" t="n"/>
      <c r="F51" s="78" t="n"/>
      <c r="G51" s="5" t="n"/>
    </row>
    <row r="52" ht="15.75" customHeight="1" s="115">
      <c r="A52" s="5" t="n"/>
      <c r="B52" s="5" t="n"/>
      <c r="C52" s="5" t="n"/>
      <c r="D52" s="5" t="n"/>
      <c r="E52" s="5" t="n"/>
      <c r="F52" s="78" t="n"/>
      <c r="G52" s="5" t="n"/>
    </row>
    <row r="53" ht="15.75" customHeight="1" s="115">
      <c r="A53" s="5" t="n"/>
      <c r="B53" s="5" t="n"/>
      <c r="C53" s="5" t="n"/>
      <c r="D53" s="5" t="n"/>
      <c r="E53" s="5" t="n"/>
      <c r="F53" s="78" t="n"/>
      <c r="G53" s="5" t="n"/>
    </row>
    <row r="54" ht="15.75" customHeight="1" s="115">
      <c r="A54" s="5" t="n"/>
      <c r="B54" s="5" t="n"/>
      <c r="C54" s="5" t="n"/>
      <c r="D54" s="5" t="n"/>
      <c r="E54" s="5" t="n"/>
      <c r="F54" s="78" t="n"/>
      <c r="G54" s="5" t="n"/>
    </row>
    <row r="55" ht="15.75" customHeight="1" s="115">
      <c r="A55" s="5" t="n"/>
      <c r="B55" s="5" t="n"/>
      <c r="C55" s="5" t="n"/>
      <c r="D55" s="5" t="n"/>
      <c r="E55" s="5" t="n"/>
      <c r="F55" s="78" t="n"/>
      <c r="G55" s="5" t="n"/>
    </row>
    <row r="56" ht="15.75" customHeight="1" s="115">
      <c r="A56" s="5" t="n"/>
      <c r="B56" s="5" t="n"/>
      <c r="C56" s="5" t="n"/>
      <c r="D56" s="5" t="n"/>
      <c r="E56" s="5" t="n"/>
      <c r="F56" s="78" t="n"/>
      <c r="G56" s="5" t="n"/>
    </row>
    <row r="57" ht="15.75" customHeight="1" s="115">
      <c r="A57" s="5" t="n"/>
      <c r="B57" s="5" t="n"/>
      <c r="C57" s="5" t="n"/>
      <c r="D57" s="5" t="n"/>
      <c r="E57" s="5" t="n"/>
      <c r="F57" s="78" t="n"/>
      <c r="G57" s="5" t="n"/>
    </row>
    <row r="58" ht="15.75" customHeight="1" s="115">
      <c r="A58" s="5" t="n"/>
      <c r="B58" s="5" t="n"/>
      <c r="C58" s="5" t="n"/>
      <c r="D58" s="5" t="n"/>
      <c r="E58" s="5" t="n"/>
      <c r="F58" s="78" t="n"/>
      <c r="G58" s="5" t="n"/>
    </row>
    <row r="59" ht="15.75" customHeight="1" s="115">
      <c r="A59" s="5" t="n"/>
      <c r="B59" s="5" t="n"/>
      <c r="C59" s="5" t="n"/>
      <c r="D59" s="5" t="n"/>
      <c r="E59" s="5" t="n"/>
      <c r="F59" s="78" t="n"/>
      <c r="G59" s="5" t="n"/>
    </row>
    <row r="60" ht="15.75" customHeight="1" s="115">
      <c r="A60" s="5" t="n"/>
      <c r="B60" s="5" t="n"/>
      <c r="C60" s="5" t="n"/>
      <c r="D60" s="5" t="n"/>
      <c r="E60" s="5" t="n"/>
      <c r="F60" s="78" t="n"/>
      <c r="G60" s="5" t="n"/>
    </row>
    <row r="61" ht="15.75" customHeight="1" s="115">
      <c r="A61" s="5" t="n"/>
      <c r="B61" s="5" t="n"/>
      <c r="C61" s="5" t="n"/>
      <c r="D61" s="5" t="n"/>
      <c r="E61" s="5" t="n"/>
      <c r="F61" s="78" t="n"/>
      <c r="G61" s="5" t="n"/>
    </row>
    <row r="62" ht="15.75" customHeight="1" s="115">
      <c r="A62" s="5" t="n"/>
      <c r="B62" s="5" t="n"/>
      <c r="C62" s="5" t="n"/>
      <c r="D62" s="5" t="n"/>
      <c r="E62" s="5" t="n"/>
      <c r="F62" s="79" t="n"/>
      <c r="G62" s="5" t="n"/>
    </row>
    <row r="63" ht="15.75" customHeight="1" s="115">
      <c r="A63" s="5" t="n"/>
      <c r="B63" s="5" t="n"/>
      <c r="C63" s="5" t="n"/>
      <c r="D63" s="5" t="n"/>
      <c r="E63" s="5" t="n"/>
      <c r="F63" s="79" t="n"/>
      <c r="G63" s="5" t="n"/>
    </row>
    <row r="64" ht="15.75" customHeight="1" s="115">
      <c r="A64" s="5" t="n"/>
      <c r="B64" s="5" t="n"/>
      <c r="C64" s="5" t="n"/>
      <c r="D64" s="5" t="n"/>
      <c r="E64" s="5" t="n"/>
      <c r="F64" s="79" t="n"/>
      <c r="G64" s="5" t="n"/>
    </row>
    <row r="65" ht="15.75" customHeight="1" s="115">
      <c r="A65" s="5" t="n"/>
      <c r="B65" s="5" t="n"/>
      <c r="C65" s="5" t="n"/>
      <c r="D65" s="5" t="n"/>
      <c r="E65" s="5" t="n"/>
      <c r="F65" s="79" t="n"/>
      <c r="G65" s="5" t="n"/>
    </row>
    <row r="66" ht="15.75" customHeight="1" s="115">
      <c r="A66" s="5" t="n"/>
      <c r="B66" s="5" t="n"/>
      <c r="C66" s="5" t="n"/>
      <c r="D66" s="5" t="n"/>
      <c r="E66" s="5" t="n"/>
      <c r="F66" s="79" t="n"/>
      <c r="G66" s="5" t="n"/>
    </row>
    <row r="67" ht="15.75" customHeight="1" s="115">
      <c r="A67" s="5" t="n"/>
      <c r="B67" s="5" t="n"/>
      <c r="C67" s="5" t="n"/>
      <c r="D67" s="5" t="n"/>
      <c r="E67" s="5" t="n"/>
      <c r="F67" s="79" t="n"/>
      <c r="G67" s="5" t="n"/>
    </row>
    <row r="68" ht="15.75" customHeight="1" s="115">
      <c r="A68" s="5" t="n"/>
      <c r="B68" s="5" t="n"/>
      <c r="C68" s="5" t="n"/>
      <c r="D68" s="5" t="n"/>
      <c r="E68" s="5" t="n"/>
      <c r="F68" s="79" t="n"/>
      <c r="G68" s="5" t="n"/>
    </row>
    <row r="69" ht="15.75" customHeight="1" s="115">
      <c r="A69" s="5" t="n"/>
      <c r="B69" s="5" t="n"/>
      <c r="C69" s="5" t="n"/>
      <c r="D69" s="5" t="n"/>
      <c r="E69" s="5" t="n"/>
      <c r="F69" s="79" t="n"/>
      <c r="G69" s="5" t="n"/>
    </row>
    <row r="70" ht="15.75" customHeight="1" s="115">
      <c r="A70" s="5" t="n"/>
      <c r="B70" s="5" t="n"/>
      <c r="C70" s="5" t="n"/>
      <c r="D70" s="5" t="n"/>
      <c r="E70" s="5" t="n"/>
      <c r="F70" s="79" t="n"/>
      <c r="G70" s="5" t="n"/>
    </row>
    <row r="71" ht="15.75" customHeight="1" s="115">
      <c r="A71" s="5" t="n"/>
      <c r="B71" s="5" t="n"/>
      <c r="C71" s="5" t="n"/>
      <c r="D71" s="5" t="n"/>
      <c r="E71" s="5" t="n"/>
      <c r="F71" s="79" t="n"/>
      <c r="G71" s="5" t="n"/>
    </row>
    <row r="72" ht="15.75" customHeight="1" s="115">
      <c r="A72" s="5" t="n"/>
      <c r="B72" s="5" t="n"/>
      <c r="C72" s="5" t="n"/>
      <c r="D72" s="5" t="n"/>
      <c r="E72" s="5" t="n"/>
      <c r="F72" s="79" t="n"/>
      <c r="G72" s="5" t="n"/>
    </row>
    <row r="73" ht="15.75" customHeight="1" s="115">
      <c r="A73" s="5" t="n"/>
      <c r="B73" s="5" t="n"/>
      <c r="C73" s="5" t="n"/>
      <c r="D73" s="5" t="n"/>
      <c r="E73" s="5" t="n"/>
      <c r="F73" s="79" t="n"/>
      <c r="G73" s="5" t="n"/>
    </row>
    <row r="74" ht="15.75" customHeight="1" s="115">
      <c r="A74" s="5" t="n"/>
      <c r="B74" s="5" t="n"/>
      <c r="C74" s="5" t="n"/>
      <c r="D74" s="5" t="n"/>
      <c r="E74" s="5" t="n"/>
      <c r="F74" s="79" t="n"/>
      <c r="G74" s="5" t="n"/>
    </row>
    <row r="75" ht="15.75" customHeight="1" s="115">
      <c r="A75" s="5" t="n"/>
      <c r="B75" s="5" t="n"/>
      <c r="C75" s="5" t="n"/>
      <c r="D75" s="5" t="n"/>
      <c r="E75" s="5" t="n"/>
      <c r="F75" s="79" t="n"/>
      <c r="G75" s="5" t="n"/>
    </row>
    <row r="76" ht="15.75" customHeight="1" s="115">
      <c r="A76" s="5" t="n"/>
      <c r="B76" s="5" t="n"/>
      <c r="C76" s="5" t="n"/>
      <c r="D76" s="5" t="n"/>
      <c r="E76" s="5" t="n"/>
      <c r="F76" s="79" t="n"/>
      <c r="G76" s="5" t="n"/>
    </row>
    <row r="77" ht="15.75" customHeight="1" s="115">
      <c r="A77" s="5" t="n"/>
      <c r="B77" s="5" t="n"/>
      <c r="C77" s="5" t="n"/>
      <c r="D77" s="5" t="n"/>
      <c r="E77" s="5" t="n"/>
      <c r="F77" s="79" t="n"/>
      <c r="G77" s="5" t="n"/>
    </row>
    <row r="78" ht="15.75" customHeight="1" s="115">
      <c r="A78" s="5" t="n"/>
      <c r="B78" s="5" t="n"/>
      <c r="C78" s="5" t="n"/>
      <c r="D78" s="5" t="n"/>
      <c r="E78" s="5" t="n"/>
      <c r="F78" s="79" t="n"/>
      <c r="G78" s="5" t="n"/>
    </row>
    <row r="79" ht="15.75" customHeight="1" s="115">
      <c r="A79" s="5" t="n"/>
      <c r="B79" s="5" t="n"/>
      <c r="C79" s="5" t="n"/>
      <c r="D79" s="5" t="n"/>
      <c r="E79" s="5" t="n"/>
      <c r="F79" s="79" t="n"/>
      <c r="G79" s="5" t="n"/>
    </row>
    <row r="80" ht="15.75" customHeight="1" s="115">
      <c r="A80" s="5" t="n"/>
      <c r="B80" s="5" t="n"/>
      <c r="C80" s="5" t="n"/>
      <c r="D80" s="5" t="n"/>
      <c r="E80" s="5" t="n"/>
      <c r="F80" s="79" t="n"/>
      <c r="G80" s="5" t="n"/>
    </row>
    <row r="81" ht="15.75" customHeight="1" s="115">
      <c r="A81" s="5" t="n"/>
      <c r="B81" s="5" t="n"/>
      <c r="C81" s="5" t="n"/>
      <c r="D81" s="5" t="n"/>
      <c r="E81" s="5" t="n"/>
      <c r="F81" s="79" t="n"/>
      <c r="G81" s="5" t="n"/>
    </row>
    <row r="82" ht="15.75" customHeight="1" s="115">
      <c r="A82" s="5" t="n"/>
      <c r="B82" s="5" t="n"/>
      <c r="C82" s="5" t="n"/>
      <c r="D82" s="5" t="n"/>
      <c r="E82" s="5" t="n"/>
      <c r="F82" s="79" t="n"/>
      <c r="G82" s="5" t="n"/>
    </row>
    <row r="83" ht="15.75" customHeight="1" s="115">
      <c r="A83" s="5" t="n"/>
      <c r="B83" s="5" t="n"/>
      <c r="C83" s="5" t="n"/>
      <c r="D83" s="5" t="n"/>
      <c r="E83" s="5" t="n"/>
      <c r="F83" s="79" t="n"/>
      <c r="G83" s="5" t="n"/>
    </row>
    <row r="84" ht="15.75" customHeight="1" s="115">
      <c r="A84" s="5" t="n"/>
      <c r="B84" s="5" t="n"/>
      <c r="C84" s="5" t="n"/>
      <c r="D84" s="5" t="n"/>
      <c r="E84" s="5" t="n"/>
      <c r="F84" s="79" t="n"/>
      <c r="G84" s="5" t="n"/>
    </row>
    <row r="85" ht="15.75" customHeight="1" s="115">
      <c r="A85" s="5" t="n"/>
      <c r="B85" s="5" t="n"/>
      <c r="C85" s="5" t="n"/>
      <c r="D85" s="5" t="n"/>
      <c r="E85" s="5" t="n"/>
      <c r="F85" s="79" t="n"/>
      <c r="G85" s="5" t="n"/>
    </row>
    <row r="86" ht="15.75" customHeight="1" s="115">
      <c r="A86" s="5" t="n"/>
      <c r="B86" s="5" t="n"/>
      <c r="C86" s="5" t="n"/>
      <c r="D86" s="5" t="n"/>
      <c r="E86" s="5" t="n"/>
      <c r="F86" s="79" t="n"/>
      <c r="G86" s="5" t="n"/>
    </row>
    <row r="87" ht="15.75" customHeight="1" s="115">
      <c r="A87" s="5" t="n"/>
      <c r="B87" s="5" t="n"/>
      <c r="C87" s="5" t="n"/>
      <c r="D87" s="5" t="n"/>
      <c r="E87" s="5" t="n"/>
      <c r="F87" s="79" t="n"/>
      <c r="G87" s="5" t="n"/>
    </row>
    <row r="88" ht="15.75" customHeight="1" s="115">
      <c r="A88" s="5" t="n"/>
      <c r="B88" s="5" t="n"/>
      <c r="C88" s="5" t="n"/>
      <c r="D88" s="5" t="n"/>
      <c r="E88" s="5" t="n"/>
      <c r="F88" s="79" t="n"/>
      <c r="G88" s="5" t="n"/>
    </row>
    <row r="89" ht="15.75" customHeight="1" s="115">
      <c r="A89" s="5" t="n"/>
      <c r="B89" s="5" t="n"/>
      <c r="C89" s="5" t="n"/>
      <c r="D89" s="5" t="n"/>
      <c r="E89" s="5" t="n"/>
      <c r="F89" s="79" t="n"/>
      <c r="G89" s="5" t="n"/>
    </row>
    <row r="90" ht="15.75" customHeight="1" s="115">
      <c r="A90" s="5" t="n"/>
      <c r="B90" s="5" t="n"/>
      <c r="C90" s="5" t="n"/>
      <c r="D90" s="5" t="n"/>
      <c r="E90" s="5" t="n"/>
      <c r="F90" s="79" t="n"/>
      <c r="G90" s="5" t="n"/>
    </row>
    <row r="91" ht="15.75" customHeight="1" s="115">
      <c r="A91" s="5" t="n"/>
      <c r="B91" s="5" t="n"/>
      <c r="C91" s="5" t="n"/>
      <c r="D91" s="5" t="n"/>
      <c r="E91" s="5" t="n"/>
      <c r="F91" s="79" t="n"/>
      <c r="G91" s="5" t="n"/>
    </row>
    <row r="92" ht="15.75" customHeight="1" s="115">
      <c r="A92" s="5" t="n"/>
      <c r="B92" s="5" t="n"/>
      <c r="C92" s="5" t="n"/>
      <c r="D92" s="5" t="n"/>
      <c r="E92" s="5" t="n"/>
      <c r="F92" s="79" t="n"/>
      <c r="G92" s="5" t="n"/>
    </row>
    <row r="93" ht="15.75" customHeight="1" s="115">
      <c r="A93" s="5" t="n"/>
      <c r="B93" s="5" t="n"/>
      <c r="C93" s="5" t="n"/>
      <c r="D93" s="5" t="n"/>
      <c r="E93" s="5" t="n"/>
      <c r="F93" s="79" t="n"/>
      <c r="G93" s="5" t="n"/>
    </row>
    <row r="94" ht="15.75" customHeight="1" s="115">
      <c r="A94" s="5" t="n"/>
      <c r="B94" s="5" t="n"/>
      <c r="C94" s="5" t="n"/>
      <c r="D94" s="5" t="n"/>
      <c r="E94" s="5" t="n"/>
      <c r="F94" s="79" t="n"/>
      <c r="G94" s="5" t="n"/>
    </row>
    <row r="95" ht="15.75" customHeight="1" s="115">
      <c r="A95" s="5" t="n"/>
      <c r="B95" s="5" t="n"/>
      <c r="C95" s="5" t="n"/>
      <c r="D95" s="5" t="n"/>
      <c r="E95" s="5" t="n"/>
      <c r="F95" s="79" t="n"/>
      <c r="G95" s="5" t="n"/>
    </row>
    <row r="96" ht="15.75" customHeight="1" s="115">
      <c r="A96" s="5" t="n"/>
      <c r="B96" s="5" t="n"/>
      <c r="C96" s="5" t="n"/>
      <c r="D96" s="5" t="n"/>
      <c r="E96" s="5" t="n"/>
      <c r="F96" s="79" t="n"/>
      <c r="G96" s="5" t="n"/>
    </row>
    <row r="97" ht="15.75" customHeight="1" s="115">
      <c r="A97" s="5" t="n"/>
      <c r="B97" s="5" t="n"/>
      <c r="C97" s="5" t="n"/>
      <c r="D97" s="5" t="n"/>
      <c r="E97" s="5" t="n"/>
      <c r="F97" s="79" t="n"/>
      <c r="G97" s="5" t="n"/>
    </row>
    <row r="98" ht="15.75" customHeight="1" s="115">
      <c r="A98" s="5" t="n"/>
      <c r="B98" s="5" t="n"/>
      <c r="C98" s="5" t="n"/>
      <c r="D98" s="5" t="n"/>
      <c r="E98" s="5" t="n"/>
      <c r="F98" s="79" t="n"/>
      <c r="G98" s="5" t="n"/>
    </row>
    <row r="99" ht="15.75" customHeight="1" s="115">
      <c r="A99" s="5" t="n"/>
      <c r="B99" s="5" t="n"/>
      <c r="C99" s="5" t="n"/>
      <c r="D99" s="5" t="n"/>
      <c r="E99" s="5" t="n"/>
      <c r="F99" s="79" t="n"/>
      <c r="G99" s="5" t="n"/>
    </row>
    <row r="100" ht="15.75" customHeight="1" s="115">
      <c r="A100" s="5" t="n"/>
      <c r="B100" s="5" t="n"/>
      <c r="C100" s="5" t="n"/>
      <c r="D100" s="5" t="n"/>
      <c r="E100" s="5" t="n"/>
      <c r="F100" s="79" t="n"/>
      <c r="G100" s="5" t="n"/>
    </row>
    <row r="101" ht="15.75" customHeight="1" s="115">
      <c r="A101" s="5" t="n"/>
      <c r="B101" s="5" t="n"/>
      <c r="C101" s="5" t="n"/>
      <c r="D101" s="5" t="n"/>
      <c r="E101" s="5" t="n"/>
      <c r="F101" s="79" t="n"/>
      <c r="G101" s="5" t="n"/>
    </row>
    <row r="102" ht="15.75" customHeight="1" s="115">
      <c r="A102" s="5" t="n"/>
      <c r="B102" s="5" t="n"/>
      <c r="C102" s="5" t="n"/>
      <c r="D102" s="5" t="n"/>
      <c r="E102" s="5" t="n"/>
      <c r="F102" s="79" t="n"/>
      <c r="G102" s="5" t="n"/>
    </row>
    <row r="103" ht="15.75" customHeight="1" s="115">
      <c r="A103" s="5" t="n"/>
      <c r="B103" s="5" t="n"/>
      <c r="C103" s="5" t="n"/>
      <c r="D103" s="5" t="n"/>
      <c r="E103" s="5" t="n"/>
      <c r="F103" s="79" t="n"/>
      <c r="G103" s="5" t="n"/>
    </row>
    <row r="104" ht="15.75" customHeight="1" s="115">
      <c r="A104" s="5" t="n"/>
      <c r="B104" s="5" t="n"/>
      <c r="C104" s="5" t="n"/>
      <c r="D104" s="5" t="n"/>
      <c r="E104" s="5" t="n"/>
      <c r="F104" s="79" t="n"/>
      <c r="G104" s="5" t="n"/>
    </row>
    <row r="105" ht="15.75" customHeight="1" s="115">
      <c r="A105" s="5" t="n"/>
      <c r="B105" s="5" t="n"/>
      <c r="C105" s="5" t="n"/>
      <c r="D105" s="5" t="n"/>
      <c r="E105" s="5" t="n"/>
      <c r="F105" s="79" t="n"/>
      <c r="G105" s="5" t="n"/>
    </row>
    <row r="106" ht="15.75" customHeight="1" s="115">
      <c r="A106" s="5" t="n"/>
      <c r="B106" s="5" t="n"/>
      <c r="C106" s="5" t="n"/>
      <c r="D106" s="5" t="n"/>
      <c r="E106" s="5" t="n"/>
      <c r="F106" s="79" t="n"/>
      <c r="G106" s="5" t="n"/>
    </row>
    <row r="107" ht="15.75" customHeight="1" s="115">
      <c r="A107" s="5" t="n"/>
      <c r="B107" s="5" t="n"/>
      <c r="C107" s="5" t="n"/>
      <c r="D107" s="5" t="n"/>
      <c r="E107" s="5" t="n"/>
      <c r="F107" s="79" t="n"/>
      <c r="G107" s="5" t="n"/>
    </row>
    <row r="108" ht="15.75" customHeight="1" s="115">
      <c r="A108" s="5" t="n"/>
      <c r="B108" s="5" t="n"/>
      <c r="C108" s="5" t="n"/>
      <c r="D108" s="5" t="n"/>
      <c r="E108" s="5" t="n"/>
      <c r="F108" s="79" t="n"/>
      <c r="G108" s="5" t="n"/>
    </row>
    <row r="109" ht="15.75" customHeight="1" s="115">
      <c r="A109" s="5" t="n"/>
      <c r="B109" s="5" t="n"/>
      <c r="C109" s="5" t="n"/>
      <c r="D109" s="5" t="n"/>
      <c r="E109" s="5" t="n"/>
      <c r="F109" s="79" t="n"/>
      <c r="G109" s="5" t="n"/>
    </row>
    <row r="110" ht="15.75" customHeight="1" s="115">
      <c r="A110" s="5" t="n"/>
      <c r="B110" s="5" t="n"/>
      <c r="C110" s="5" t="n"/>
      <c r="D110" s="5" t="n"/>
      <c r="E110" s="5" t="n"/>
      <c r="F110" s="79" t="n"/>
      <c r="G110" s="5" t="n"/>
    </row>
    <row r="111" ht="15.75" customHeight="1" s="115">
      <c r="A111" s="5" t="n"/>
      <c r="B111" s="5" t="n"/>
      <c r="C111" s="5" t="n"/>
      <c r="D111" s="5" t="n"/>
      <c r="E111" s="5" t="n"/>
      <c r="F111" s="79" t="n"/>
      <c r="G111" s="5" t="n"/>
    </row>
    <row r="112" ht="15.75" customHeight="1" s="115">
      <c r="A112" s="5" t="n"/>
      <c r="B112" s="5" t="n"/>
      <c r="C112" s="5" t="n"/>
      <c r="D112" s="5" t="n"/>
      <c r="E112" s="5" t="n"/>
      <c r="F112" s="79" t="n"/>
      <c r="G112" s="5" t="n"/>
    </row>
    <row r="113" ht="15.75" customHeight="1" s="115">
      <c r="A113" s="5" t="n"/>
      <c r="B113" s="5" t="n"/>
      <c r="C113" s="5" t="n"/>
      <c r="D113" s="5" t="n"/>
      <c r="E113" s="5" t="n"/>
      <c r="F113" s="79" t="n"/>
      <c r="G113" s="5" t="n"/>
    </row>
    <row r="114" ht="15.75" customHeight="1" s="115">
      <c r="A114" s="5" t="n"/>
      <c r="B114" s="5" t="n"/>
      <c r="C114" s="5" t="n"/>
      <c r="D114" s="5" t="n"/>
      <c r="E114" s="5" t="n"/>
      <c r="F114" s="79" t="n"/>
      <c r="G114" s="5" t="n"/>
    </row>
    <row r="115" ht="15.75" customHeight="1" s="115">
      <c r="A115" s="5" t="n"/>
      <c r="B115" s="5" t="n"/>
      <c r="C115" s="5" t="n"/>
      <c r="D115" s="5" t="n"/>
      <c r="E115" s="5" t="n"/>
      <c r="F115" s="79" t="n"/>
      <c r="G115" s="5" t="n"/>
    </row>
    <row r="116" ht="15.75" customHeight="1" s="115">
      <c r="A116" s="5" t="n"/>
      <c r="B116" s="5" t="n"/>
      <c r="C116" s="5" t="n"/>
      <c r="D116" s="5" t="n"/>
      <c r="E116" s="5" t="n"/>
      <c r="F116" s="79" t="n"/>
      <c r="G116" s="5" t="n"/>
    </row>
    <row r="117" ht="15.75" customHeight="1" s="115">
      <c r="A117" s="5" t="n"/>
      <c r="B117" s="5" t="n"/>
      <c r="C117" s="5" t="n"/>
      <c r="D117" s="5" t="n"/>
      <c r="E117" s="5" t="n"/>
      <c r="F117" s="79" t="n"/>
      <c r="G117" s="5" t="n"/>
    </row>
    <row r="118" ht="15.75" customHeight="1" s="115">
      <c r="A118" s="5" t="n"/>
      <c r="B118" s="5" t="n"/>
      <c r="C118" s="5" t="n"/>
      <c r="D118" s="5" t="n"/>
      <c r="E118" s="5" t="n"/>
      <c r="F118" s="79" t="n"/>
      <c r="G118" s="5" t="n"/>
    </row>
    <row r="119" ht="15.75" customHeight="1" s="115">
      <c r="A119" s="5" t="n"/>
      <c r="B119" s="5" t="n"/>
      <c r="C119" s="5" t="n"/>
      <c r="D119" s="5" t="n"/>
      <c r="E119" s="5" t="n"/>
      <c r="F119" s="79" t="n"/>
      <c r="G119" s="5" t="n"/>
    </row>
    <row r="120" ht="15.75" customHeight="1" s="115">
      <c r="A120" s="5" t="n"/>
      <c r="B120" s="5" t="n"/>
      <c r="C120" s="5" t="n"/>
      <c r="D120" s="5" t="n"/>
      <c r="E120" s="5" t="n"/>
      <c r="F120" s="79" t="n"/>
      <c r="G120" s="5" t="n"/>
    </row>
    <row r="121" ht="15.75" customHeight="1" s="115">
      <c r="A121" s="5" t="n"/>
      <c r="B121" s="5" t="n"/>
      <c r="C121" s="5" t="n"/>
      <c r="D121" s="5" t="n"/>
      <c r="E121" s="5" t="n"/>
      <c r="F121" s="79" t="n"/>
      <c r="G121" s="5" t="n"/>
    </row>
    <row r="122" ht="15.75" customHeight="1" s="115">
      <c r="A122" s="5" t="n"/>
      <c r="B122" s="5" t="n"/>
      <c r="C122" s="5" t="n"/>
      <c r="D122" s="5" t="n"/>
      <c r="E122" s="5" t="n"/>
      <c r="F122" s="79" t="n"/>
      <c r="G122" s="5" t="n"/>
    </row>
    <row r="123" ht="15.75" customHeight="1" s="115">
      <c r="A123" s="5" t="n"/>
      <c r="B123" s="5" t="n"/>
      <c r="C123" s="5" t="n"/>
      <c r="D123" s="5" t="n"/>
      <c r="E123" s="5" t="n"/>
      <c r="F123" s="79" t="n"/>
      <c r="G123" s="5" t="n"/>
    </row>
    <row r="124" ht="15.75" customHeight="1" s="115">
      <c r="A124" s="5" t="n"/>
      <c r="B124" s="5" t="n"/>
      <c r="C124" s="5" t="n"/>
      <c r="D124" s="5" t="n"/>
      <c r="E124" s="5" t="n"/>
      <c r="F124" s="79" t="n"/>
      <c r="G124" s="5" t="n"/>
    </row>
    <row r="125" ht="15.75" customHeight="1" s="115">
      <c r="A125" s="5" t="n"/>
      <c r="B125" s="5" t="n"/>
      <c r="C125" s="5" t="n"/>
      <c r="D125" s="5" t="n"/>
      <c r="E125" s="5" t="n"/>
      <c r="F125" s="79" t="n"/>
      <c r="G125" s="5" t="n"/>
    </row>
    <row r="126" ht="15.75" customHeight="1" s="115">
      <c r="A126" s="5" t="n"/>
      <c r="B126" s="5" t="n"/>
      <c r="C126" s="5" t="n"/>
      <c r="D126" s="5" t="n"/>
      <c r="E126" s="5" t="n"/>
      <c r="F126" s="79" t="n"/>
      <c r="G126" s="5" t="n"/>
    </row>
    <row r="127" ht="15.75" customHeight="1" s="115">
      <c r="A127" s="5" t="n"/>
      <c r="B127" s="5" t="n"/>
      <c r="C127" s="5" t="n"/>
      <c r="D127" s="5" t="n"/>
      <c r="E127" s="5" t="n"/>
      <c r="F127" s="79" t="n"/>
      <c r="G127" s="5" t="n"/>
    </row>
    <row r="128" ht="15.75" customHeight="1" s="115">
      <c r="A128" s="5" t="n"/>
      <c r="B128" s="5" t="n"/>
      <c r="C128" s="5" t="n"/>
      <c r="D128" s="5" t="n"/>
      <c r="E128" s="5" t="n"/>
      <c r="F128" s="79" t="n"/>
      <c r="G128" s="5" t="n"/>
    </row>
    <row r="129" ht="15.75" customHeight="1" s="115">
      <c r="A129" s="5" t="n"/>
      <c r="B129" s="5" t="n"/>
      <c r="C129" s="5" t="n"/>
      <c r="D129" s="5" t="n"/>
      <c r="E129" s="5" t="n"/>
      <c r="F129" s="79" t="n"/>
      <c r="G129" s="5" t="n"/>
    </row>
    <row r="130" ht="15.75" customHeight="1" s="115">
      <c r="A130" s="5" t="n"/>
      <c r="B130" s="5" t="n"/>
      <c r="C130" s="5" t="n"/>
      <c r="D130" s="5" t="n"/>
      <c r="E130" s="5" t="n"/>
      <c r="F130" s="79" t="n"/>
      <c r="G130" s="5" t="n"/>
    </row>
    <row r="131" ht="15.75" customHeight="1" s="115">
      <c r="A131" s="5" t="n"/>
      <c r="B131" s="5" t="n"/>
      <c r="C131" s="5" t="n"/>
      <c r="D131" s="5" t="n"/>
      <c r="E131" s="5" t="n"/>
      <c r="F131" s="79" t="n"/>
      <c r="G131" s="5" t="n"/>
    </row>
    <row r="132" ht="15.75" customHeight="1" s="115">
      <c r="A132" s="5" t="n"/>
      <c r="B132" s="5" t="n"/>
      <c r="C132" s="5" t="n"/>
      <c r="D132" s="5" t="n"/>
      <c r="E132" s="5" t="n"/>
      <c r="F132" s="79" t="n"/>
      <c r="G132" s="5" t="n"/>
    </row>
    <row r="133" ht="15.75" customHeight="1" s="115">
      <c r="A133" s="5" t="n"/>
      <c r="B133" s="5" t="n"/>
      <c r="C133" s="5" t="n"/>
      <c r="D133" s="5" t="n"/>
      <c r="E133" s="5" t="n"/>
      <c r="F133" s="79" t="n"/>
      <c r="G133" s="5" t="n"/>
    </row>
    <row r="134" ht="15.75" customHeight="1" s="115">
      <c r="A134" s="5" t="n"/>
      <c r="B134" s="5" t="n"/>
      <c r="C134" s="5" t="n"/>
      <c r="D134" s="5" t="n"/>
      <c r="E134" s="5" t="n"/>
      <c r="F134" s="79" t="n"/>
      <c r="G134" s="5" t="n"/>
    </row>
    <row r="135" ht="15.75" customHeight="1" s="115">
      <c r="A135" s="5" t="n"/>
      <c r="B135" s="5" t="n"/>
      <c r="C135" s="5" t="n"/>
      <c r="D135" s="5" t="n"/>
      <c r="E135" s="5" t="n"/>
      <c r="F135" s="79" t="n"/>
      <c r="G135" s="5" t="n"/>
    </row>
    <row r="136" ht="15.75" customHeight="1" s="115">
      <c r="A136" s="5" t="n"/>
      <c r="B136" s="5" t="n"/>
      <c r="C136" s="5" t="n"/>
      <c r="D136" s="5" t="n"/>
      <c r="E136" s="5" t="n"/>
      <c r="F136" s="79" t="n"/>
      <c r="G136" s="5" t="n"/>
    </row>
    <row r="137" ht="15.75" customHeight="1" s="115">
      <c r="A137" s="5" t="n"/>
      <c r="B137" s="5" t="n"/>
      <c r="C137" s="5" t="n"/>
      <c r="D137" s="5" t="n"/>
      <c r="E137" s="5" t="n"/>
      <c r="F137" s="79" t="n"/>
      <c r="G137" s="5" t="n"/>
    </row>
    <row r="138" ht="15.75" customHeight="1" s="115">
      <c r="A138" s="5" t="n"/>
      <c r="B138" s="5" t="n"/>
      <c r="C138" s="5" t="n"/>
      <c r="D138" s="5" t="n"/>
      <c r="E138" s="5" t="n"/>
      <c r="F138" s="79" t="n"/>
      <c r="G138" s="5" t="n"/>
    </row>
    <row r="139" ht="15.75" customHeight="1" s="115">
      <c r="A139" s="5" t="n"/>
      <c r="B139" s="5" t="n"/>
      <c r="C139" s="5" t="n"/>
      <c r="D139" s="5" t="n"/>
      <c r="E139" s="5" t="n"/>
      <c r="F139" s="79" t="n"/>
      <c r="G139" s="5" t="n"/>
    </row>
    <row r="140" ht="15.75" customHeight="1" s="115">
      <c r="A140" s="5" t="n"/>
      <c r="B140" s="5" t="n"/>
      <c r="C140" s="5" t="n"/>
      <c r="D140" s="5" t="n"/>
      <c r="E140" s="5" t="n"/>
      <c r="F140" s="79" t="n"/>
      <c r="G140" s="5" t="n"/>
    </row>
    <row r="141" ht="15.75" customHeight="1" s="115">
      <c r="A141" s="5" t="n"/>
      <c r="B141" s="5" t="n"/>
      <c r="C141" s="5" t="n"/>
      <c r="D141" s="5" t="n"/>
      <c r="E141" s="5" t="n"/>
      <c r="F141" s="79" t="n"/>
      <c r="G141" s="5" t="n"/>
    </row>
    <row r="142" ht="15.75" customHeight="1" s="115">
      <c r="A142" s="5" t="n"/>
      <c r="B142" s="5" t="n"/>
      <c r="C142" s="5" t="n"/>
      <c r="D142" s="5" t="n"/>
      <c r="E142" s="5" t="n"/>
      <c r="F142" s="79" t="n"/>
      <c r="G142" s="5" t="n"/>
    </row>
    <row r="143" ht="15.75" customHeight="1" s="115">
      <c r="A143" s="5" t="n"/>
      <c r="B143" s="5" t="n"/>
      <c r="C143" s="5" t="n"/>
      <c r="D143" s="5" t="n"/>
      <c r="E143" s="5" t="n"/>
      <c r="F143" s="79" t="n"/>
      <c r="G143" s="5" t="n"/>
    </row>
    <row r="144" ht="15.75" customHeight="1" s="115">
      <c r="A144" s="5" t="n"/>
      <c r="B144" s="5" t="n"/>
      <c r="C144" s="5" t="n"/>
      <c r="D144" s="5" t="n"/>
      <c r="E144" s="5" t="n"/>
      <c r="F144" s="79" t="n"/>
      <c r="G144" s="5" t="n"/>
    </row>
    <row r="145" ht="15.75" customHeight="1" s="115">
      <c r="A145" s="5" t="n"/>
      <c r="B145" s="5" t="n"/>
      <c r="C145" s="5" t="n"/>
      <c r="D145" s="5" t="n"/>
      <c r="E145" s="5" t="n"/>
      <c r="F145" s="79" t="n"/>
      <c r="G145" s="5" t="n"/>
    </row>
    <row r="146" ht="15.75" customHeight="1" s="115">
      <c r="A146" s="5" t="n"/>
      <c r="B146" s="5" t="n"/>
      <c r="C146" s="5" t="n"/>
      <c r="D146" s="5" t="n"/>
      <c r="E146" s="5" t="n"/>
      <c r="F146" s="79" t="n"/>
      <c r="G146" s="5" t="n"/>
    </row>
    <row r="147" ht="15.75" customHeight="1" s="115">
      <c r="A147" s="5" t="n"/>
      <c r="B147" s="5" t="n"/>
      <c r="C147" s="5" t="n"/>
      <c r="D147" s="5" t="n"/>
      <c r="E147" s="5" t="n"/>
      <c r="F147" s="79" t="n"/>
      <c r="G147" s="5" t="n"/>
    </row>
    <row r="148" ht="15.75" customHeight="1" s="115">
      <c r="A148" s="5" t="n"/>
      <c r="B148" s="5" t="n"/>
      <c r="C148" s="5" t="n"/>
      <c r="D148" s="5" t="n"/>
      <c r="E148" s="5" t="n"/>
      <c r="F148" s="79" t="n"/>
      <c r="G148" s="5" t="n"/>
    </row>
    <row r="149" ht="15.75" customHeight="1" s="115">
      <c r="A149" s="5" t="n"/>
      <c r="B149" s="5" t="n"/>
      <c r="C149" s="5" t="n"/>
      <c r="D149" s="5" t="n"/>
      <c r="E149" s="5" t="n"/>
      <c r="F149" s="79" t="n"/>
      <c r="G149" s="5" t="n"/>
    </row>
    <row r="150" ht="15.75" customHeight="1" s="115">
      <c r="A150" s="5" t="n"/>
      <c r="B150" s="5" t="n"/>
      <c r="C150" s="5" t="n"/>
      <c r="D150" s="5" t="n"/>
      <c r="E150" s="5" t="n"/>
      <c r="F150" s="79" t="n"/>
      <c r="G150" s="5" t="n"/>
    </row>
    <row r="151" ht="15.75" customHeight="1" s="115">
      <c r="A151" s="5" t="n"/>
      <c r="B151" s="5" t="n"/>
      <c r="C151" s="5" t="n"/>
      <c r="D151" s="5" t="n"/>
      <c r="E151" s="5" t="n"/>
      <c r="F151" s="79" t="n"/>
      <c r="G151" s="5" t="n"/>
    </row>
    <row r="152" ht="15.75" customHeight="1" s="115">
      <c r="A152" s="5" t="n"/>
      <c r="B152" s="5" t="n"/>
      <c r="C152" s="5" t="n"/>
      <c r="D152" s="5" t="n"/>
      <c r="E152" s="5" t="n"/>
      <c r="F152" s="79" t="n"/>
      <c r="G152" s="5" t="n"/>
    </row>
    <row r="153" ht="15.75" customHeight="1" s="115">
      <c r="A153" s="5" t="n"/>
      <c r="B153" s="5" t="n"/>
      <c r="C153" s="5" t="n"/>
      <c r="D153" s="5" t="n"/>
      <c r="E153" s="5" t="n"/>
      <c r="F153" s="79" t="n"/>
      <c r="G153" s="5" t="n"/>
    </row>
    <row r="154" ht="15.75" customHeight="1" s="115">
      <c r="A154" s="5" t="n"/>
      <c r="B154" s="5" t="n"/>
      <c r="C154" s="5" t="n"/>
      <c r="D154" s="5" t="n"/>
      <c r="E154" s="5" t="n"/>
      <c r="F154" s="79" t="n"/>
      <c r="G154" s="5" t="n"/>
    </row>
    <row r="155" ht="15.75" customHeight="1" s="115">
      <c r="A155" s="5" t="n"/>
      <c r="B155" s="5" t="n"/>
      <c r="C155" s="5" t="n"/>
      <c r="D155" s="5" t="n"/>
      <c r="E155" s="5" t="n"/>
      <c r="F155" s="79" t="n"/>
      <c r="G155" s="5" t="n"/>
    </row>
    <row r="156" ht="15.75" customHeight="1" s="115">
      <c r="A156" s="5" t="n"/>
      <c r="B156" s="5" t="n"/>
      <c r="C156" s="5" t="n"/>
      <c r="D156" s="5" t="n"/>
      <c r="E156" s="5" t="n"/>
      <c r="F156" s="79" t="n"/>
      <c r="G156" s="5" t="n"/>
    </row>
    <row r="157" ht="15.75" customHeight="1" s="115">
      <c r="A157" s="5" t="n"/>
      <c r="B157" s="5" t="n"/>
      <c r="C157" s="5" t="n"/>
      <c r="D157" s="5" t="n"/>
      <c r="E157" s="5" t="n"/>
      <c r="F157" s="79" t="n"/>
      <c r="G157" s="5" t="n"/>
    </row>
    <row r="158" ht="15.75" customHeight="1" s="115">
      <c r="A158" s="5" t="n"/>
      <c r="B158" s="5" t="n"/>
      <c r="C158" s="5" t="n"/>
      <c r="D158" s="5" t="n"/>
      <c r="E158" s="5" t="n"/>
      <c r="F158" s="79" t="n"/>
      <c r="G158" s="5" t="n"/>
    </row>
    <row r="159" ht="15.75" customHeight="1" s="115">
      <c r="A159" s="5" t="n"/>
      <c r="B159" s="5" t="n"/>
      <c r="C159" s="5" t="n"/>
      <c r="D159" s="5" t="n"/>
      <c r="E159" s="5" t="n"/>
      <c r="F159" s="79" t="n"/>
      <c r="G159" s="5" t="n"/>
    </row>
    <row r="160" ht="15.75" customHeight="1" s="115">
      <c r="A160" s="5" t="n"/>
      <c r="B160" s="5" t="n"/>
      <c r="C160" s="5" t="n"/>
      <c r="D160" s="5" t="n"/>
      <c r="E160" s="5" t="n"/>
      <c r="F160" s="79" t="n"/>
      <c r="G160" s="5" t="n"/>
    </row>
    <row r="161" ht="15.75" customHeight="1" s="115">
      <c r="A161" s="5" t="n"/>
      <c r="B161" s="5" t="n"/>
      <c r="C161" s="5" t="n"/>
      <c r="D161" s="5" t="n"/>
      <c r="E161" s="5" t="n"/>
      <c r="F161" s="79" t="n"/>
      <c r="G161" s="5" t="n"/>
    </row>
    <row r="162" ht="15.75" customHeight="1" s="115">
      <c r="A162" s="5" t="n"/>
      <c r="B162" s="5" t="n"/>
      <c r="C162" s="5" t="n"/>
      <c r="D162" s="5" t="n"/>
      <c r="E162" s="5" t="n"/>
      <c r="F162" s="79" t="n"/>
      <c r="G162" s="5" t="n"/>
    </row>
    <row r="163" ht="15.75" customHeight="1" s="115">
      <c r="A163" s="5" t="n"/>
      <c r="B163" s="5" t="n"/>
      <c r="C163" s="5" t="n"/>
      <c r="D163" s="5" t="n"/>
      <c r="E163" s="5" t="n"/>
      <c r="F163" s="79" t="n"/>
      <c r="G163" s="5" t="n"/>
    </row>
    <row r="164" ht="15.75" customHeight="1" s="115">
      <c r="A164" s="5" t="n"/>
      <c r="B164" s="5" t="n"/>
      <c r="C164" s="5" t="n"/>
      <c r="D164" s="5" t="n"/>
      <c r="E164" s="5" t="n"/>
      <c r="F164" s="79" t="n"/>
      <c r="G164" s="5" t="n"/>
    </row>
    <row r="165" ht="15.75" customHeight="1" s="115">
      <c r="A165" s="5" t="n"/>
      <c r="B165" s="5" t="n"/>
      <c r="C165" s="5" t="n"/>
      <c r="D165" s="5" t="n"/>
      <c r="E165" s="5" t="n"/>
      <c r="F165" s="79" t="n"/>
      <c r="G165" s="5" t="n"/>
    </row>
    <row r="166" ht="15.75" customHeight="1" s="115">
      <c r="A166" s="5" t="n"/>
      <c r="B166" s="5" t="n"/>
      <c r="C166" s="5" t="n"/>
      <c r="D166" s="5" t="n"/>
      <c r="E166" s="5" t="n"/>
      <c r="F166" s="79" t="n"/>
      <c r="G166" s="5" t="n"/>
    </row>
    <row r="167" ht="15.75" customHeight="1" s="115">
      <c r="A167" s="5" t="n"/>
      <c r="B167" s="5" t="n"/>
      <c r="C167" s="5" t="n"/>
      <c r="D167" s="5" t="n"/>
      <c r="E167" s="5" t="n"/>
      <c r="F167" s="79" t="n"/>
      <c r="G167" s="5" t="n"/>
    </row>
    <row r="168" ht="15.75" customHeight="1" s="115">
      <c r="A168" s="5" t="n"/>
      <c r="B168" s="5" t="n"/>
      <c r="C168" s="5" t="n"/>
      <c r="D168" s="5" t="n"/>
      <c r="E168" s="5" t="n"/>
      <c r="F168" s="79" t="n"/>
      <c r="G168" s="5" t="n"/>
    </row>
    <row r="169" ht="15.75" customHeight="1" s="115">
      <c r="A169" s="5" t="n"/>
      <c r="B169" s="5" t="n"/>
      <c r="C169" s="5" t="n"/>
      <c r="D169" s="5" t="n"/>
      <c r="E169" s="5" t="n"/>
      <c r="F169" s="79" t="n"/>
      <c r="G169" s="5" t="n"/>
    </row>
    <row r="170" ht="15.75" customHeight="1" s="115">
      <c r="A170" s="5" t="n"/>
      <c r="B170" s="5" t="n"/>
      <c r="C170" s="5" t="n"/>
      <c r="D170" s="5" t="n"/>
      <c r="E170" s="5" t="n"/>
      <c r="F170" s="79" t="n"/>
      <c r="G170" s="5" t="n"/>
    </row>
    <row r="171" ht="15.75" customHeight="1" s="115">
      <c r="A171" s="5" t="n"/>
      <c r="B171" s="5" t="n"/>
      <c r="C171" s="5" t="n"/>
      <c r="D171" s="5" t="n"/>
      <c r="E171" s="5" t="n"/>
      <c r="F171" s="79" t="n"/>
      <c r="G171" s="5" t="n"/>
    </row>
    <row r="172" ht="15.75" customHeight="1" s="115">
      <c r="A172" s="5" t="n"/>
      <c r="B172" s="5" t="n"/>
      <c r="C172" s="5" t="n"/>
      <c r="D172" s="5" t="n"/>
      <c r="E172" s="5" t="n"/>
      <c r="F172" s="79" t="n"/>
      <c r="G172" s="5" t="n"/>
    </row>
    <row r="173" ht="15.75" customHeight="1" s="115">
      <c r="A173" s="5" t="n"/>
      <c r="B173" s="5" t="n"/>
      <c r="C173" s="5" t="n"/>
      <c r="D173" s="5" t="n"/>
      <c r="E173" s="5" t="n"/>
      <c r="F173" s="79" t="n"/>
      <c r="G173" s="5" t="n"/>
    </row>
    <row r="174" ht="15.75" customHeight="1" s="115">
      <c r="A174" s="5" t="n"/>
      <c r="B174" s="5" t="n"/>
      <c r="C174" s="5" t="n"/>
      <c r="D174" s="5" t="n"/>
      <c r="E174" s="5" t="n"/>
      <c r="F174" s="79" t="n"/>
      <c r="G174" s="5" t="n"/>
    </row>
    <row r="175" ht="15.75" customHeight="1" s="115">
      <c r="A175" s="5" t="n"/>
      <c r="B175" s="5" t="n"/>
      <c r="C175" s="5" t="n"/>
      <c r="D175" s="5" t="n"/>
      <c r="E175" s="5" t="n"/>
      <c r="F175" s="79" t="n"/>
      <c r="G175" s="5" t="n"/>
    </row>
    <row r="176" ht="15.75" customHeight="1" s="115">
      <c r="A176" s="5" t="n"/>
      <c r="B176" s="5" t="n"/>
      <c r="C176" s="5" t="n"/>
      <c r="D176" s="5" t="n"/>
      <c r="E176" s="5" t="n"/>
      <c r="F176" s="79" t="n"/>
      <c r="G176" s="5" t="n"/>
    </row>
    <row r="177" ht="15.75" customHeight="1" s="115">
      <c r="A177" s="5" t="n"/>
      <c r="B177" s="5" t="n"/>
      <c r="C177" s="5" t="n"/>
      <c r="D177" s="5" t="n"/>
      <c r="E177" s="5" t="n"/>
      <c r="F177" s="79" t="n"/>
      <c r="G177" s="5" t="n"/>
    </row>
    <row r="178" ht="15.75" customHeight="1" s="115">
      <c r="A178" s="5" t="n"/>
      <c r="B178" s="5" t="n"/>
      <c r="C178" s="5" t="n"/>
      <c r="D178" s="5" t="n"/>
      <c r="E178" s="5" t="n"/>
      <c r="F178" s="79" t="n"/>
      <c r="G178" s="5" t="n"/>
    </row>
    <row r="179" ht="15.75" customHeight="1" s="115">
      <c r="A179" s="5" t="n"/>
      <c r="B179" s="5" t="n"/>
      <c r="C179" s="5" t="n"/>
      <c r="D179" s="5" t="n"/>
      <c r="E179" s="5" t="n"/>
      <c r="F179" s="79" t="n"/>
      <c r="G179" s="5" t="n"/>
    </row>
    <row r="180" ht="15.75" customHeight="1" s="115">
      <c r="A180" s="5" t="n"/>
      <c r="B180" s="5" t="n"/>
      <c r="C180" s="5" t="n"/>
      <c r="D180" s="5" t="n"/>
      <c r="E180" s="5" t="n"/>
      <c r="F180" s="79" t="n"/>
      <c r="G180" s="5" t="n"/>
    </row>
    <row r="181" ht="15.75" customHeight="1" s="115">
      <c r="A181" s="5" t="n"/>
      <c r="B181" s="5" t="n"/>
      <c r="C181" s="5" t="n"/>
      <c r="D181" s="5" t="n"/>
      <c r="E181" s="5" t="n"/>
      <c r="F181" s="79" t="n"/>
      <c r="G181" s="5" t="n"/>
    </row>
    <row r="182" ht="15.75" customHeight="1" s="115">
      <c r="A182" s="5" t="n"/>
      <c r="B182" s="5" t="n"/>
      <c r="C182" s="5" t="n"/>
      <c r="D182" s="5" t="n"/>
      <c r="E182" s="5" t="n"/>
      <c r="F182" s="79" t="n"/>
      <c r="G182" s="5" t="n"/>
    </row>
    <row r="183" ht="15.75" customHeight="1" s="115">
      <c r="A183" s="5" t="n"/>
      <c r="B183" s="5" t="n"/>
      <c r="C183" s="5" t="n"/>
      <c r="D183" s="5" t="n"/>
      <c r="E183" s="5" t="n"/>
      <c r="F183" s="79" t="n"/>
      <c r="G183" s="5" t="n"/>
    </row>
    <row r="184" ht="15.75" customHeight="1" s="115">
      <c r="A184" s="5" t="n"/>
      <c r="B184" s="5" t="n"/>
      <c r="C184" s="5" t="n"/>
      <c r="D184" s="5" t="n"/>
      <c r="E184" s="5" t="n"/>
      <c r="F184" s="79" t="n"/>
      <c r="G184" s="5" t="n"/>
    </row>
    <row r="185" ht="15.75" customHeight="1" s="115">
      <c r="A185" s="5" t="n"/>
      <c r="B185" s="5" t="n"/>
      <c r="C185" s="5" t="n"/>
      <c r="D185" s="5" t="n"/>
      <c r="E185" s="5" t="n"/>
      <c r="F185" s="79" t="n"/>
      <c r="G185" s="5" t="n"/>
    </row>
    <row r="186" ht="15.75" customHeight="1" s="115">
      <c r="A186" s="5" t="n"/>
      <c r="B186" s="5" t="n"/>
      <c r="C186" s="5" t="n"/>
      <c r="D186" s="5" t="n"/>
      <c r="E186" s="5" t="n"/>
      <c r="F186" s="79" t="n"/>
      <c r="G186" s="5" t="n"/>
    </row>
    <row r="187" ht="15.75" customHeight="1" s="115">
      <c r="A187" s="5" t="n"/>
      <c r="B187" s="5" t="n"/>
      <c r="C187" s="5" t="n"/>
      <c r="D187" s="5" t="n"/>
      <c r="E187" s="5" t="n"/>
      <c r="F187" s="79" t="n"/>
      <c r="G187" s="5" t="n"/>
    </row>
    <row r="188" ht="15.75" customHeight="1" s="115">
      <c r="A188" s="5" t="n"/>
      <c r="B188" s="5" t="n"/>
      <c r="C188" s="5" t="n"/>
      <c r="D188" s="5" t="n"/>
      <c r="E188" s="5" t="n"/>
      <c r="F188" s="79" t="n"/>
      <c r="G188" s="5" t="n"/>
    </row>
    <row r="189" ht="15.75" customHeight="1" s="115">
      <c r="A189" s="5" t="n"/>
      <c r="B189" s="5" t="n"/>
      <c r="C189" s="5" t="n"/>
      <c r="D189" s="5" t="n"/>
      <c r="E189" s="5" t="n"/>
      <c r="F189" s="79" t="n"/>
      <c r="G189" s="5" t="n"/>
    </row>
    <row r="190" ht="15.75" customHeight="1" s="115">
      <c r="A190" s="5" t="n"/>
      <c r="B190" s="5" t="n"/>
      <c r="C190" s="5" t="n"/>
      <c r="D190" s="5" t="n"/>
      <c r="E190" s="5" t="n"/>
      <c r="F190" s="79" t="n"/>
      <c r="G190" s="5" t="n"/>
    </row>
    <row r="191" ht="15.75" customHeight="1" s="115">
      <c r="A191" s="5" t="n"/>
      <c r="B191" s="5" t="n"/>
      <c r="C191" s="5" t="n"/>
      <c r="D191" s="5" t="n"/>
      <c r="E191" s="5" t="n"/>
      <c r="F191" s="79" t="n"/>
      <c r="G191" s="5" t="n"/>
    </row>
    <row r="192" ht="15.75" customHeight="1" s="115">
      <c r="A192" s="5" t="n"/>
      <c r="B192" s="5" t="n"/>
      <c r="C192" s="5" t="n"/>
      <c r="D192" s="5" t="n"/>
      <c r="E192" s="5" t="n"/>
      <c r="F192" s="79" t="n"/>
      <c r="G192" s="5" t="n"/>
    </row>
    <row r="193" ht="15.75" customHeight="1" s="115">
      <c r="A193" s="5" t="n"/>
      <c r="B193" s="5" t="n"/>
      <c r="C193" s="5" t="n"/>
      <c r="D193" s="5" t="n"/>
      <c r="E193" s="5" t="n"/>
      <c r="F193" s="79" t="n"/>
      <c r="G193" s="5" t="n"/>
    </row>
    <row r="194" ht="15.75" customHeight="1" s="115">
      <c r="A194" s="5" t="n"/>
      <c r="B194" s="5" t="n"/>
      <c r="C194" s="5" t="n"/>
      <c r="D194" s="5" t="n"/>
      <c r="E194" s="5" t="n"/>
      <c r="F194" s="79" t="n"/>
      <c r="G194" s="5" t="n"/>
    </row>
    <row r="195" ht="15.75" customHeight="1" s="115">
      <c r="A195" s="5" t="n"/>
      <c r="B195" s="5" t="n"/>
      <c r="C195" s="5" t="n"/>
      <c r="D195" s="5" t="n"/>
      <c r="E195" s="5" t="n"/>
      <c r="F195" s="79" t="n"/>
      <c r="G195" s="5" t="n"/>
    </row>
    <row r="196" ht="15.75" customHeight="1" s="115">
      <c r="A196" s="5" t="n"/>
      <c r="B196" s="5" t="n"/>
      <c r="C196" s="5" t="n"/>
      <c r="D196" s="5" t="n"/>
      <c r="E196" s="5" t="n"/>
      <c r="F196" s="79" t="n"/>
      <c r="G196" s="5" t="n"/>
    </row>
    <row r="197" ht="15.75" customHeight="1" s="115">
      <c r="A197" s="5" t="n"/>
      <c r="B197" s="5" t="n"/>
      <c r="C197" s="5" t="n"/>
      <c r="D197" s="5" t="n"/>
      <c r="E197" s="5" t="n"/>
      <c r="F197" s="79" t="n"/>
      <c r="G197" s="5" t="n"/>
    </row>
    <row r="198" ht="15.75" customHeight="1" s="115">
      <c r="A198" s="5" t="n"/>
      <c r="B198" s="5" t="n"/>
      <c r="C198" s="5" t="n"/>
      <c r="D198" s="5" t="n"/>
      <c r="E198" s="5" t="n"/>
      <c r="F198" s="79" t="n"/>
      <c r="G198" s="5" t="n"/>
    </row>
    <row r="199" ht="15.75" customHeight="1" s="115">
      <c r="A199" s="5" t="n"/>
      <c r="B199" s="5" t="n"/>
      <c r="C199" s="5" t="n"/>
      <c r="D199" s="5" t="n"/>
      <c r="E199" s="5" t="n"/>
      <c r="F199" s="79" t="n"/>
      <c r="G199" s="5" t="n"/>
    </row>
    <row r="200" ht="15.75" customHeight="1" s="115">
      <c r="A200" s="5" t="n"/>
      <c r="B200" s="5" t="n"/>
      <c r="C200" s="5" t="n"/>
      <c r="D200" s="5" t="n"/>
      <c r="E200" s="5" t="n"/>
      <c r="F200" s="79" t="n"/>
      <c r="G200" s="5" t="n"/>
    </row>
    <row r="201" ht="15.75" customHeight="1" s="115">
      <c r="A201" s="5" t="n"/>
      <c r="B201" s="5" t="n"/>
      <c r="C201" s="5" t="n"/>
      <c r="D201" s="5" t="n"/>
      <c r="E201" s="5" t="n"/>
      <c r="F201" s="79" t="n"/>
      <c r="G201" s="5" t="n"/>
    </row>
    <row r="202" ht="15.75" customHeight="1" s="115">
      <c r="A202" s="5" t="n"/>
      <c r="B202" s="5" t="n"/>
      <c r="C202" s="5" t="n"/>
      <c r="D202" s="5" t="n"/>
      <c r="E202" s="5" t="n"/>
      <c r="F202" s="79" t="n"/>
      <c r="G202" s="5" t="n"/>
    </row>
    <row r="203" ht="15.75" customHeight="1" s="115">
      <c r="A203" s="5" t="n"/>
      <c r="B203" s="5" t="n"/>
      <c r="C203" s="5" t="n"/>
      <c r="D203" s="5" t="n"/>
      <c r="E203" s="5" t="n"/>
      <c r="F203" s="79" t="n"/>
      <c r="G203" s="5" t="n"/>
    </row>
    <row r="204" ht="15.75" customHeight="1" s="115">
      <c r="A204" s="5" t="n"/>
      <c r="B204" s="5" t="n"/>
      <c r="C204" s="5" t="n"/>
      <c r="D204" s="5" t="n"/>
      <c r="E204" s="5" t="n"/>
      <c r="F204" s="79" t="n"/>
      <c r="G204" s="5" t="n"/>
    </row>
    <row r="205" ht="15.75" customHeight="1" s="115">
      <c r="A205" s="5" t="n"/>
      <c r="B205" s="5" t="n"/>
      <c r="C205" s="5" t="n"/>
      <c r="D205" s="5" t="n"/>
      <c r="E205" s="5" t="n"/>
      <c r="F205" s="79" t="n"/>
      <c r="G205" s="5" t="n"/>
    </row>
    <row r="206" ht="15.75" customHeight="1" s="115">
      <c r="A206" s="5" t="n"/>
      <c r="B206" s="5" t="n"/>
      <c r="C206" s="5" t="n"/>
      <c r="D206" s="5" t="n"/>
      <c r="E206" s="5" t="n"/>
      <c r="F206" s="79" t="n"/>
      <c r="G206" s="5" t="n"/>
    </row>
    <row r="207" ht="15.75" customHeight="1" s="115">
      <c r="A207" s="5" t="n"/>
      <c r="B207" s="5" t="n"/>
      <c r="C207" s="5" t="n"/>
      <c r="D207" s="5" t="n"/>
      <c r="E207" s="5" t="n"/>
      <c r="F207" s="79" t="n"/>
      <c r="G207" s="5" t="n"/>
    </row>
    <row r="208" ht="15.75" customHeight="1" s="115">
      <c r="A208" s="5" t="n"/>
      <c r="B208" s="5" t="n"/>
      <c r="C208" s="5" t="n"/>
      <c r="D208" s="5" t="n"/>
      <c r="E208" s="5" t="n"/>
      <c r="F208" s="79" t="n"/>
      <c r="G208" s="5" t="n"/>
    </row>
    <row r="209" ht="15.75" customHeight="1" s="115">
      <c r="A209" s="5" t="n"/>
      <c r="B209" s="5" t="n"/>
      <c r="C209" s="5" t="n"/>
      <c r="D209" s="5" t="n"/>
      <c r="E209" s="5" t="n"/>
      <c r="F209" s="79" t="n"/>
      <c r="G209" s="5" t="n"/>
    </row>
    <row r="210" ht="15.75" customHeight="1" s="115">
      <c r="A210" s="5" t="n"/>
      <c r="B210" s="5" t="n"/>
      <c r="C210" s="5" t="n"/>
      <c r="D210" s="5" t="n"/>
      <c r="E210" s="5" t="n"/>
      <c r="F210" s="79" t="n"/>
      <c r="G210" s="5" t="n"/>
    </row>
    <row r="211" ht="15.75" customHeight="1" s="115">
      <c r="A211" s="5" t="n"/>
      <c r="B211" s="5" t="n"/>
      <c r="C211" s="5" t="n"/>
      <c r="D211" s="5" t="n"/>
      <c r="E211" s="5" t="n"/>
      <c r="F211" s="79" t="n"/>
      <c r="G211" s="5" t="n"/>
    </row>
    <row r="212" ht="15.75" customHeight="1" s="115">
      <c r="A212" s="5" t="n"/>
      <c r="B212" s="5" t="n"/>
      <c r="C212" s="5" t="n"/>
      <c r="D212" s="5" t="n"/>
      <c r="E212" s="5" t="n"/>
      <c r="F212" s="79" t="n"/>
      <c r="G212" s="5" t="n"/>
    </row>
    <row r="213" ht="15.75" customHeight="1" s="115">
      <c r="A213" s="5" t="n"/>
      <c r="B213" s="5" t="n"/>
      <c r="C213" s="5" t="n"/>
      <c r="D213" s="5" t="n"/>
      <c r="E213" s="5" t="n"/>
      <c r="F213" s="79" t="n"/>
      <c r="G213" s="5" t="n"/>
    </row>
    <row r="214" ht="15.75" customHeight="1" s="115">
      <c r="A214" s="5" t="n"/>
      <c r="B214" s="5" t="n"/>
      <c r="C214" s="5" t="n"/>
      <c r="D214" s="5" t="n"/>
      <c r="E214" s="5" t="n"/>
      <c r="F214" s="79" t="n"/>
      <c r="G214" s="5" t="n"/>
    </row>
    <row r="215" ht="15.75" customHeight="1" s="115">
      <c r="A215" s="5" t="n"/>
      <c r="B215" s="5" t="n"/>
      <c r="C215" s="5" t="n"/>
      <c r="D215" s="5" t="n"/>
      <c r="E215" s="5" t="n"/>
      <c r="F215" s="79" t="n"/>
      <c r="G215" s="5" t="n"/>
    </row>
    <row r="216" ht="15.75" customHeight="1" s="115">
      <c r="A216" s="5" t="n"/>
      <c r="B216" s="5" t="n"/>
      <c r="C216" s="5" t="n"/>
      <c r="D216" s="5" t="n"/>
      <c r="E216" s="5" t="n"/>
      <c r="F216" s="79" t="n"/>
      <c r="G216" s="5" t="n"/>
    </row>
    <row r="217" ht="15.75" customHeight="1" s="115">
      <c r="A217" s="5" t="n"/>
      <c r="B217" s="5" t="n"/>
      <c r="C217" s="5" t="n"/>
      <c r="D217" s="5" t="n"/>
      <c r="E217" s="5" t="n"/>
      <c r="F217" s="79" t="n"/>
      <c r="G217" s="5" t="n"/>
    </row>
    <row r="218" ht="15.75" customHeight="1" s="115">
      <c r="A218" s="5" t="n"/>
      <c r="B218" s="5" t="n"/>
      <c r="C218" s="5" t="n"/>
      <c r="D218" s="5" t="n"/>
      <c r="E218" s="5" t="n"/>
      <c r="F218" s="79" t="n"/>
      <c r="G218" s="5" t="n"/>
    </row>
    <row r="219" ht="15.75" customHeight="1" s="115">
      <c r="A219" s="5" t="n"/>
      <c r="B219" s="5" t="n"/>
      <c r="C219" s="5" t="n"/>
      <c r="D219" s="5" t="n"/>
      <c r="E219" s="5" t="n"/>
      <c r="F219" s="79" t="n"/>
      <c r="G219" s="5" t="n"/>
    </row>
    <row r="220" ht="15.75" customHeight="1" s="115">
      <c r="A220" s="5" t="n"/>
      <c r="B220" s="5" t="n"/>
      <c r="C220" s="5" t="n"/>
      <c r="D220" s="5" t="n"/>
      <c r="E220" s="5" t="n"/>
      <c r="F220" s="79" t="n"/>
      <c r="G220" s="5" t="n"/>
    </row>
    <row r="221" ht="15.75" customHeight="1" s="115">
      <c r="A221" s="5" t="n"/>
      <c r="B221" s="5" t="n"/>
      <c r="C221" s="5" t="n"/>
      <c r="D221" s="5" t="n"/>
      <c r="E221" s="5" t="n"/>
      <c r="F221" s="79" t="n"/>
      <c r="G221" s="5" t="n"/>
    </row>
    <row r="222" ht="15.75" customHeight="1" s="115">
      <c r="A222" s="5" t="n"/>
      <c r="B222" s="5" t="n"/>
      <c r="C222" s="5" t="n"/>
      <c r="D222" s="5" t="n"/>
      <c r="E222" s="5" t="n"/>
      <c r="F222" s="79" t="n"/>
      <c r="G222" s="5" t="n"/>
    </row>
    <row r="223" ht="15.75" customHeight="1" s="115">
      <c r="A223" s="5" t="n"/>
      <c r="B223" s="5" t="n"/>
      <c r="C223" s="5" t="n"/>
      <c r="D223" s="5" t="n"/>
      <c r="E223" s="5" t="n"/>
      <c r="F223" s="79" t="n"/>
      <c r="G223" s="5" t="n"/>
    </row>
    <row r="224" ht="15.75" customHeight="1" s="115">
      <c r="A224" s="5" t="n"/>
      <c r="B224" s="5" t="n"/>
      <c r="C224" s="5" t="n"/>
      <c r="D224" s="5" t="n"/>
      <c r="E224" s="5" t="n"/>
      <c r="F224" s="79" t="n"/>
      <c r="G224" s="5" t="n"/>
    </row>
    <row r="225" ht="15.75" customHeight="1" s="115">
      <c r="A225" s="5" t="n"/>
      <c r="B225" s="5" t="n"/>
      <c r="C225" s="5" t="n"/>
      <c r="D225" s="5" t="n"/>
      <c r="E225" s="5" t="n"/>
      <c r="F225" s="79"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31.14" customWidth="1" style="115" min="4" max="4"/>
    <col width="20" customWidth="1" style="115" min="5" max="5"/>
    <col hidden="1" width="28" customWidth="1" style="115" min="6" max="6"/>
    <col width="44" customWidth="1" style="115" min="7" max="7"/>
  </cols>
  <sheetData>
    <row r="1">
      <c r="A1" s="2" t="inlineStr">
        <is>
          <t>NUR234  ·  Review videos (SimpleNursing, LevelUpRN)</t>
        </is>
      </c>
    </row>
    <row r="2">
      <c r="A2" s="7" t="inlineStr">
        <is>
          <t>NUR234</t>
        </is>
      </c>
      <c r="B2" s="10" t="inlineStr">
        <is>
          <t>NUR235</t>
        </is>
      </c>
      <c r="C2" s="10" t="inlineStr">
        <is>
          <t>NUR258</t>
        </is>
      </c>
      <c r="D2" s="14" t="inlineStr">
        <is>
          <t>🏠 START HERE</t>
        </is>
      </c>
      <c r="E2" s="17" t="inlineStr">
        <is>
          <t>📥 Sort me</t>
        </is>
      </c>
      <c r="F2" s="18" t="n"/>
      <c r="G2" s="18" t="n"/>
    </row>
    <row r="3">
      <c r="A3" s="19" t="inlineStr">
        <is>
          <t>Kaiser</t>
        </is>
      </c>
      <c r="B3" s="19" t="inlineStr">
        <is>
          <t>Buhler</t>
        </is>
      </c>
      <c r="C3" s="19" t="inlineStr">
        <is>
          <t>Glesner</t>
        </is>
      </c>
      <c r="D3" s="19" t="inlineStr">
        <is>
          <t>Exams</t>
        </is>
      </c>
      <c r="E3" s="19">
        <f>HYPERLINK('START HERE'!$B$36,"Zoom")</f>
        <v/>
      </c>
      <c r="F3" s="22" t="inlineStr">
        <is>
          <t>Review videos</t>
        </is>
      </c>
      <c r="G3" s="18" t="n"/>
    </row>
    <row r="4">
      <c r="A4" s="18" t="n"/>
      <c r="B4" s="18" t="n"/>
      <c r="C4" s="18" t="n"/>
      <c r="D4" s="18" t="n"/>
      <c r="E4" s="18" t="n"/>
      <c r="F4" s="18" t="n"/>
      <c r="G4" s="18"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45" t="inlineStr">
        <is>
          <t>Module 4</t>
        </is>
      </c>
      <c r="B6" s="45" t="n"/>
      <c r="C6" s="49" t="inlineStr">
        <is>
          <t>Fall 2026</t>
        </is>
      </c>
      <c r="D6" s="49" t="inlineStr">
        <is>
          <t>SimpleNursing</t>
        </is>
      </c>
      <c r="E6" s="54">
        <f>HYPERLINK("https://drive.google.com/file/d/1pgU5LoYTYvekWGEAVDc_FM2V9a9vZt3R/view","▶  Watch")</f>
        <v/>
      </c>
      <c r="F6" s="49" t="inlineStr">
        <is>
          <t>NUR234_Fall2026_SimpleNursing_Wk04_DayNA_Prenatal.mp4</t>
        </is>
      </c>
      <c r="G6" s="49" t="inlineStr">
        <is>
          <t>Prenatal</t>
        </is>
      </c>
    </row>
    <row r="7">
      <c r="A7" s="45" t="inlineStr">
        <is>
          <t>Module 4</t>
        </is>
      </c>
      <c r="B7" s="45" t="n"/>
      <c r="C7" s="49" t="inlineStr">
        <is>
          <t>Fall 2026</t>
        </is>
      </c>
      <c r="D7" s="49" t="inlineStr">
        <is>
          <t>LevelUpRN</t>
        </is>
      </c>
      <c r="E7" s="54">
        <f>HYPERLINK("https://drive.google.com/file/d/15yBK_X6MeGMRWjqwMyAbB5HKeTWhp6HD/view","▶  Watch")</f>
        <v/>
      </c>
      <c r="F7" s="49" t="inlineStr">
        <is>
          <t>NUR234_Fall2026_LevelUpRN_Wk04_DayNA_Pregnancy assessment.mp4</t>
        </is>
      </c>
      <c r="G7" s="49" t="inlineStr">
        <is>
          <t>Pregnancy assessment (signs of pregnancy), 16 min</t>
        </is>
      </c>
    </row>
    <row r="8">
      <c r="A8" s="45" t="inlineStr">
        <is>
          <t>Module 6</t>
        </is>
      </c>
      <c r="B8" s="45" t="n"/>
      <c r="C8" s="49" t="inlineStr">
        <is>
          <t>Fall 2026</t>
        </is>
      </c>
      <c r="D8" s="49" t="inlineStr">
        <is>
          <t>Unknown (phone screen recording)</t>
        </is>
      </c>
      <c r="E8" s="54">
        <f>HYPERLINK("https://drive.google.com/file/d/1Dwm50ylx3yz3EJ0-N0SvmogUF0yAlUqQ/view","▶  Watch")</f>
        <v/>
      </c>
      <c r="F8" s="49" t="inlineStr">
        <is>
          <t>NUR234_Fall2026_Unknown_Wk06_DayNA_Labor and birth through postpartum - long review (topic from the speech index).mp4</t>
        </is>
      </c>
      <c r="G8" s="49" t="inlineStr">
        <is>
          <t>Labor and birth through postpartum - long review, 13 Oct (topic from the speech index)</t>
        </is>
      </c>
    </row>
    <row r="9">
      <c r="A9" s="45" t="inlineStr">
        <is>
          <t>Module 6</t>
        </is>
      </c>
      <c r="B9" s="45" t="n"/>
      <c r="C9" s="49" t="inlineStr">
        <is>
          <t>Fall 2026</t>
        </is>
      </c>
      <c r="D9" s="49" t="inlineStr">
        <is>
          <t>Unknown (phone screen recording)</t>
        </is>
      </c>
      <c r="E9" s="54">
        <f>HYPERLINK("https://drive.google.com/file/d/1Xp6_wp80JrWMVY9e_xGbJXNq6Z3MxWJE/view","▶  Watch")</f>
        <v/>
      </c>
      <c r="F9" s="49" t="inlineStr">
        <is>
          <t>NUR234_Fall2026_Unknown_Wk06_DayNA_Stages of labor - short clip (topic from the speech index).mp4</t>
        </is>
      </c>
      <c r="G9" s="49" t="inlineStr">
        <is>
          <t>Stages of labor - short clip (topic from the speech index)</t>
        </is>
      </c>
    </row>
    <row r="10">
      <c r="A10" s="45" t="inlineStr">
        <is>
          <t>Module 7</t>
        </is>
      </c>
      <c r="B10" s="45" t="n"/>
      <c r="C10" s="49" t="inlineStr">
        <is>
          <t>Fall 2026</t>
        </is>
      </c>
      <c r="D10" s="49" t="inlineStr">
        <is>
          <t>Unknown (phone screen recording)</t>
        </is>
      </c>
      <c r="E10" s="54">
        <f>HYPERLINK("https://drive.google.com/file/d/1IoL267vfSN-P_Qj-gcKphpQjz0xIdieX/view","▶  Watch")</f>
        <v/>
      </c>
      <c r="F10" s="49" t="inlineStr">
        <is>
          <t>NUR234_Fall2026_Unknown_Wk07_DayNA_Labor comfort and epidural analgesia (topic from the speech index).mp4</t>
        </is>
      </c>
      <c r="G10" s="49" t="inlineStr">
        <is>
          <t>Labor comfort and epidural analgesia (topic from the speech index)</t>
        </is>
      </c>
    </row>
    <row r="11">
      <c r="A11" s="45" t="inlineStr">
        <is>
          <t>Module 7</t>
        </is>
      </c>
      <c r="B11" s="45" t="n"/>
      <c r="C11" s="49" t="inlineStr">
        <is>
          <t>Fall 2026</t>
        </is>
      </c>
      <c r="D11" s="49" t="inlineStr">
        <is>
          <t>Unknown (phone screen recording)</t>
        </is>
      </c>
      <c r="E11" s="54">
        <f>HYPERLINK("https://drive.google.com/file/d/13OolTf_iJ-_ALn0BVFwxRFac838sZsTB/view","▶  Watch")</f>
        <v/>
      </c>
      <c r="F11" s="49" t="inlineStr">
        <is>
          <t>NUR234_Fall2026_Unknown_Wk07_DayNA_Labor - decelerations and epidural, into postpartum (topic from the speech index).mp4</t>
        </is>
      </c>
      <c r="G11" s="49" t="inlineStr">
        <is>
          <t>Labor - decelerations and epidural, into postpartum (topic from the speech index)</t>
        </is>
      </c>
    </row>
    <row r="12">
      <c r="A12" s="45" t="inlineStr">
        <is>
          <t>Module 10</t>
        </is>
      </c>
      <c r="B12" s="45" t="n"/>
      <c r="C12" s="49" t="inlineStr">
        <is>
          <t>Fall 2026</t>
        </is>
      </c>
      <c r="D12" s="49" t="inlineStr">
        <is>
          <t>Unknown (phone screen recording)</t>
        </is>
      </c>
      <c r="E12" s="54">
        <f>HYPERLINK("https://drive.google.com/file/d/1j6dNqG8xues184G5jE2QUj5tCIHQzknT/view","▶  Watch")</f>
        <v/>
      </c>
      <c r="F12" s="49" t="inlineStr">
        <is>
          <t>NUR234_Fall2026_Unknown_Wk10_DayNA_Labor complications - cord and hemorrhage (topic from the speech index).mp4</t>
        </is>
      </c>
      <c r="G12" s="49" t="inlineStr">
        <is>
          <t>Labor complications - cord and hemorrhage (topic from the speech index)</t>
        </is>
      </c>
    </row>
    <row r="13">
      <c r="A13" s="45" t="inlineStr">
        <is>
          <t>Module 10</t>
        </is>
      </c>
      <c r="B13" s="45" t="n"/>
      <c r="C13" s="49" t="inlineStr">
        <is>
          <t>Fall 2026</t>
        </is>
      </c>
      <c r="D13" s="49" t="inlineStr">
        <is>
          <t>Unknown (phone screen recording)</t>
        </is>
      </c>
      <c r="E13" s="54">
        <f>HYPERLINK("https://drive.google.com/file/d/1lHL8EV4Begdl4Zqngs3okBa-97ZJobZr/view","▶  Watch")</f>
        <v/>
      </c>
      <c r="F13" s="49" t="inlineStr">
        <is>
          <t>NUR234_Fall2026_Unknown_Wk10_DayNA_Preterm labor, PROM, magnesium and steroids (topic from the speech index).mp4</t>
        </is>
      </c>
      <c r="G13" s="49" t="inlineStr">
        <is>
          <t>Preterm labor, PROM, magnesium and steroids (topic from the speech index)</t>
        </is>
      </c>
    </row>
    <row r="14">
      <c r="A14" s="45" t="inlineStr">
        <is>
          <t>Module 10</t>
        </is>
      </c>
      <c r="B14" s="45" t="n"/>
      <c r="C14" s="49" t="inlineStr">
        <is>
          <t>Fall 2026</t>
        </is>
      </c>
      <c r="D14" s="49" t="inlineStr">
        <is>
          <t>Unknown (phone screen recording)</t>
        </is>
      </c>
      <c r="E14" s="54">
        <f>HYPERLINK("https://drive.google.com/file/d/15j79_TUzZoaDp-Ag766C-0crr7W7jLJ_/view","▶  Watch")</f>
        <v/>
      </c>
      <c r="F14" s="49" t="inlineStr">
        <is>
          <t>NUR234_Fall2026_Unknown_Wk10_DayNA_PROM, preterm labor and induction (topic from the speech index).mp4</t>
        </is>
      </c>
      <c r="G14" s="49" t="inlineStr">
        <is>
          <t>PROM, preterm labor and induction (topic from the speech index)</t>
        </is>
      </c>
    </row>
    <row r="15">
      <c r="A15" s="45" t="inlineStr">
        <is>
          <t>Module 11</t>
        </is>
      </c>
      <c r="B15" s="45" t="n"/>
      <c r="C15" s="49" t="inlineStr">
        <is>
          <t>Fall 2026</t>
        </is>
      </c>
      <c r="D15" s="49" t="inlineStr">
        <is>
          <t>SimpleNursing</t>
        </is>
      </c>
      <c r="E15" s="54">
        <f>HYPERLINK("https://drive.google.com/file/d/1hqFdx6DfX1FNsug1FdXKFebdLC4zZTrb/view","▶  Watch")</f>
        <v/>
      </c>
      <c r="F15" s="49" t="inlineStr">
        <is>
          <t>NUR234_Fall2026_SimpleNursing_Wk11_DayNA_Postpartum.mp4</t>
        </is>
      </c>
      <c r="G15" s="49" t="inlineStr">
        <is>
          <t>Postpartum</t>
        </is>
      </c>
    </row>
    <row r="16">
      <c r="A16" s="45" t="inlineStr">
        <is>
          <t>Module 11</t>
        </is>
      </c>
      <c r="B16" s="45" t="n"/>
      <c r="C16" s="49" t="inlineStr">
        <is>
          <t>Fall 2026</t>
        </is>
      </c>
      <c r="D16" s="49" t="inlineStr">
        <is>
          <t>SimpleNursing</t>
        </is>
      </c>
      <c r="E16" s="54">
        <f>HYPERLINK("https://drive.google.com/file/d/1lCViTFE-CQHkPl_uGvYD8wetuimhHK_H/view","▶  Watch")</f>
        <v/>
      </c>
      <c r="F16" s="49" t="inlineStr">
        <is>
          <t>NUR234_Fall2026_SimpleNursing_Wk11_DayNA_Postpartum hemorrhage - may be a second recording of the SN Postpartum video (topic from the speech index).mp4</t>
        </is>
      </c>
      <c r="G16" s="49" t="inlineStr">
        <is>
          <t>Postpartum hemorrhage - may repeat the Postpartum video (topic from the speech index)</t>
        </is>
      </c>
    </row>
    <row r="17">
      <c r="A17" s="45" t="inlineStr">
        <is>
          <t>Module 11</t>
        </is>
      </c>
      <c r="B17" s="45" t="n"/>
      <c r="C17" s="49" t="inlineStr">
        <is>
          <t>Fall 2026</t>
        </is>
      </c>
      <c r="D17" s="49" t="inlineStr">
        <is>
          <t>Unknown (phone screen recording)</t>
        </is>
      </c>
      <c r="E17" s="54">
        <f>HYPERLINK("https://drive.google.com/file/d/1cLgtL-Hul0dvxCPtgG9ZpQVjaBNqoIP9/view","▶  Watch")</f>
        <v/>
      </c>
      <c r="F17" s="49" t="inlineStr">
        <is>
          <t>NUR234_Fall2026_Unknown_Wk11_DayNA_Labor through postpartum and newborn - long review (topic from the speech index).mp4</t>
        </is>
      </c>
      <c r="G17" s="49" t="inlineStr">
        <is>
          <t>Labor through postpartum and newborn - long review, 13 Oct (topic from the speech index)</t>
        </is>
      </c>
    </row>
    <row r="18">
      <c r="A18" s="45" t="inlineStr">
        <is>
          <t>Module 12</t>
        </is>
      </c>
      <c r="B18" s="45" t="n"/>
      <c r="C18" s="49" t="inlineStr">
        <is>
          <t>Fall 2026</t>
        </is>
      </c>
      <c r="D18" s="49" t="inlineStr">
        <is>
          <t>SimpleNursing</t>
        </is>
      </c>
      <c r="E18" s="54">
        <f>HYPERLINK("https://drive.google.com/file/d/1l5inYotFOxhEOwvsRSncGTmku7GByYKv/view","▶  Watch")</f>
        <v/>
      </c>
      <c r="F18" s="49" t="inlineStr">
        <is>
          <t>NUR234_Fall2026_SimpleNursing_Wk12_DayNA_Newborn assessment and breastfeeding (topic from the speech index).mp4</t>
        </is>
      </c>
      <c r="G18" s="49" t="inlineStr">
        <is>
          <t>Newborn assessment and breastfeeding (topic from the speech index)</t>
        </is>
      </c>
    </row>
    <row r="19">
      <c r="A19" s="45" t="inlineStr">
        <is>
          <t>Module 12</t>
        </is>
      </c>
      <c r="B19" s="45" t="n"/>
      <c r="C19" s="49" t="inlineStr">
        <is>
          <t>Fall 2026</t>
        </is>
      </c>
      <c r="D19" s="49" t="inlineStr">
        <is>
          <t>Unknown (phone screen recording)</t>
        </is>
      </c>
      <c r="E19" s="54">
        <f>HYPERLINK("https://drive.google.com/file/d/1Y_1xWzwdinS7RCrfBEEs47yUyj7_AZfF/view","▶  Watch")</f>
        <v/>
      </c>
      <c r="F19" s="49" t="inlineStr">
        <is>
          <t>NUR234_Fall2026_Unknown_Wk12_DayNA_Newborn care - circumcision (topic from the speech index).mp4</t>
        </is>
      </c>
      <c r="G19" s="49" t="inlineStr">
        <is>
          <t>Newborn care - circumcision (topic from the speech index)</t>
        </is>
      </c>
    </row>
    <row r="20">
      <c r="A20" s="45" t="inlineStr">
        <is>
          <t>Module 12</t>
        </is>
      </c>
      <c r="B20" s="45" t="n"/>
      <c r="C20" s="49" t="inlineStr">
        <is>
          <t>Fall 2026</t>
        </is>
      </c>
      <c r="D20" s="49" t="inlineStr">
        <is>
          <t>Unknown (phone screen recording)</t>
        </is>
      </c>
      <c r="E20" s="54">
        <f>HYPERLINK("https://drive.google.com/file/d/1Xw8W4M3TOLJimC7O_70LIj_6B2lxNPvn/view","▶  Watch")</f>
        <v/>
      </c>
      <c r="F20" s="49" t="inlineStr">
        <is>
          <t>NUR234_Fall2026_Unknown_Wk12_DayNA_Newborn - short clip (topic from the speech index).mp4</t>
        </is>
      </c>
      <c r="G20" s="49" t="inlineStr">
        <is>
          <t>Newborn - short clip (topic from the speech index)</t>
        </is>
      </c>
    </row>
    <row r="21" ht="15.75" customHeight="1" s="115">
      <c r="A21" s="45" t="inlineStr">
        <is>
          <t>Module 13</t>
        </is>
      </c>
      <c r="B21" s="45" t="n"/>
      <c r="C21" s="49" t="inlineStr">
        <is>
          <t>Fall 2026</t>
        </is>
      </c>
      <c r="D21" s="49" t="inlineStr">
        <is>
          <t>Unknown (phone screen recording)</t>
        </is>
      </c>
      <c r="E21" s="54">
        <f>HYPERLINK("https://drive.google.com/file/d/1QtlaEToar2eiKv3807xb1JJySdHOwLDF/view","▶  Watch")</f>
        <v/>
      </c>
      <c r="F21" s="49" t="inlineStr">
        <is>
          <t>NUR234_Fall2026_Unknown_Wk13_DayNA_Newborn feeding and nutrition (topic from the speech index).mp4</t>
        </is>
      </c>
      <c r="G21" s="49" t="inlineStr">
        <is>
          <t>Newborn feeding and nutrition (topic from the speech index)</t>
        </is>
      </c>
    </row>
    <row r="22" ht="15.75" customHeight="1" s="115">
      <c r="A22" s="45" t="inlineStr">
        <is>
          <t>Module 14</t>
        </is>
      </c>
      <c r="B22" s="45" t="n"/>
      <c r="C22" s="49" t="inlineStr">
        <is>
          <t>Fall 2026</t>
        </is>
      </c>
      <c r="D22" s="49" t="inlineStr">
        <is>
          <t>SimpleNursing</t>
        </is>
      </c>
      <c r="E22" s="54">
        <f>HYPERLINK("https://drive.google.com/file/d/1f_zRVwX1ESPiNw9NP_EnJ0Aua03stm3G/view","▶  Watch")</f>
        <v/>
      </c>
      <c r="F22" s="49" t="inlineStr">
        <is>
          <t>NUR234_Fall2026_SimpleNursing_Wk14_DayNA_High-risk newborn - jaundice and hypoglycemia (topic from the speech index).mp4</t>
        </is>
      </c>
      <c r="G22" s="49" t="inlineStr">
        <is>
          <t>High-risk newborn - jaundice and hypoglycemia (topic from the speech index)</t>
        </is>
      </c>
    </row>
    <row r="23" ht="15.75" customHeight="1" s="115">
      <c r="A23" s="45" t="inlineStr">
        <is>
          <t>Module 14</t>
        </is>
      </c>
      <c r="B23" s="45" t="n"/>
      <c r="C23" s="49" t="inlineStr">
        <is>
          <t>Fall 2026</t>
        </is>
      </c>
      <c r="D23" s="49" t="inlineStr">
        <is>
          <t>Unknown (phone screen recording)</t>
        </is>
      </c>
      <c r="E23" s="54">
        <f>HYPERLINK("https://drive.google.com/file/d/1PYtV-0SRsk62ByK-ISfXw_F4zn4m6vvm/view","▶  Watch")</f>
        <v/>
      </c>
      <c r="F23" s="49" t="inlineStr">
        <is>
          <t>NUR234_Fall2026_Unknown_Wk14_DayNA_Newborn jaundice, hypoglycemia and breastfeeding (topic from the speech index).mp4</t>
        </is>
      </c>
      <c r="G23" s="49" t="inlineStr">
        <is>
          <t>Newborn jaundice, hypoglycemia and breastfeeding (topic from the speech index)</t>
        </is>
      </c>
    </row>
    <row r="24" ht="15.75" customHeight="1" s="115">
      <c r="A24" s="45" t="n"/>
      <c r="B24" s="45" t="n"/>
      <c r="C24" s="49" t="n"/>
      <c r="D24" s="49" t="n"/>
      <c r="E24" s="61" t="n"/>
      <c r="F24" s="49" t="n"/>
      <c r="G24" s="49" t="n"/>
    </row>
    <row r="25" ht="15.75" customHeight="1" s="115">
      <c r="A25" s="55" t="n"/>
      <c r="B25" s="55" t="n"/>
      <c r="C25" s="56" t="n"/>
      <c r="D25" s="56" t="n"/>
      <c r="E25" s="66" t="n"/>
      <c r="F25" s="56" t="n"/>
      <c r="G25" s="56" t="n"/>
    </row>
    <row r="26" ht="15.75" customHeight="1" s="115">
      <c r="A26" s="45" t="n"/>
      <c r="B26" s="45" t="n"/>
      <c r="C26" s="49" t="n"/>
      <c r="D26" s="49" t="n"/>
      <c r="E26" s="61" t="n"/>
      <c r="F26" s="49" t="n"/>
      <c r="G26" s="49" t="n"/>
    </row>
    <row r="27" ht="15.75" customHeight="1" s="115">
      <c r="A27" s="55" t="n"/>
      <c r="B27" s="55" t="n"/>
      <c r="C27" s="56" t="n"/>
      <c r="D27" s="56" t="n"/>
      <c r="E27" s="66" t="n"/>
      <c r="F27" s="56" t="n"/>
      <c r="G27" s="56" t="n"/>
    </row>
    <row r="28" ht="15.75" customHeight="1" s="115">
      <c r="A28" s="45" t="n"/>
      <c r="B28" s="45" t="n"/>
      <c r="C28" s="49" t="n"/>
      <c r="D28" s="49" t="n"/>
      <c r="E28" s="61" t="n"/>
      <c r="F28" s="49" t="n"/>
      <c r="G28" s="49" t="n"/>
    </row>
    <row r="29" ht="15.75" customHeight="1" s="115">
      <c r="A29" s="55" t="n"/>
      <c r="B29" s="55" t="n"/>
      <c r="C29" s="56" t="n"/>
      <c r="D29" s="56" t="n"/>
      <c r="E29" s="66" t="n"/>
      <c r="F29" s="56" t="n"/>
      <c r="G29" s="56" t="n"/>
    </row>
    <row r="30" ht="15.75" customHeight="1" s="115">
      <c r="A30" s="45" t="n"/>
      <c r="B30" s="45" t="n"/>
      <c r="C30" s="49" t="n"/>
      <c r="D30" s="49" t="n"/>
      <c r="E30" s="61" t="n"/>
      <c r="F30" s="49" t="n"/>
      <c r="G30" s="49" t="n"/>
    </row>
    <row r="31" ht="15.75" customHeight="1" s="115">
      <c r="A31" s="55" t="n"/>
      <c r="B31" s="55" t="n"/>
      <c r="C31" s="56" t="n"/>
      <c r="D31" s="56" t="n"/>
      <c r="E31" s="66" t="n"/>
      <c r="F31" s="56" t="n"/>
      <c r="G31" s="56" t="n"/>
    </row>
    <row r="32" ht="15.75" customHeight="1" s="115">
      <c r="A32" s="45" t="n"/>
      <c r="B32" s="45" t="n"/>
      <c r="C32" s="49" t="n"/>
      <c r="D32" s="49" t="n"/>
      <c r="E32" s="61" t="n"/>
      <c r="F32" s="49" t="n"/>
      <c r="G32" s="49" t="n"/>
    </row>
    <row r="33" ht="15.75" customHeight="1" s="115">
      <c r="A33" s="55" t="n"/>
      <c r="B33" s="55" t="n"/>
      <c r="C33" s="56" t="n"/>
      <c r="D33" s="56" t="n"/>
      <c r="E33" s="66" t="n"/>
      <c r="F33" s="56" t="n"/>
      <c r="G33" s="56" t="n"/>
    </row>
    <row r="34" ht="15.75" customHeight="1" s="115">
      <c r="A34" s="68" t="n"/>
      <c r="B34" s="68" t="n"/>
      <c r="C34" s="68" t="n"/>
      <c r="D34" s="68" t="n"/>
      <c r="E34" s="68" t="n"/>
      <c r="F34" s="68" t="n"/>
      <c r="G34" s="68" t="n"/>
    </row>
    <row r="35" ht="15.75" customHeight="1" s="115">
      <c r="A35" s="68" t="n"/>
      <c r="B35" s="68" t="n"/>
      <c r="C35" s="68" t="n"/>
      <c r="D35" s="68" t="n"/>
      <c r="E35" s="68" t="n"/>
      <c r="F35" s="68" t="n"/>
      <c r="G35" s="68" t="n"/>
    </row>
    <row r="36" ht="15.75" customHeight="1" s="115">
      <c r="A36" s="68" t="n"/>
      <c r="B36" s="68" t="n"/>
      <c r="C36" s="68" t="n"/>
      <c r="D36" s="68" t="n"/>
      <c r="E36" s="68" t="n"/>
      <c r="F36" s="68" t="n"/>
      <c r="G36" s="68" t="n"/>
    </row>
    <row r="37" ht="15.75" customHeight="1" s="115">
      <c r="A37" s="68" t="n"/>
      <c r="B37" s="68" t="n"/>
      <c r="C37" s="68" t="n"/>
      <c r="D37" s="68" t="n"/>
      <c r="E37" s="68" t="n"/>
      <c r="F37" s="68" t="n"/>
      <c r="G37" s="68" t="n"/>
    </row>
    <row r="38" ht="15.75" customHeight="1" s="115">
      <c r="A38" s="68" t="n"/>
      <c r="B38" s="68" t="n"/>
      <c r="C38" s="68" t="n"/>
      <c r="D38" s="68" t="n"/>
      <c r="E38" s="68" t="n"/>
      <c r="F38" s="68" t="n"/>
      <c r="G38" s="68" t="n"/>
    </row>
    <row r="39" ht="15.75" customHeight="1" s="115">
      <c r="A39" s="68" t="n"/>
      <c r="B39" s="68" t="n"/>
      <c r="C39" s="68" t="n"/>
      <c r="D39" s="68" t="n"/>
      <c r="E39" s="68" t="n"/>
      <c r="F39" s="68" t="n"/>
      <c r="G39" s="68"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9" t="inlineStr">
        <is>
          <t>NUR234</t>
        </is>
      </c>
      <c r="B2" s="11" t="inlineStr">
        <is>
          <t>NUR235</t>
        </is>
      </c>
      <c r="C2" s="9" t="inlineStr">
        <is>
          <t>NUR258</t>
        </is>
      </c>
      <c r="D2" s="13" t="inlineStr">
        <is>
          <t>🏠 START HERE</t>
        </is>
      </c>
      <c r="E2" s="17" t="inlineStr">
        <is>
          <t>📥 Sort me</t>
        </is>
      </c>
      <c r="F2" s="18" t="n"/>
      <c r="G2" s="18" t="n"/>
      <c r="H2" s="5" t="n"/>
      <c r="I2" s="5" t="n"/>
      <c r="J2" s="5" t="n"/>
      <c r="K2" s="5" t="n"/>
      <c r="L2" s="5" t="n"/>
      <c r="M2" s="5" t="n"/>
      <c r="N2" s="5" t="n"/>
      <c r="O2" s="5" t="n"/>
      <c r="P2" s="5" t="n"/>
      <c r="Q2" s="5" t="n"/>
      <c r="R2" s="5" t="n"/>
      <c r="S2" s="5" t="n"/>
      <c r="T2" s="5" t="n"/>
      <c r="U2" s="5" t="n"/>
      <c r="V2" s="5" t="n"/>
      <c r="W2" s="5" t="n"/>
      <c r="X2" s="5" t="n"/>
      <c r="Y2" s="5" t="n"/>
      <c r="Z2" s="5" t="n"/>
    </row>
    <row r="3">
      <c r="A3" s="19" t="inlineStr">
        <is>
          <t>Fadell</t>
        </is>
      </c>
      <c r="B3" s="19" t="inlineStr">
        <is>
          <t>Fuller</t>
        </is>
      </c>
      <c r="C3" s="19" t="inlineStr">
        <is>
          <t>Exam Reviews</t>
        </is>
      </c>
      <c r="D3" s="19" t="n"/>
      <c r="E3" s="28">
        <f>HYPERLINK('START HERE'!$B$36,"Zoom")</f>
        <v/>
      </c>
      <c r="F3" s="19" t="inlineStr">
        <is>
          <t>Review videos</t>
        </is>
      </c>
      <c r="G3" s="18"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8" t="n"/>
      <c r="B4" s="18" t="n"/>
      <c r="C4" s="18" t="n"/>
      <c r="D4" s="18" t="n"/>
      <c r="E4" s="18" t="n"/>
      <c r="F4" s="18" t="n"/>
      <c r="G4" s="18" t="n"/>
      <c r="H4" s="5" t="n"/>
      <c r="I4" s="5" t="n"/>
      <c r="J4" s="5" t="n"/>
      <c r="K4" s="5" t="n"/>
      <c r="L4" s="5" t="n"/>
      <c r="M4" s="5" t="n"/>
      <c r="N4" s="5" t="n"/>
      <c r="O4" s="5" t="n"/>
      <c r="P4" s="5" t="n"/>
      <c r="Q4" s="5" t="n"/>
      <c r="R4" s="5" t="n"/>
      <c r="S4" s="5" t="n"/>
      <c r="T4" s="5" t="n"/>
      <c r="U4" s="5" t="n"/>
      <c r="V4" s="5" t="n"/>
      <c r="W4" s="5" t="n"/>
      <c r="X4" s="5" t="n"/>
      <c r="Y4" s="5" t="n"/>
      <c r="Z4" s="5"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5" t="n"/>
      <c r="I5" s="5" t="n"/>
      <c r="J5" s="5" t="n"/>
      <c r="K5" s="5" t="n"/>
      <c r="L5" s="5" t="n"/>
      <c r="M5" s="5" t="n"/>
      <c r="N5" s="5" t="n"/>
      <c r="O5" s="5" t="n"/>
      <c r="P5" s="5" t="n"/>
      <c r="Q5" s="5" t="n"/>
      <c r="R5" s="5" t="n"/>
      <c r="S5" s="5" t="n"/>
      <c r="T5" s="5" t="n"/>
      <c r="U5" s="5" t="n"/>
      <c r="V5" s="5" t="n"/>
      <c r="W5" s="5" t="n"/>
      <c r="X5" s="5" t="n"/>
      <c r="Y5" s="5" t="n"/>
      <c r="Z5" s="5"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5">
      <c r="A33" s="85" t="inlineStr">
        <is>
          <t>Module 14</t>
        </is>
      </c>
      <c r="B33" s="85" t="inlineStr">
        <is>
          <t>Day 2</t>
        </is>
      </c>
      <c r="C33" s="83" t="inlineStr">
        <is>
          <t>Spring 2026</t>
        </is>
      </c>
      <c r="D33" s="86" t="inlineStr">
        <is>
          <t>Fadell</t>
        </is>
      </c>
      <c r="E33" s="86" t="n"/>
      <c r="F33" s="86" t="n"/>
      <c r="G33" s="86"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5">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5">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5">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5">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5">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5">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5">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5">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5">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5">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5">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5">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5">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5">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5">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5">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5">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5">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5">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5">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5">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5">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5">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5">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5">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5">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5">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5">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5">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5">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5">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5">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5">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5">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5">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5">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5">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5">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5">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5">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5">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5">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5">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5">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5">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5">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5">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5">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5">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5">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5">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5">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5">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5">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5">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5">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5">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5">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5">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5">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5">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5">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5">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5">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5">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5">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5">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5">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5">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5">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5">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5">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5">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5">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5">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5">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5">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5">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5">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5">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5">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5">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5">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5">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5">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5">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5">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5">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5">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5">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5">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5">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5">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5">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5">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5">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5">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5">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5">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5">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5">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5">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5">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5">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5">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5">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5">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5">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5">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5">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5">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5">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5">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5">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5">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5">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5">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5">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5">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5">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5">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5">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5">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5">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5">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5">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5">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5">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5">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5">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5">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5">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5">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5">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5">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5">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5">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5">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5">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5">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5">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5">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5">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5">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5">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5">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5">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5">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5">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5">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5">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5">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5">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5">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5">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5">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5">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5">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5">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5">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5">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5">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5">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5">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5">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5">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5">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5">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5">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5">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5">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5">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5">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5">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5">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5">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5">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5">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5">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5">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5">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5">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5">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5">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5">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5">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5">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5">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5">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5">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5">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5">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5">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5">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5">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5">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5">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5">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5">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5">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9" t="inlineStr">
        <is>
          <t>NUR234</t>
        </is>
      </c>
      <c r="B2" s="11" t="inlineStr">
        <is>
          <t>NUR235</t>
        </is>
      </c>
      <c r="C2" s="9" t="inlineStr">
        <is>
          <t>NUR258</t>
        </is>
      </c>
      <c r="D2" s="13" t="inlineStr">
        <is>
          <t>🏠 START HERE</t>
        </is>
      </c>
      <c r="E2" s="17" t="inlineStr">
        <is>
          <t>📥 Sort me</t>
        </is>
      </c>
      <c r="F2" s="18" t="n"/>
      <c r="G2" s="18" t="n"/>
    </row>
    <row r="3">
      <c r="A3" s="19" t="inlineStr">
        <is>
          <t>Fadell</t>
        </is>
      </c>
      <c r="B3" s="19" t="inlineStr">
        <is>
          <t>Fuller</t>
        </is>
      </c>
      <c r="C3" s="19" t="inlineStr">
        <is>
          <t>Exam Reviews</t>
        </is>
      </c>
      <c r="D3" s="19" t="n"/>
      <c r="E3" s="28">
        <f>HYPERLINK('START HERE'!$B$36,"Zoom")</f>
        <v/>
      </c>
      <c r="F3" s="19" t="inlineStr">
        <is>
          <t>Review videos</t>
        </is>
      </c>
      <c r="G3" s="18" t="inlineStr">
        <is>
          <t>Fuller teaches this Fall 2026 cohort and runs one lecture a week. Fadell is a different lecturer - last cohort’s Spring 2026 Day 1 / Day 2 recordings are on the Fadell tab.</t>
        </is>
      </c>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5" t="n"/>
      <c r="G1" s="5" t="n"/>
    </row>
    <row r="2">
      <c r="A2" s="9" t="inlineStr">
        <is>
          <t>NUR234</t>
        </is>
      </c>
      <c r="B2" s="11" t="inlineStr">
        <is>
          <t>NUR235</t>
        </is>
      </c>
      <c r="C2" s="9" t="inlineStr">
        <is>
          <t>NUR258</t>
        </is>
      </c>
      <c r="D2" s="13" t="inlineStr">
        <is>
          <t>🏠 START HERE</t>
        </is>
      </c>
      <c r="E2" s="17" t="inlineStr">
        <is>
          <t>📥 Sort me</t>
        </is>
      </c>
      <c r="F2" s="5" t="n"/>
      <c r="G2" s="5" t="n"/>
    </row>
    <row r="3">
      <c r="A3" s="19" t="inlineStr">
        <is>
          <t>Fadell</t>
        </is>
      </c>
      <c r="B3" s="19" t="inlineStr">
        <is>
          <t>Fuller</t>
        </is>
      </c>
      <c r="C3" s="19" t="inlineStr">
        <is>
          <t>Exam Reviews</t>
        </is>
      </c>
      <c r="D3" s="19" t="n"/>
      <c r="E3" s="28">
        <f>HYPERLINK('START HERE'!$B$36,"Zoom")</f>
        <v/>
      </c>
      <c r="F3" s="19" t="inlineStr">
        <is>
          <t>Review videos</t>
        </is>
      </c>
      <c r="G3" s="5" t="n"/>
    </row>
    <row r="4">
      <c r="A4" s="18" t="n"/>
      <c r="B4" s="18" t="n"/>
      <c r="C4" s="18" t="n"/>
      <c r="D4" s="18" t="n"/>
      <c r="E4" s="18" t="n"/>
      <c r="F4" s="5" t="n"/>
      <c r="G4" s="5" t="n"/>
    </row>
    <row r="5">
      <c r="A5" s="81" t="inlineStr">
        <is>
          <t>Exam</t>
        </is>
      </c>
      <c r="B5" s="81" t="inlineStr">
        <is>
          <t>Date</t>
        </is>
      </c>
      <c r="C5" s="81" t="inlineStr">
        <is>
          <t>Item</t>
        </is>
      </c>
      <c r="D5" s="81" t="inlineStr">
        <is>
          <t>Link</t>
        </is>
      </c>
      <c r="E5" s="81" t="inlineStr">
        <is>
          <t>Notes</t>
        </is>
      </c>
      <c r="F5" s="5" t="n"/>
      <c r="G5" s="5"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5" t="n"/>
      <c r="G6" s="5"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5" t="n"/>
      <c r="G7" s="5"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5" t="n"/>
      <c r="G8" s="5"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5" t="n"/>
      <c r="G9" s="5"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5" t="n"/>
      <c r="G10" s="5"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5" t="n"/>
      <c r="G11" s="5"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5" t="n"/>
      <c r="G12" s="5"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5" t="n"/>
      <c r="G13" s="5"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5" t="n"/>
      <c r="G14" s="5"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5" t="n"/>
      <c r="G15" s="5"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5" t="n"/>
      <c r="G16" s="5"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5" t="n"/>
      <c r="G17" s="5"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5" t="n"/>
      <c r="G18" s="5"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5" t="n"/>
      <c r="G19" s="5"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5" t="n"/>
      <c r="G20" s="5"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5" t="n"/>
      <c r="G21" s="5"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5"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5" t="n"/>
    </row>
    <row r="24" ht="15.75" customHeight="1" s="115">
      <c r="A24" s="82" t="inlineStr">
        <is>
          <t>Exam 3</t>
        </is>
      </c>
      <c r="B24" s="82" t="n"/>
      <c r="C24" s="83" t="n"/>
      <c r="D24" s="83" t="n"/>
      <c r="E24" s="83" t="n"/>
      <c r="F24" s="5" t="n"/>
      <c r="G24" s="5" t="n"/>
    </row>
    <row r="25" ht="15.75" customHeight="1" s="115">
      <c r="A25" s="85" t="inlineStr">
        <is>
          <t>Exam 3</t>
        </is>
      </c>
      <c r="B25" s="85" t="n"/>
      <c r="C25" s="86" t="n"/>
      <c r="D25" s="86" t="n"/>
      <c r="E25" s="86" t="n"/>
      <c r="F25" s="5" t="n"/>
      <c r="G25" s="5" t="n"/>
    </row>
    <row r="26" ht="15.75" customHeight="1" s="115">
      <c r="A26" s="82" t="inlineStr">
        <is>
          <t>Exam 3</t>
        </is>
      </c>
      <c r="B26" s="82" t="n"/>
      <c r="C26" s="83" t="n"/>
      <c r="D26" s="83" t="n"/>
      <c r="E26" s="83" t="n"/>
      <c r="F26" s="5" t="n"/>
      <c r="G26" s="5" t="n"/>
    </row>
    <row r="27" ht="15.75" customHeight="1" s="115">
      <c r="A27" s="85" t="inlineStr">
        <is>
          <t>Exam 3</t>
        </is>
      </c>
      <c r="B27" s="85" t="n"/>
      <c r="C27" s="86" t="n"/>
      <c r="D27" s="86" t="n"/>
      <c r="E27" s="86" t="n"/>
      <c r="F27" s="5" t="n"/>
      <c r="G27" s="5" t="n"/>
    </row>
    <row r="28" ht="15.75" customHeight="1" s="115">
      <c r="A28" s="82" t="inlineStr">
        <is>
          <t>FINAL</t>
        </is>
      </c>
      <c r="B28" s="82" t="n"/>
      <c r="C28" s="83" t="n"/>
      <c r="D28" s="83" t="n"/>
      <c r="E28" s="83" t="n"/>
      <c r="F28" s="5" t="n"/>
      <c r="G28" s="5" t="n"/>
    </row>
    <row r="29" ht="15.75" customHeight="1" s="115">
      <c r="A29" s="85" t="inlineStr">
        <is>
          <t>FINAL</t>
        </is>
      </c>
      <c r="B29" s="85" t="n"/>
      <c r="C29" s="86" t="n"/>
      <c r="D29" s="86" t="n"/>
      <c r="E29" s="86" t="n"/>
      <c r="F29" s="5" t="n"/>
      <c r="G29" s="5"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5" t="n"/>
      <c r="G30" s="5" t="n"/>
    </row>
    <row r="31" ht="15.75" customHeight="1" s="115">
      <c r="A31" s="85" t="inlineStr">
        <is>
          <t>FINAL</t>
        </is>
      </c>
      <c r="B31" s="85" t="n"/>
      <c r="C31" s="86" t="inlineStr">
        <is>
          <t>Other / my materials</t>
        </is>
      </c>
      <c r="D31" s="86" t="n"/>
      <c r="E31" s="86" t="n"/>
      <c r="F31" s="5" t="n"/>
      <c r="G31" s="5"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5" t="n"/>
      <c r="G32" s="5" t="n"/>
    </row>
    <row r="33" ht="15.75" customHeight="1" s="115">
      <c r="A33" s="85" t="inlineStr">
        <is>
          <t>Exam 2</t>
        </is>
      </c>
      <c r="B33" s="85" t="inlineStr">
        <is>
          <t>Fall 2026</t>
        </is>
      </c>
      <c r="C33" s="86" t="inlineStr">
        <is>
          <t>My materials - Tue 13 Oct 4:27 PM pediatric neurologic disorders (PC recording, 378 MB)</t>
        </is>
      </c>
      <c r="D33" s="90">
        <f>HYPERLINK("https://drive.google.com/file/d/1VzQ-fvdMpID-Bdfuj0AapURhCUkqCNc7/view","▶  Watch")</f>
        <v/>
      </c>
      <c r="E33" s="86" t="inlineStr">
        <is>
          <t>Topic from the speech index (Parkinson, seizure, cerebral palsy, shunt, neurological). Probably a Module 7 class or exam prep session - open it to confirm. NUR235_Fall2026_Unknown_Wk07_DayNA_Tue 13 Oct 4-27 PM - Pediatric neurologic disorders, PC recording (topic from the speech index).mp4</t>
        </is>
      </c>
      <c r="F33" s="5" t="n"/>
      <c r="G33" s="5" t="n"/>
    </row>
    <row r="34" ht="15.75" customHeight="1" s="115">
      <c r="A34" s="91" t="n"/>
      <c r="B34" s="91" t="n"/>
      <c r="C34" s="91" t="n"/>
      <c r="D34" s="91" t="n"/>
      <c r="E34" s="91" t="n"/>
      <c r="F34" s="5" t="n"/>
      <c r="G34" s="5" t="n"/>
    </row>
    <row r="35" ht="15.75" customHeight="1" s="115">
      <c r="A35" s="91" t="n"/>
      <c r="B35" s="91" t="n"/>
      <c r="C35" s="91" t="n"/>
      <c r="D35" s="91" t="n"/>
      <c r="E35" s="91" t="n"/>
      <c r="F35" s="5" t="n"/>
      <c r="G35" s="5" t="n"/>
    </row>
    <row r="36" ht="15.75" customHeight="1" s="115">
      <c r="A36" s="91" t="n"/>
      <c r="B36" s="91" t="n"/>
      <c r="C36" s="91" t="n"/>
      <c r="D36" s="91" t="n"/>
      <c r="E36" s="91" t="n"/>
      <c r="F36" s="5" t="n"/>
      <c r="G36" s="5" t="n"/>
    </row>
    <row r="37" ht="15.75" customHeight="1" s="115">
      <c r="A37" s="91" t="n"/>
      <c r="B37" s="91" t="n"/>
      <c r="C37" s="91" t="n"/>
      <c r="D37" s="91" t="n"/>
      <c r="E37" s="91" t="n"/>
      <c r="F37" s="5" t="n"/>
      <c r="G37" s="5" t="n"/>
    </row>
    <row r="38" ht="15.75" customHeight="1" s="115">
      <c r="A38" s="91" t="n"/>
      <c r="B38" s="91" t="n"/>
      <c r="C38" s="91" t="n"/>
      <c r="D38" s="91" t="n"/>
      <c r="E38" s="91" t="n"/>
      <c r="F38" s="5" t="n"/>
      <c r="G38" s="5" t="n"/>
    </row>
    <row r="39" ht="15.75" customHeight="1" s="115">
      <c r="A39" s="91" t="n"/>
      <c r="B39" s="91" t="n"/>
      <c r="C39" s="91" t="n"/>
      <c r="D39" s="91" t="n"/>
      <c r="E39" s="91"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9" t="inlineStr">
        <is>
          <t>NUR234</t>
        </is>
      </c>
      <c r="B2" s="11" t="inlineStr">
        <is>
          <t>NUR235</t>
        </is>
      </c>
      <c r="C2" s="9" t="inlineStr">
        <is>
          <t>NUR258</t>
        </is>
      </c>
      <c r="D2" s="13" t="inlineStr">
        <is>
          <t>🏠 START HERE</t>
        </is>
      </c>
      <c r="E2" s="17" t="inlineStr">
        <is>
          <t>📥 Sort me</t>
        </is>
      </c>
      <c r="F2" s="18" t="n"/>
      <c r="G2" s="18" t="n"/>
    </row>
    <row r="3">
      <c r="A3" s="19" t="inlineStr">
        <is>
          <t>Fadell</t>
        </is>
      </c>
      <c r="B3" s="19" t="inlineStr">
        <is>
          <t>Fuller</t>
        </is>
      </c>
      <c r="C3" s="19" t="inlineStr">
        <is>
          <t>Exam Reviews</t>
        </is>
      </c>
      <c r="D3" s="19" t="n"/>
      <c r="E3" s="19">
        <f>HYPERLINK('START HERE'!$B$36,"Zoom")</f>
        <v/>
      </c>
      <c r="F3" s="92" t="inlineStr">
        <is>
          <t>Review videos</t>
        </is>
      </c>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2" t="inlineStr">
        <is>
          <t>Module 5</t>
        </is>
      </c>
      <c r="B9" s="82" t="n"/>
      <c r="C9" s="83" t="inlineStr">
        <is>
          <t>Fall 2026</t>
        </is>
      </c>
      <c r="D9" s="83" t="inlineStr">
        <is>
          <t>Unknown (phone screen recording)</t>
        </is>
      </c>
      <c r="E9" s="84">
        <f>HYPERLINK("https://drive.google.com/file/d/1K7fZTaw2YrPY31-2Py5z3h8yo4Wh2NmI/view","▶  Watch")</f>
        <v/>
      </c>
      <c r="F9" s="83" t="inlineStr">
        <is>
          <t>NUR235_Fall2026_Unknown_Wk05_DayNA_Epistaxis (nosebleed) in children - short clip (topic from the speech index).mp4</t>
        </is>
      </c>
      <c r="G9" s="83" t="inlineStr">
        <is>
          <t>Epistaxis (nosebleed) in children - short clip, recorded 14 Oct 5:06 AM (topic from the speech index)</t>
        </is>
      </c>
    </row>
    <row r="10">
      <c r="A10" s="82" t="inlineStr">
        <is>
          <t>Module 1</t>
        </is>
      </c>
      <c r="B10" s="82" t="n"/>
      <c r="C10" s="83" t="inlineStr">
        <is>
          <t>Fall 2026</t>
        </is>
      </c>
      <c r="D10" s="83" t="inlineStr">
        <is>
          <t>SimpleNursing</t>
        </is>
      </c>
      <c r="E10" s="84">
        <f>HYPERLINK("https://drive.google.com/file/d/1LJA-UCPkQcPVhtpUjWVppatjFP-TThur/view","▶  Watch")</f>
        <v/>
      </c>
      <c r="F10" s="83" t="inlineStr">
        <is>
          <t>NUR235_Fall2026_SimpleNursing_Wk01_DayNA_Child's concept of death, palliative and hospice care.mp4</t>
        </is>
      </c>
      <c r="G10" s="83" t="inlineStr">
        <is>
          <t>Child's concept of death, palliative and hospice care</t>
        </is>
      </c>
    </row>
    <row r="11" ht="15.75" customHeight="1" s="115">
      <c r="A11" s="82" t="inlineStr">
        <is>
          <t>Module 5</t>
        </is>
      </c>
      <c r="B11" s="82" t="n"/>
      <c r="C11" s="83" t="inlineStr">
        <is>
          <t>Fall 2026</t>
        </is>
      </c>
      <c r="D11" s="83" t="inlineStr">
        <is>
          <t>SimpleNursing</t>
        </is>
      </c>
      <c r="E11" s="84">
        <f>HYPERLINK("https://drive.google.com/file/d/1ZPuYyXsTCOg8RljRIERYN-fb4x_iq6J2/view","▶  Watch")</f>
        <v/>
      </c>
      <c r="F11" s="83" t="inlineStr">
        <is>
          <t>NUR235_Fall2026_SimpleNursing_Wk05_DayNA_Osteosarcoma and Ewing sarcoma.mp4</t>
        </is>
      </c>
      <c r="G11" s="83" t="inlineStr">
        <is>
          <t>Osteosarcoma and Ewing sarcoma</t>
        </is>
      </c>
    </row>
    <row r="12" ht="15.75" customHeight="1" s="115">
      <c r="A12" s="82" t="inlineStr">
        <is>
          <t>Module 5</t>
        </is>
      </c>
      <c r="B12" s="82" t="n"/>
      <c r="C12" s="83" t="inlineStr">
        <is>
          <t>Fall 2026</t>
        </is>
      </c>
      <c r="D12" s="83" t="inlineStr">
        <is>
          <t>SimpleNursing</t>
        </is>
      </c>
      <c r="E12" s="84">
        <f>HYPERLINK("https://drive.google.com/file/d/1T6nL1Yz7hRg5J-3S6IzBURivqIzHQYgx/view","▶  Watch")</f>
        <v/>
      </c>
      <c r="F12" s="83" t="inlineStr">
        <is>
          <t>NUR235_Fall2026_SimpleNursing_Wk05_DayNA_Childhood leukemia.mp4</t>
        </is>
      </c>
      <c r="G12" s="83" t="inlineStr">
        <is>
          <t>Childhood leukemia</t>
        </is>
      </c>
    </row>
    <row r="13" ht="15.75" customHeight="1" s="115">
      <c r="A13" s="82" t="inlineStr">
        <is>
          <t>Module 5</t>
        </is>
      </c>
      <c r="B13" s="82" t="n"/>
      <c r="C13" s="83" t="inlineStr">
        <is>
          <t>Fall 2026</t>
        </is>
      </c>
      <c r="D13" s="83" t="inlineStr">
        <is>
          <t>SimpleNursing</t>
        </is>
      </c>
      <c r="E13" s="84">
        <f>HYPERLINK("https://drive.google.com/file/d/1YXwmU0qqnFw8SFgrWFISpWAJ3IDbEVg8/view","▶  Watch")</f>
        <v/>
      </c>
      <c r="F13" s="83" t="inlineStr">
        <is>
          <t>NUR235_Fall2026_SimpleNursing_Wk05_DayNA_Neuroblastoma vs Wilms tumor.mp4</t>
        </is>
      </c>
      <c r="G13" s="83" t="inlineStr">
        <is>
          <t>Neuroblastoma vs Wilms tumor</t>
        </is>
      </c>
    </row>
    <row r="14" ht="15.75" customHeight="1" s="115">
      <c r="A14" s="82" t="inlineStr">
        <is>
          <t>Module 5</t>
        </is>
      </c>
      <c r="B14" s="82" t="n"/>
      <c r="C14" s="83" t="inlineStr">
        <is>
          <t>Fall 2026</t>
        </is>
      </c>
      <c r="D14" s="83" t="inlineStr">
        <is>
          <t>SimpleNursing</t>
        </is>
      </c>
      <c r="E14" s="84">
        <f>HYPERLINK("https://drive.google.com/file/d/19pqW9CceVJ1UOrhrIppU4H1VYPyZA4SA/view","▶  Watch")</f>
        <v/>
      </c>
      <c r="F14" s="83" t="inlineStr">
        <is>
          <t>NUR235_Fall2026_SimpleNursing_Wk05_DayNA_Retinoblastoma.mp4</t>
        </is>
      </c>
      <c r="G14" s="83" t="inlineStr">
        <is>
          <t>Retinoblastoma</t>
        </is>
      </c>
    </row>
    <row r="15" ht="15.75" customHeight="1" s="115">
      <c r="A15" s="82" t="inlineStr">
        <is>
          <t>Module 5</t>
        </is>
      </c>
      <c r="B15" s="82" t="n"/>
      <c r="C15" s="83" t="inlineStr">
        <is>
          <t>Fall 2026</t>
        </is>
      </c>
      <c r="D15" s="83" t="inlineStr">
        <is>
          <t>SimpleNursing</t>
        </is>
      </c>
      <c r="E15" s="84">
        <f>HYPERLINK("https://drive.google.com/file/d/1G3BCt5NJZpY7A4Y7odGQyjUxgsGSa2Zr/view","▶  Watch")</f>
        <v/>
      </c>
      <c r="F15" s="83" t="inlineStr">
        <is>
          <t>NUR235_Fall2026_SimpleNursing_Wk05_DayNA_Chemotherapy, neutropenic precautions and radiation.mp4</t>
        </is>
      </c>
      <c r="G15" s="83" t="inlineStr">
        <is>
          <t>Chemotherapy, neutropenic precautions and radiation</t>
        </is>
      </c>
    </row>
    <row r="16" ht="15.75" customHeight="1" s="115">
      <c r="A16" s="82" t="inlineStr">
        <is>
          <t>Module 5</t>
        </is>
      </c>
      <c r="B16" s="82" t="n"/>
      <c r="C16" s="83" t="inlineStr">
        <is>
          <t>Fall 2026</t>
        </is>
      </c>
      <c r="D16" s="83" t="inlineStr">
        <is>
          <t>SimpleNursing</t>
        </is>
      </c>
      <c r="E16" s="84">
        <f>HYPERLINK("https://drive.google.com/file/d/1IC6G86_Rf6lGoi8HsC63Mqij8A1AQoGL/view","▶  Watch")</f>
        <v/>
      </c>
      <c r="F16" s="83" t="inlineStr">
        <is>
          <t>NUR235_Fall2026_SimpleNursing_Wk05_DayNA_Wilms tumor (nephroblastoma).mp4</t>
        </is>
      </c>
      <c r="G16" s="83" t="inlineStr">
        <is>
          <t>Wilms tumor (nephroblastoma)</t>
        </is>
      </c>
    </row>
    <row r="17" ht="15.75" customHeight="1" s="115">
      <c r="A17" s="82" t="inlineStr">
        <is>
          <t>Module 5</t>
        </is>
      </c>
      <c r="B17" s="82" t="n"/>
      <c r="C17" s="83" t="inlineStr">
        <is>
          <t>Fall 2026</t>
        </is>
      </c>
      <c r="D17" s="83" t="inlineStr">
        <is>
          <t>SimpleNursing</t>
        </is>
      </c>
      <c r="E17" s="84">
        <f>HYPERLINK("https://drive.google.com/file/d/17dtckcm7otMMXhVDXX44-OVWcCT8DDJa/view","▶  Watch")</f>
        <v/>
      </c>
      <c r="F17" s="83" t="inlineStr">
        <is>
          <t>NUR235_Fall2026_SimpleNursing_Wk05_DayNA_Anemia - iron deficiency, sickle cell, pernicious.mp4</t>
        </is>
      </c>
      <c r="G17" s="83" t="inlineStr">
        <is>
          <t>Anemia - iron deficiency, sickle cell, pernicious</t>
        </is>
      </c>
    </row>
    <row r="18" ht="15.75" customHeight="1" s="115">
      <c r="A18" s="82" t="inlineStr">
        <is>
          <t>Module 5</t>
        </is>
      </c>
      <c r="B18" s="82" t="n"/>
      <c r="C18" s="83" t="inlineStr">
        <is>
          <t>Fall 2026</t>
        </is>
      </c>
      <c r="D18" s="83" t="inlineStr">
        <is>
          <t>SimpleNursing</t>
        </is>
      </c>
      <c r="E18" s="84">
        <f>HYPERLINK("https://drive.google.com/file/d/1s_2KbdHhyDUsKz-J2bMc-ZAbIGdYOICC/view","▶  Watch")</f>
        <v/>
      </c>
      <c r="F18" s="83" t="inlineStr">
        <is>
          <t>NUR235_Fall2026_SimpleNursing_Wk05_DayNA_Hemophilia.mp4</t>
        </is>
      </c>
      <c r="G18" s="83" t="inlineStr">
        <is>
          <t>Hemophilia</t>
        </is>
      </c>
    </row>
    <row r="19" ht="15.75" customHeight="1" s="115">
      <c r="A19" s="82" t="inlineStr">
        <is>
          <t>Module 5</t>
        </is>
      </c>
      <c r="B19" s="82" t="n"/>
      <c r="C19" s="83" t="inlineStr">
        <is>
          <t>Fall 2026</t>
        </is>
      </c>
      <c r="D19" s="83" t="inlineStr">
        <is>
          <t>SimpleNursing</t>
        </is>
      </c>
      <c r="E19" s="84">
        <f>HYPERLINK("https://drive.google.com/file/d/16XQMVnF5a7f--a6FqCF9XrjxCZ6cS4zZ/view","▶  Watch")</f>
        <v/>
      </c>
      <c r="F19" s="83" t="inlineStr">
        <is>
          <t>NUR235_Fall2026_SimpleNursing_Wk05_DayNA_Thrombocytopenia and ITP - bleeding precautions.mp4</t>
        </is>
      </c>
      <c r="G19" s="83" t="inlineStr">
        <is>
          <t>Thrombocytopenia and ITP - bleeding precautions</t>
        </is>
      </c>
    </row>
    <row r="20">
      <c r="A20" s="82" t="inlineStr">
        <is>
          <t>Module 6</t>
        </is>
      </c>
      <c r="B20" s="82" t="n"/>
      <c r="C20" s="83" t="inlineStr">
        <is>
          <t>Fall 2026</t>
        </is>
      </c>
      <c r="D20" s="83" t="inlineStr">
        <is>
          <t>SimpleNursing</t>
        </is>
      </c>
      <c r="E20" s="84">
        <f>HYPERLINK("https://drive.google.com/file/d/1zBJOhufV67A7YHyBVERTD4j0H_PHS_a3/view","▶  Watch")</f>
        <v/>
      </c>
      <c r="F20" s="83" t="inlineStr">
        <is>
          <t>NUR235_Fall2026_SimpleNursing_Wk06_DayNA_Pediatric skin - acne, eczema, impetigo, lice, tinea.mp4</t>
        </is>
      </c>
      <c r="G20" s="83" t="inlineStr">
        <is>
          <t>Pediatric skin - acne, eczema, impetigo, lice, tinea</t>
        </is>
      </c>
    </row>
    <row r="21" ht="15.75" customHeight="1" s="115">
      <c r="A21" s="82" t="inlineStr">
        <is>
          <t>Module 7</t>
        </is>
      </c>
      <c r="B21" s="82" t="n"/>
      <c r="C21" s="83" t="inlineStr">
        <is>
          <t>Fall 2026</t>
        </is>
      </c>
      <c r="D21" s="83" t="inlineStr">
        <is>
          <t>SimpleNursing</t>
        </is>
      </c>
      <c r="E21" s="84">
        <f>HYPERLINK("https://drive.google.com/file/d/1A7xlNql11qkTwW9E07hHRcUO6tP4aRU5/view","▶  Watch")</f>
        <v/>
      </c>
      <c r="F21" s="83" t="inlineStr">
        <is>
          <t>NUR235_Fall2026_SimpleNursing_Wk07_DayNA_Pediatric neuro - cerebral palsy, head injury, hydrocephalus, ICP, meningitis.mp4</t>
        </is>
      </c>
      <c r="G21" s="83" t="inlineStr">
        <is>
          <t>Pediatric neuro - cerebral palsy, head injury, hydrocephalus, ICP, meningitis</t>
        </is>
      </c>
    </row>
    <row r="22" ht="15.75" customHeight="1" s="115">
      <c r="A22" s="82" t="inlineStr">
        <is>
          <t>Module 11</t>
        </is>
      </c>
      <c r="B22" s="82" t="n"/>
      <c r="C22" s="83" t="inlineStr">
        <is>
          <t>Fall 2026</t>
        </is>
      </c>
      <c r="D22" s="83" t="inlineStr">
        <is>
          <t>SimpleNursing</t>
        </is>
      </c>
      <c r="E22" s="84">
        <f>HYPERLINK("https://drive.google.com/file/d/1eIviqxcWn45s5pCfLahFBekb9uts8x_J/view","▶  Watch")</f>
        <v/>
      </c>
      <c r="F22" s="83" t="inlineStr">
        <is>
          <t>NUR235_Fall2026_SimpleNursing_Wk11_DayNA_Pediatric diabetes - type 1 and 2, insulin, hypoglycemia, pumps.mp4</t>
        </is>
      </c>
      <c r="G22" s="83" t="inlineStr">
        <is>
          <t>Pediatric diabetes - type 1 and 2, insulin, hypoglycemia, pumps</t>
        </is>
      </c>
    </row>
    <row r="23" ht="15.75" customHeight="1" s="115">
      <c r="A23" s="82" t="inlineStr">
        <is>
          <t>Module 11</t>
        </is>
      </c>
      <c r="B23" s="82" t="n"/>
      <c r="C23" s="83" t="inlineStr">
        <is>
          <t>Fall 2026</t>
        </is>
      </c>
      <c r="D23" s="83" t="inlineStr">
        <is>
          <t>SimpleNursing</t>
        </is>
      </c>
      <c r="E23" s="84">
        <f>HYPERLINK("https://drive.google.com/file/d/1n1mFFjdwdN_8mktApgV_zHwvjkkHHvjS/view","▶  Watch")</f>
        <v/>
      </c>
      <c r="F23" s="83" t="inlineStr">
        <is>
          <t>NUR235_Fall2026_SimpleNursing_Wk11_DayNA_DKA vs HHNS (pediatric).mp4</t>
        </is>
      </c>
      <c r="G23" s="83" t="inlineStr">
        <is>
          <t>DKA vs HHNS (pediatric)</t>
        </is>
      </c>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9" t="inlineStr">
        <is>
          <t>NUR234</t>
        </is>
      </c>
      <c r="B2" s="9" t="inlineStr">
        <is>
          <t>NUR235</t>
        </is>
      </c>
      <c r="C2" s="12" t="inlineStr">
        <is>
          <t>NUR258</t>
        </is>
      </c>
      <c r="D2" s="13" t="inlineStr">
        <is>
          <t>🏠 START HERE</t>
        </is>
      </c>
      <c r="E2" s="17" t="inlineStr">
        <is>
          <t>📥 Sort me</t>
        </is>
      </c>
      <c r="F2" s="18" t="n"/>
      <c r="G2" s="18" t="n"/>
    </row>
    <row r="3">
      <c r="A3" s="94" t="inlineStr">
        <is>
          <t>Halecka</t>
        </is>
      </c>
      <c r="B3" s="19" t="inlineStr">
        <is>
          <t>Wagner</t>
        </is>
      </c>
      <c r="C3" s="19" t="inlineStr">
        <is>
          <t>Simmons</t>
        </is>
      </c>
      <c r="D3" s="19" t="inlineStr">
        <is>
          <t>Exams</t>
        </is>
      </c>
      <c r="E3" s="28">
        <f>HYPERLINK('START HERE'!$B$36,"Zoom")</f>
        <v/>
      </c>
      <c r="F3" s="19"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94" t="inlineStr">
        <is>
          <t>Wagner</t>
        </is>
      </c>
      <c r="C3" s="19" t="inlineStr">
        <is>
          <t>Simmons</t>
        </is>
      </c>
      <c r="D3" s="19" t="inlineStr">
        <is>
          <t>Exams</t>
        </is>
      </c>
      <c r="E3" s="28">
        <f>HYPERLINK('START HERE'!$B$36,"Zoom")</f>
        <v/>
      </c>
      <c r="F3" s="19"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19" t="inlineStr">
        <is>
          <t>Wagner</t>
        </is>
      </c>
      <c r="C3" s="94" t="inlineStr">
        <is>
          <t>Simmons</t>
        </is>
      </c>
      <c r="D3" s="19" t="inlineStr">
        <is>
          <t>Exams</t>
        </is>
      </c>
      <c r="E3" s="28">
        <f>HYPERLINK('START HERE'!$B$36,"Zoom")</f>
        <v/>
      </c>
      <c r="F3" s="19"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2" t="n"/>
      <c r="F10" s="70" t="n"/>
      <c r="G10" s="70" t="n"/>
    </row>
    <row r="11">
      <c r="A11" s="97" t="inlineStr">
        <is>
          <t>Week 2</t>
        </is>
      </c>
      <c r="B11" s="97" t="inlineStr">
        <is>
          <t>Day 2</t>
        </is>
      </c>
      <c r="C11" s="98" t="inlineStr">
        <is>
          <t>Fall 2026</t>
        </is>
      </c>
      <c r="D11" s="98" t="inlineStr">
        <is>
          <t>Simmons</t>
        </is>
      </c>
      <c r="E11" s="103" t="n"/>
      <c r="F11" s="98" t="n"/>
      <c r="G11" s="98" t="n"/>
    </row>
    <row r="12">
      <c r="A12" s="96" t="inlineStr">
        <is>
          <t>Week 3</t>
        </is>
      </c>
      <c r="B12" s="96" t="inlineStr">
        <is>
          <t>Day 1</t>
        </is>
      </c>
      <c r="C12" s="70" t="inlineStr">
        <is>
          <t>Fall 2026</t>
        </is>
      </c>
      <c r="D12" s="70" t="inlineStr">
        <is>
          <t>Simmons</t>
        </is>
      </c>
      <c r="E12" s="102" t="n"/>
      <c r="F12" s="70" t="n"/>
      <c r="G12" s="70" t="n"/>
    </row>
    <row r="13">
      <c r="A13" s="97" t="inlineStr">
        <is>
          <t>Week 3</t>
        </is>
      </c>
      <c r="B13" s="97" t="inlineStr">
        <is>
          <t>Day 2</t>
        </is>
      </c>
      <c r="C13" s="98" t="inlineStr">
        <is>
          <t>Fall 2026</t>
        </is>
      </c>
      <c r="D13" s="98" t="inlineStr">
        <is>
          <t>Simmons</t>
        </is>
      </c>
      <c r="E13" s="103"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3"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3"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3" t="n"/>
      <c r="F21" s="98" t="n"/>
      <c r="G21" s="98" t="n"/>
    </row>
    <row r="22" ht="15.75" customHeight="1" s="115">
      <c r="A22" s="96" t="inlineStr">
        <is>
          <t>Week 8</t>
        </is>
      </c>
      <c r="B22" s="96" t="inlineStr">
        <is>
          <t>Day 1</t>
        </is>
      </c>
      <c r="C22" s="70" t="inlineStr">
        <is>
          <t>Fall 2026</t>
        </is>
      </c>
      <c r="D22" s="70" t="inlineStr">
        <is>
          <t>Simmons</t>
        </is>
      </c>
      <c r="E22" s="102" t="n"/>
      <c r="F22" s="70" t="n"/>
      <c r="G22" s="70" t="n"/>
    </row>
    <row r="23" ht="15.75" customHeight="1" s="115">
      <c r="A23" s="97" t="inlineStr">
        <is>
          <t>Week 8</t>
        </is>
      </c>
      <c r="B23" s="97" t="inlineStr">
        <is>
          <t>Day 2</t>
        </is>
      </c>
      <c r="C23" s="98" t="inlineStr">
        <is>
          <t>Fall 2026</t>
        </is>
      </c>
      <c r="D23" s="98" t="inlineStr">
        <is>
          <t>Simmons</t>
        </is>
      </c>
      <c r="E23" s="103" t="n"/>
      <c r="F23" s="98" t="n"/>
      <c r="G23" s="98" t="n"/>
    </row>
    <row r="24" ht="15.75" customHeight="1" s="115">
      <c r="A24" s="96" t="inlineStr">
        <is>
          <t>Week 9</t>
        </is>
      </c>
      <c r="B24" s="96" t="inlineStr">
        <is>
          <t>Day 1</t>
        </is>
      </c>
      <c r="C24" s="70" t="inlineStr">
        <is>
          <t>Fall 2026</t>
        </is>
      </c>
      <c r="D24" s="70" t="inlineStr">
        <is>
          <t>Simmons</t>
        </is>
      </c>
      <c r="E24" s="102" t="n"/>
      <c r="F24" s="70" t="n"/>
      <c r="G24" s="70" t="n"/>
    </row>
    <row r="25" ht="15.75" customHeight="1" s="115">
      <c r="A25" s="97" t="inlineStr">
        <is>
          <t>Week 9</t>
        </is>
      </c>
      <c r="B25" s="97" t="inlineStr">
        <is>
          <t>Day 2</t>
        </is>
      </c>
      <c r="C25" s="98" t="inlineStr">
        <is>
          <t>Fall 2026</t>
        </is>
      </c>
      <c r="D25" s="98" t="inlineStr">
        <is>
          <t>Simmons</t>
        </is>
      </c>
      <c r="E25" s="103" t="n"/>
      <c r="F25" s="98" t="n"/>
      <c r="G25" s="98" t="n"/>
    </row>
    <row r="26" ht="15.75" customHeight="1" s="115">
      <c r="A26" s="96" t="inlineStr">
        <is>
          <t>Week 10</t>
        </is>
      </c>
      <c r="B26" s="96" t="inlineStr">
        <is>
          <t>Day 1</t>
        </is>
      </c>
      <c r="C26" s="70" t="inlineStr">
        <is>
          <t>Fall 2026</t>
        </is>
      </c>
      <c r="D26" s="70" t="inlineStr">
        <is>
          <t>Simmons</t>
        </is>
      </c>
      <c r="E26" s="102" t="n"/>
      <c r="F26" s="70" t="n"/>
      <c r="G26" s="70" t="n"/>
    </row>
    <row r="27" ht="15.75" customHeight="1" s="115">
      <c r="A27" s="97" t="inlineStr">
        <is>
          <t>Week 10</t>
        </is>
      </c>
      <c r="B27" s="97" t="inlineStr">
        <is>
          <t>Day 2</t>
        </is>
      </c>
      <c r="C27" s="98" t="inlineStr">
        <is>
          <t>Fall 2026</t>
        </is>
      </c>
      <c r="D27" s="98" t="inlineStr">
        <is>
          <t>Simmons</t>
        </is>
      </c>
      <c r="E27" s="103" t="n"/>
      <c r="F27" s="98" t="n"/>
      <c r="G27" s="98" t="n"/>
    </row>
    <row r="28" ht="15.75" customHeight="1" s="115">
      <c r="A28" s="96" t="inlineStr">
        <is>
          <t>Week 11</t>
        </is>
      </c>
      <c r="B28" s="96" t="inlineStr">
        <is>
          <t>Day 1</t>
        </is>
      </c>
      <c r="C28" s="70" t="inlineStr">
        <is>
          <t>Fall 2026</t>
        </is>
      </c>
      <c r="D28" s="70" t="inlineStr">
        <is>
          <t>Simmons</t>
        </is>
      </c>
      <c r="E28" s="102" t="n"/>
      <c r="F28" s="70" t="n"/>
      <c r="G28" s="70" t="n"/>
    </row>
    <row r="29" ht="15.75" customHeight="1" s="115">
      <c r="A29" s="97" t="inlineStr">
        <is>
          <t>Week 11</t>
        </is>
      </c>
      <c r="B29" s="97" t="inlineStr">
        <is>
          <t>Day 2</t>
        </is>
      </c>
      <c r="C29" s="98" t="inlineStr">
        <is>
          <t>Fall 2026</t>
        </is>
      </c>
      <c r="D29" s="98" t="inlineStr">
        <is>
          <t>Simmons</t>
        </is>
      </c>
      <c r="E29" s="103" t="n"/>
      <c r="F29" s="98" t="n"/>
      <c r="G29" s="98" t="n"/>
    </row>
    <row r="30" ht="15.75" customHeight="1" s="115">
      <c r="A30" s="96" t="inlineStr">
        <is>
          <t>Week 12</t>
        </is>
      </c>
      <c r="B30" s="96" t="inlineStr">
        <is>
          <t>Day 1</t>
        </is>
      </c>
      <c r="C30" s="70" t="inlineStr">
        <is>
          <t>Fall 2026</t>
        </is>
      </c>
      <c r="D30" s="70" t="inlineStr">
        <is>
          <t>Simmons</t>
        </is>
      </c>
      <c r="E30" s="102" t="n"/>
      <c r="F30" s="70" t="n"/>
      <c r="G30" s="70" t="n"/>
    </row>
    <row r="31" ht="15.75" customHeight="1" s="115">
      <c r="A31" s="97" t="inlineStr">
        <is>
          <t>Week 12</t>
        </is>
      </c>
      <c r="B31" s="97" t="inlineStr">
        <is>
          <t>Day 2</t>
        </is>
      </c>
      <c r="C31" s="98" t="inlineStr">
        <is>
          <t>Fall 2026</t>
        </is>
      </c>
      <c r="D31" s="98" t="inlineStr">
        <is>
          <t>Simmons</t>
        </is>
      </c>
      <c r="E31" s="103" t="n"/>
      <c r="F31" s="98" t="n"/>
      <c r="G31" s="98" t="n"/>
    </row>
    <row r="32" ht="15.75" customHeight="1" s="115">
      <c r="A32" s="96" t="inlineStr">
        <is>
          <t>Week 13</t>
        </is>
      </c>
      <c r="B32" s="96" t="inlineStr">
        <is>
          <t>Day 1</t>
        </is>
      </c>
      <c r="C32" s="70" t="inlineStr">
        <is>
          <t>Fall 2026</t>
        </is>
      </c>
      <c r="D32" s="70" t="inlineStr">
        <is>
          <t>Simmons</t>
        </is>
      </c>
      <c r="E32" s="102" t="n"/>
      <c r="F32" s="70" t="n"/>
      <c r="G32" s="70" t="n"/>
    </row>
    <row r="33" ht="15.75" customHeight="1" s="115">
      <c r="A33" s="97" t="inlineStr">
        <is>
          <t>Week 13</t>
        </is>
      </c>
      <c r="B33" s="97" t="inlineStr">
        <is>
          <t>Day 2</t>
        </is>
      </c>
      <c r="C33" s="98" t="inlineStr">
        <is>
          <t>Fall 2026</t>
        </is>
      </c>
      <c r="D33" s="98" t="inlineStr">
        <is>
          <t>Simmons</t>
        </is>
      </c>
      <c r="E33" s="103" t="n"/>
      <c r="F33" s="98" t="n"/>
      <c r="G33" s="98" t="n"/>
    </row>
    <row r="34" ht="15.75" customHeight="1" s="115">
      <c r="A34" s="96" t="inlineStr">
        <is>
          <t>Week 14</t>
        </is>
      </c>
      <c r="B34" s="96" t="inlineStr">
        <is>
          <t>Day 1</t>
        </is>
      </c>
      <c r="C34" s="70" t="inlineStr">
        <is>
          <t>Fall 2026</t>
        </is>
      </c>
      <c r="D34" s="70" t="inlineStr">
        <is>
          <t>Simmons</t>
        </is>
      </c>
      <c r="E34" s="102" t="n"/>
      <c r="F34" s="70" t="n"/>
      <c r="G34" s="70" t="n"/>
    </row>
    <row r="35" ht="15.75" customHeight="1" s="115">
      <c r="A35" s="97" t="inlineStr">
        <is>
          <t>Week 14</t>
        </is>
      </c>
      <c r="B35" s="97" t="inlineStr">
        <is>
          <t>Day 2</t>
        </is>
      </c>
      <c r="C35" s="98" t="inlineStr">
        <is>
          <t>Fall 2026</t>
        </is>
      </c>
      <c r="D35" s="98" t="inlineStr">
        <is>
          <t>Simmons</t>
        </is>
      </c>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19" t="inlineStr">
        <is>
          <t>Wagner</t>
        </is>
      </c>
      <c r="C3" s="19" t="inlineStr">
        <is>
          <t>Simmons</t>
        </is>
      </c>
      <c r="D3" s="104" t="inlineStr">
        <is>
          <t>Exams</t>
        </is>
      </c>
      <c r="E3" s="28">
        <f>HYPERLINK('START HERE'!$B$36,"Zoom")</f>
        <v/>
      </c>
      <c r="F3" s="19" t="inlineStr">
        <is>
          <t>Review videos</t>
        </is>
      </c>
      <c r="G3" s="18" t="n"/>
    </row>
    <row r="4">
      <c r="A4" s="18" t="n"/>
      <c r="B4" s="18" t="n"/>
      <c r="C4" s="18" t="n"/>
      <c r="D4" s="18" t="n"/>
      <c r="E4" s="18" t="n"/>
      <c r="F4" s="18" t="n"/>
      <c r="G4" s="18"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5"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5"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5" t="n"/>
    </row>
    <row r="16">
      <c r="A16" s="96" t="n"/>
      <c r="B16" s="70" t="n"/>
      <c r="C16" s="70" t="n"/>
      <c r="D16" s="70" t="n"/>
      <c r="E16" s="70" t="n"/>
      <c r="F16" s="106" t="n"/>
      <c r="G16" s="70" t="n"/>
      <c r="H16" s="105"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81.70999999999999" customWidth="1" style="115" min="7" max="7"/>
  </cols>
  <sheetData>
    <row r="1">
      <c r="A1" s="93" t="inlineStr">
        <is>
          <t>NUR258  ·  Review videos (SimpleNursing, LevelUpRN)</t>
        </is>
      </c>
    </row>
    <row r="2">
      <c r="A2" s="9" t="inlineStr">
        <is>
          <t>NUR234</t>
        </is>
      </c>
      <c r="B2" s="9" t="inlineStr">
        <is>
          <t>NUR235</t>
        </is>
      </c>
      <c r="C2" s="12" t="inlineStr">
        <is>
          <t>NUR258</t>
        </is>
      </c>
      <c r="D2" s="13" t="inlineStr">
        <is>
          <t>🏠 START HERE</t>
        </is>
      </c>
      <c r="E2" s="17" t="inlineStr">
        <is>
          <t>📥 Sort me</t>
        </is>
      </c>
      <c r="F2" s="18" t="n"/>
      <c r="G2" s="18" t="n"/>
    </row>
    <row r="3">
      <c r="A3" s="19" t="inlineStr">
        <is>
          <t>Halecka</t>
        </is>
      </c>
      <c r="B3" s="19" t="inlineStr">
        <is>
          <t>Wagner</t>
        </is>
      </c>
      <c r="C3" s="19" t="inlineStr">
        <is>
          <t>Simmons</t>
        </is>
      </c>
      <c r="D3" s="19" t="inlineStr">
        <is>
          <t>Exams</t>
        </is>
      </c>
      <c r="E3" s="19">
        <f>HYPERLINK('START HERE'!$B$36,"Zoom")</f>
        <v/>
      </c>
      <c r="F3" s="94" t="inlineStr">
        <is>
          <t>Review videos</t>
        </is>
      </c>
      <c r="G3" s="18" t="n"/>
    </row>
    <row r="4">
      <c r="A4" s="18" t="n"/>
      <c r="B4" s="18" t="n"/>
      <c r="C4" s="18" t="n"/>
      <c r="D4" s="18" t="n"/>
      <c r="E4" s="18" t="n"/>
      <c r="F4" s="18" t="n"/>
      <c r="G4" s="18"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3</t>
        </is>
      </c>
      <c r="B6" s="96" t="n"/>
      <c r="C6" s="70" t="inlineStr">
        <is>
          <t>Fall 2026</t>
        </is>
      </c>
      <c r="D6" s="70" t="inlineStr">
        <is>
          <t>SimpleNursing</t>
        </is>
      </c>
      <c r="E6" s="69">
        <f>HYPERLINK("https://drive.google.com/file/d/1hbV2RuRJi4j1z8RSVC3GFpl7T67Tr4gq/view","▶  Watch")</f>
        <v/>
      </c>
      <c r="F6" s="70" t="inlineStr">
        <is>
          <t>NUR258_Fall2026_SimpleNursing_Wk03_DayNA_Systemic lupus erythematosus (topic from the speech index).mp4</t>
        </is>
      </c>
      <c r="G6" s="70" t="inlineStr">
        <is>
          <t>Systemic lupus erythematosus (topic from the speech index)</t>
        </is>
      </c>
    </row>
    <row r="7">
      <c r="A7" s="96" t="inlineStr">
        <is>
          <t>Week 3</t>
        </is>
      </c>
      <c r="B7" s="96" t="n"/>
      <c r="C7" s="70" t="inlineStr">
        <is>
          <t>Fall 2026</t>
        </is>
      </c>
      <c r="D7" s="70" t="inlineStr">
        <is>
          <t>SimpleNursing</t>
        </is>
      </c>
      <c r="E7" s="69">
        <f>HYPERLINK("https://drive.google.com/file/d/1LPzU5sI1ldTy5n1rFyHCgX171oL_bBFI/view","▶  Watch")</f>
        <v/>
      </c>
      <c r="F7" s="70" t="inlineStr">
        <is>
          <t>NUR258_Fall2026_SimpleNursing_Wk03_DayNA_Immunology - anaphylactic shock, HIV, lupus, RA, TB, scleroderma.mp4</t>
        </is>
      </c>
      <c r="G7" s="70" t="inlineStr">
        <is>
          <t>Immunology - anaphylactic shock, HIV, lupus, RA, TB, scleroderma, Sjogren's (HIV and TB are Module 2)</t>
        </is>
      </c>
    </row>
    <row r="8">
      <c r="A8" s="96" t="inlineStr">
        <is>
          <t>Week 4</t>
        </is>
      </c>
      <c r="B8" s="96" t="n"/>
      <c r="C8" s="70" t="inlineStr">
        <is>
          <t>Fall 2026</t>
        </is>
      </c>
      <c r="D8" s="70" t="inlineStr">
        <is>
          <t>SimpleNursing</t>
        </is>
      </c>
      <c r="E8" s="69">
        <f>HYPERLINK("https://drive.google.com/file/d/1xFaaTKD3YFGBVm5VsXicl6YBJ9mGOSas/view","▶  Watch")</f>
        <v/>
      </c>
      <c r="F8" s="70" t="inlineStr">
        <is>
          <t>NUR258_Fall2026_SimpleNursing_Wk04_DayNA_Burns.mp4</t>
        </is>
      </c>
      <c r="G8" s="70" t="inlineStr">
        <is>
          <t>Burns</t>
        </is>
      </c>
    </row>
    <row r="9">
      <c r="A9" s="96" t="inlineStr">
        <is>
          <t>Week 5</t>
        </is>
      </c>
      <c r="B9" s="96" t="n"/>
      <c r="C9" s="70" t="inlineStr">
        <is>
          <t>Fall 2026</t>
        </is>
      </c>
      <c r="D9" s="70" t="inlineStr">
        <is>
          <t>SimpleNursing</t>
        </is>
      </c>
      <c r="E9" s="69">
        <f>HYPERLINK("https://drive.google.com/file/d/1nxH_cDpLrnzakw8o7bN36vnLd_ha75al/view","▶  Watch")</f>
        <v/>
      </c>
      <c r="F9" s="70" t="inlineStr">
        <is>
          <t>NUR258_Fall2026_SimpleNursing_Wk05_DayNA_Hyperaldosteronism (Conn syndrome).mp4</t>
        </is>
      </c>
      <c r="G9" s="70" t="inlineStr">
        <is>
          <t>Hyperaldosteronism (Conn syndrome)</t>
        </is>
      </c>
    </row>
    <row r="10">
      <c r="A10" s="96" t="inlineStr">
        <is>
          <t>Week 5</t>
        </is>
      </c>
      <c r="B10" s="96" t="n"/>
      <c r="C10" s="70" t="inlineStr">
        <is>
          <t>Fall 2026</t>
        </is>
      </c>
      <c r="D10" s="70" t="inlineStr">
        <is>
          <t>SimpleNursing</t>
        </is>
      </c>
      <c r="E10" s="69">
        <f>HYPERLINK("https://drive.google.com/file/d/1QhxY_crUQQ2sLjpa68p_y2FdP2sSIhA0/view","▶  Watch")</f>
        <v/>
      </c>
      <c r="F10" s="70" t="inlineStr">
        <is>
          <t>NUR258_Fall2026_SimpleNursing_Wk05_DayNA_Addison disease vs Cushing syndrome.mp4</t>
        </is>
      </c>
      <c r="G10" s="70" t="inlineStr">
        <is>
          <t>Addison disease vs Cushing syndrome</t>
        </is>
      </c>
    </row>
    <row r="11">
      <c r="A11" s="96" t="inlineStr">
        <is>
          <t>Week 5</t>
        </is>
      </c>
      <c r="B11" s="96" t="n"/>
      <c r="C11" s="70" t="inlineStr">
        <is>
          <t>Fall 2026</t>
        </is>
      </c>
      <c r="D11" s="70" t="inlineStr">
        <is>
          <t>SimpleNursing</t>
        </is>
      </c>
      <c r="E11" s="69">
        <f>HYPERLINK("https://drive.google.com/file/d/14cjZK-1vrJGBTADaYMOQ6gv_RxPAaX7S/view","▶  Watch")</f>
        <v/>
      </c>
      <c r="F11" s="70" t="inlineStr">
        <is>
          <t>NUR258_Fall2026_SimpleNursing_Wk05_DayNA_Hyper and hypoparathyroidism.mp4</t>
        </is>
      </c>
      <c r="G11" s="70" t="inlineStr">
        <is>
          <t>Hyper and hypoparathyroidism</t>
        </is>
      </c>
    </row>
    <row r="12">
      <c r="A12" s="96" t="inlineStr">
        <is>
          <t>Week 5</t>
        </is>
      </c>
      <c r="B12" s="96" t="n"/>
      <c r="C12" s="70" t="inlineStr">
        <is>
          <t>Fall 2026</t>
        </is>
      </c>
      <c r="D12" s="70" t="inlineStr">
        <is>
          <t>SimpleNursing</t>
        </is>
      </c>
      <c r="E12" s="69">
        <f>HYPERLINK("https://drive.google.com/file/d/1QEq4SvJf3U2LZ63l72AhghPUZkoCXImG/view","▶  Watch")</f>
        <v/>
      </c>
      <c r="F12" s="70" t="inlineStr">
        <is>
          <t>NUR258_Fall2026_SimpleNursing_Wk05_DayNA_Hyper vs hypothyroidism.mp4</t>
        </is>
      </c>
      <c r="G12" s="70" t="inlineStr">
        <is>
          <t>Hyper vs hypothyroidism</t>
        </is>
      </c>
    </row>
    <row r="13">
      <c r="A13" s="96" t="inlineStr">
        <is>
          <t>Week 5</t>
        </is>
      </c>
      <c r="B13" s="96" t="n"/>
      <c r="C13" s="70" t="inlineStr">
        <is>
          <t>Fall 2026</t>
        </is>
      </c>
      <c r="D13" s="70" t="inlineStr">
        <is>
          <t>SimpleNursing</t>
        </is>
      </c>
      <c r="E13" s="69">
        <f>HYPERLINK("https://drive.google.com/file/d/1y2Tf9dK-l0P6h3GRJZp3gKA0o5UPftHv/view","▶  Watch")</f>
        <v/>
      </c>
      <c r="F13" s="70" t="inlineStr">
        <is>
          <t>NUR258_Fall2026_SimpleNursing_Wk05_DayNA_Thyroid hormones and overview.mp4</t>
        </is>
      </c>
      <c r="G13" s="70" t="inlineStr">
        <is>
          <t>Thyroid hormones and overview</t>
        </is>
      </c>
    </row>
    <row r="14">
      <c r="A14" s="96" t="inlineStr">
        <is>
          <t>Week 5</t>
        </is>
      </c>
      <c r="B14" s="96" t="n"/>
      <c r="C14" s="70" t="inlineStr">
        <is>
          <t>Fall 2026</t>
        </is>
      </c>
      <c r="D14" s="70" t="inlineStr">
        <is>
          <t>SimpleNursing</t>
        </is>
      </c>
      <c r="E14" s="69">
        <f>HYPERLINK("https://drive.google.com/file/d/1E7h9gkc_Tul2lltgqu3T7nPxEWZFDJOu/view","▶  Watch")</f>
        <v/>
      </c>
      <c r="F14" s="70" t="inlineStr">
        <is>
          <t>NUR258_Fall2026_SimpleNursing_Wk05_DayNA_Thyroid storm and hypothyroidism - short clip (topic from the speech index).mp4</t>
        </is>
      </c>
      <c r="G14" s="70" t="inlineStr">
        <is>
          <t>Thyroid storm and hypothyroidism - short clip (topic from the speech index)</t>
        </is>
      </c>
    </row>
    <row r="15">
      <c r="A15" s="96" t="inlineStr">
        <is>
          <t>Week 5</t>
        </is>
      </c>
      <c r="B15" s="96" t="n"/>
      <c r="C15" s="70" t="inlineStr">
        <is>
          <t>Fall 2026</t>
        </is>
      </c>
      <c r="D15" s="70" t="inlineStr">
        <is>
          <t>SimpleNursing</t>
        </is>
      </c>
      <c r="E15" s="69">
        <f>HYPERLINK("https://drive.google.com/file/d/1zJBJ93oBwadLTji0pdHnWObc2asIXuu4/view","▶  Watch")</f>
        <v/>
      </c>
      <c r="F15" s="70" t="inlineStr">
        <is>
          <t>NUR258_Fall2026_SimpleNursing_Wk05_DayNA_SIADH vs diabetes insipidus (topic from the speech index).mp4</t>
        </is>
      </c>
      <c r="G15" s="70" t="inlineStr">
        <is>
          <t>SIADH vs diabetes insipidus (topic from the speech index)</t>
        </is>
      </c>
    </row>
    <row r="16">
      <c r="A16" s="96" t="inlineStr">
        <is>
          <t>Week 5</t>
        </is>
      </c>
      <c r="B16" s="96" t="n"/>
      <c r="C16" s="70" t="inlineStr">
        <is>
          <t>Fall 2026</t>
        </is>
      </c>
      <c r="D16" s="70" t="inlineStr">
        <is>
          <t>SimpleNursing</t>
        </is>
      </c>
      <c r="E16" s="69">
        <f>HYPERLINK("https://drive.google.com/file/d/1hpAB0VaO-QxB5fNoqDz-3vFgHwAdwI-M/view","▶  Watch")</f>
        <v/>
      </c>
      <c r="F16" s="70" t="inlineStr">
        <is>
          <t>NUR258_Fall2026_SimpleNursing_Wk05_DayNA_Adrenal - Addison disease, Addisonian crisis and Cushing syndrome.mp4</t>
        </is>
      </c>
      <c r="G16" s="70" t="inlineStr">
        <is>
          <t>Adrenal - Addison disease, Addisonian crisis and Cushing syndrome</t>
        </is>
      </c>
    </row>
    <row r="17">
      <c r="A17" s="96" t="inlineStr">
        <is>
          <t>Week 6</t>
        </is>
      </c>
      <c r="B17" s="96" t="n"/>
      <c r="C17" s="70" t="inlineStr">
        <is>
          <t>Fall 2026</t>
        </is>
      </c>
      <c r="D17" s="70" t="inlineStr">
        <is>
          <t>SimpleNursing</t>
        </is>
      </c>
      <c r="E17" s="69">
        <f>HYPERLINK("https://drive.google.com/file/d/1bCZtcMyejU83Tq7RvzkLiD0KLR5wtDOk/view","▶  Watch")</f>
        <v/>
      </c>
      <c r="F17" s="70" t="inlineStr">
        <is>
          <t>NUR258_Fall2026_SimpleNursing_Wk06_DayNA_Diabetes - DKA vs HHS.mp4</t>
        </is>
      </c>
      <c r="G17" s="70" t="inlineStr">
        <is>
          <t>Diabetes - DKA vs HHS</t>
        </is>
      </c>
    </row>
    <row r="18">
      <c r="A18" s="96" t="inlineStr">
        <is>
          <t>Week 6</t>
        </is>
      </c>
      <c r="B18" s="96" t="n"/>
      <c r="C18" s="70" t="inlineStr">
        <is>
          <t>Fall 2026</t>
        </is>
      </c>
      <c r="D18" s="70" t="inlineStr">
        <is>
          <t>SimpleNursing</t>
        </is>
      </c>
      <c r="E18" s="69">
        <f>HYPERLINK("https://drive.google.com/file/d/1sa-WbsyJnZ6fvirpn9e1kYU_EddpfQFL/view","▶  Watch")</f>
        <v/>
      </c>
      <c r="F18" s="70" t="inlineStr">
        <is>
          <t>NUR258_Fall2026_SimpleNursing_Wk06_DayNA_Diabetes overview - insulin, management and complications.mp4</t>
        </is>
      </c>
      <c r="G18" s="70" t="inlineStr">
        <is>
          <t>Diabetes overview - insulin, management and complications</t>
        </is>
      </c>
    </row>
    <row r="19">
      <c r="A19" s="96" t="inlineStr">
        <is>
          <t>Week 7</t>
        </is>
      </c>
      <c r="B19" s="96" t="n"/>
      <c r="C19" s="70" t="inlineStr">
        <is>
          <t>Fall 2026</t>
        </is>
      </c>
      <c r="D19" s="70" t="inlineStr">
        <is>
          <t>SimpleNursing</t>
        </is>
      </c>
      <c r="E19" s="69">
        <f>HYPERLINK("https://drive.google.com/file/d/1eFvyj5bgw2NDc5sMW3P43Mr9dbGCi3cS/view","▶  Watch")</f>
        <v/>
      </c>
      <c r="F19" s="70" t="inlineStr">
        <is>
          <t>NUR258_Fall2026_SimpleNursing_Wk07_DayNA_CNS and PNS.mp4</t>
        </is>
      </c>
      <c r="G19" s="70" t="inlineStr">
        <is>
          <t>CNS and PNS - MS, myasthenia gravis, ALS, Alzheimer's, GBS (Module 8) and seizures (Module 7)</t>
        </is>
      </c>
    </row>
    <row r="20">
      <c r="A20" s="96" t="inlineStr">
        <is>
          <t>Week 11</t>
        </is>
      </c>
      <c r="B20" s="96" t="n"/>
      <c r="C20" s="70" t="inlineStr">
        <is>
          <t>Fall 2026</t>
        </is>
      </c>
      <c r="D20" s="70" t="inlineStr">
        <is>
          <t>SimpleNursing</t>
        </is>
      </c>
      <c r="E20" s="69">
        <f>HYPERLINK("https://drive.google.com/file/d/1_Nt_5omZmJGHRkJwHCoucZVyRDEtSCLC/view","▶  Watch")</f>
        <v/>
      </c>
      <c r="F20" s="70" t="inlineStr">
        <is>
          <t>NUR258_Fall2026_SimpleNursing_Wk11_DayNA_Sexually transmitted infections (topic from the speech index).mp4</t>
        </is>
      </c>
      <c r="G20" s="70" t="inlineStr">
        <is>
          <t>Sexually transmitted infections (topic from the speech index)</t>
        </is>
      </c>
    </row>
    <row r="21" ht="15.75" customHeight="1" s="115">
      <c r="A21" s="96" t="inlineStr">
        <is>
          <t>Week 11</t>
        </is>
      </c>
      <c r="B21" s="96" t="n"/>
      <c r="C21" s="70" t="inlineStr">
        <is>
          <t>Fall 2026</t>
        </is>
      </c>
      <c r="D21" s="70" t="inlineStr">
        <is>
          <t>SimpleNursing</t>
        </is>
      </c>
      <c r="E21" s="69">
        <f>HYPERLINK("https://drive.google.com/file/d/1Cb2ybB2OSpOmZ1YZHb53AXo7og2QdGOe/view","▶  Watch")</f>
        <v/>
      </c>
      <c r="F21" s="70" t="inlineStr">
        <is>
          <t>NUR258_Fall2026_SimpleNursing_Wk11_DayNA_Reproductive cancers - prostate, testicular, breast (topic from the speech index).mp4</t>
        </is>
      </c>
      <c r="G21" s="70" t="inlineStr">
        <is>
          <t>Reproductive cancers - prostate, testicular, breast (topic from the speech index)</t>
        </is>
      </c>
    </row>
    <row r="22" ht="15.75" customHeight="1" s="115">
      <c r="A22" s="96" t="inlineStr">
        <is>
          <t>Week 12</t>
        </is>
      </c>
      <c r="B22" s="96" t="n"/>
      <c r="C22" s="70" t="inlineStr">
        <is>
          <t>Fall 2026</t>
        </is>
      </c>
      <c r="D22" s="70" t="inlineStr">
        <is>
          <t>LevelUpRN</t>
        </is>
      </c>
      <c r="E22" s="69">
        <f>HYPERLINK("https://drive.google.com/file/d/1pTAaqHEIRu40X2vKNwo6igkj31yOJAui/view","▶  Watch")</f>
        <v/>
      </c>
      <c r="F22" s="70" t="inlineStr">
        <is>
          <t>NUR258_Fall2026_LevelUpRN_Wk12_DayNA_Disaster nursing.mp4</t>
        </is>
      </c>
      <c r="G22" s="70" t="inlineStr">
        <is>
          <t>Disaster nursing</t>
        </is>
      </c>
    </row>
    <row r="23" ht="15.75" customHeight="1" s="115">
      <c r="A23" s="97" t="n"/>
      <c r="B23" s="97" t="n"/>
      <c r="C23" s="98" t="n"/>
      <c r="D23" s="98" t="n"/>
      <c r="E23" s="103" t="n"/>
      <c r="F23" s="98" t="n"/>
      <c r="G23" s="98" t="n"/>
    </row>
    <row r="24" ht="15.75" customHeight="1" s="115">
      <c r="A24" s="96" t="n"/>
      <c r="B24" s="96" t="n"/>
      <c r="C24" s="70" t="n"/>
      <c r="D24" s="70" t="n"/>
      <c r="E24" s="102" t="n"/>
      <c r="F24" s="70" t="n"/>
      <c r="G24" s="70" t="n"/>
    </row>
    <row r="25" ht="15.75" customHeight="1" s="115">
      <c r="A25" s="97" t="n"/>
      <c r="B25" s="97" t="n"/>
      <c r="C25" s="98" t="n"/>
      <c r="D25" s="98" t="n"/>
      <c r="E25" s="103" t="n"/>
      <c r="F25" s="98" t="n"/>
      <c r="G25" s="98" t="n"/>
    </row>
    <row r="26" ht="15.75" customHeight="1" s="115">
      <c r="A26" s="96" t="n"/>
      <c r="B26" s="96" t="n"/>
      <c r="C26" s="70" t="n"/>
      <c r="D26" s="70" t="n"/>
      <c r="E26" s="102" t="n"/>
      <c r="F26" s="70" t="n"/>
      <c r="G26" s="70" t="n"/>
    </row>
    <row r="27" ht="15.75" customHeight="1" s="115">
      <c r="A27" s="97" t="n"/>
      <c r="B27" s="97" t="n"/>
      <c r="C27" s="98" t="n"/>
      <c r="D27" s="98" t="n"/>
      <c r="E27" s="103" t="n"/>
      <c r="F27" s="98" t="n"/>
      <c r="G27" s="98" t="n"/>
    </row>
    <row r="28" ht="15.75" customHeight="1" s="115">
      <c r="A28" s="96" t="n"/>
      <c r="B28" s="96" t="n"/>
      <c r="C28" s="70" t="n"/>
      <c r="D28" s="70" t="n"/>
      <c r="E28" s="102" t="n"/>
      <c r="F28" s="70" t="n"/>
      <c r="G28" s="70" t="n"/>
    </row>
    <row r="29" ht="15.75" customHeight="1" s="115">
      <c r="A29" s="97" t="n"/>
      <c r="B29" s="97" t="n"/>
      <c r="C29" s="98" t="n"/>
      <c r="D29" s="98" t="n"/>
      <c r="E29" s="103" t="n"/>
      <c r="F29" s="98" t="n"/>
      <c r="G29" s="98" t="n"/>
    </row>
    <row r="30" ht="15.75" customHeight="1" s="115">
      <c r="A30" s="96" t="n"/>
      <c r="B30" s="96" t="n"/>
      <c r="C30" s="70" t="n"/>
      <c r="D30" s="70" t="n"/>
      <c r="E30" s="102" t="n"/>
      <c r="F30" s="70" t="n"/>
      <c r="G30" s="70" t="n"/>
    </row>
    <row r="31" ht="15.75" customHeight="1" s="115">
      <c r="A31" s="97" t="n"/>
      <c r="B31" s="97" t="n"/>
      <c r="C31" s="98" t="n"/>
      <c r="D31" s="98" t="n"/>
      <c r="E31" s="103" t="n"/>
      <c r="F31" s="98" t="n"/>
      <c r="G31" s="98" t="n"/>
    </row>
    <row r="32" ht="15.75" customHeight="1" s="115">
      <c r="A32" s="96" t="n"/>
      <c r="B32" s="96" t="n"/>
      <c r="C32" s="70" t="n"/>
      <c r="D32" s="70" t="n"/>
      <c r="E32" s="102" t="n"/>
      <c r="F32" s="70" t="n"/>
      <c r="G32" s="70" t="n"/>
    </row>
    <row r="33" ht="15.75" customHeight="1" s="115">
      <c r="A33" s="97" t="n"/>
      <c r="B33" s="97" t="n"/>
      <c r="C33" s="98" t="n"/>
      <c r="D33" s="98" t="n"/>
      <c r="E33" s="103" t="n"/>
      <c r="F33" s="98" t="n"/>
      <c r="G33" s="98" t="n"/>
    </row>
    <row r="34" ht="15.75" customHeight="1" s="115">
      <c r="A34" s="96" t="n"/>
      <c r="B34" s="96" t="n"/>
      <c r="C34" s="70" t="n"/>
      <c r="D34" s="70" t="n"/>
      <c r="E34" s="102" t="n"/>
      <c r="F34" s="70" t="n"/>
      <c r="G34" s="70" t="n"/>
    </row>
    <row r="35" ht="15.75" customHeight="1" s="115">
      <c r="A35" s="97" t="n"/>
      <c r="B35" s="97" t="n"/>
      <c r="C35" s="98" t="n"/>
      <c r="D35" s="98" t="n"/>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NUR198  ·  Adult Health I  ·  videos by module</t>
        </is>
      </c>
    </row>
    <row r="2">
      <c r="A2" s="9" t="inlineStr">
        <is>
          <t>NUR234</t>
        </is>
      </c>
      <c r="B2" s="9" t="inlineStr">
        <is>
          <t>NUR235</t>
        </is>
      </c>
      <c r="C2" s="9" t="inlineStr">
        <is>
          <t>NUR258</t>
        </is>
      </c>
      <c r="D2" s="9" t="inlineStr">
        <is>
          <t>🏠 START HERE</t>
        </is>
      </c>
      <c r="E2" s="9" t="inlineStr">
        <is>
          <t>📥 Sort me</t>
        </is>
      </c>
      <c r="F2" s="18" t="n"/>
      <c r="G2" s="18" t="n"/>
    </row>
    <row r="3">
      <c r="A3" s="122" t="inlineStr">
        <is>
          <t>NUR198</t>
        </is>
      </c>
      <c r="B3" s="19" t="inlineStr">
        <is>
          <t>NUR175</t>
        </is>
      </c>
      <c r="C3" s="19" t="inlineStr">
        <is>
          <t>NUR125</t>
        </is>
      </c>
      <c r="D3" s="19" t="n"/>
      <c r="E3" s="19" t="n"/>
      <c r="F3" s="92" t="n"/>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Summer 2026</t>
        </is>
      </c>
      <c r="D6" s="83" t="inlineStr">
        <is>
          <t>Not named</t>
        </is>
      </c>
      <c r="E6" s="84">
        <f>HYPERLINK("https://drive.google.com/file/d/1cAp3VRFG4m3iAIc7BIx1RBqyllw1qmV4/view","▶  Watch")</f>
        <v/>
      </c>
      <c r="F6" s="83" t="inlineStr">
        <is>
          <t>NUR198_Summer2026_Unknown_Wk01_DayNA_Exam 1 Lecture Older Adult.mp4</t>
        </is>
      </c>
      <c r="G6" s="83" t="inlineStr">
        <is>
          <t>Exam 1 Lecture Older Adult</t>
        </is>
      </c>
    </row>
    <row r="7">
      <c r="A7" s="82" t="inlineStr">
        <is>
          <t>Module 1</t>
        </is>
      </c>
      <c r="B7" s="82" t="n"/>
      <c r="C7" s="83" t="inlineStr">
        <is>
          <t>Summer 2026</t>
        </is>
      </c>
      <c r="D7" s="83" t="inlineStr">
        <is>
          <t>Not named</t>
        </is>
      </c>
      <c r="E7" s="84">
        <f>HYPERLINK("https://drive.google.com/file/d/19y-dJl_bPL9UzXq6GITrAt-xUXGcZfjg/view","▶  Watch")</f>
        <v/>
      </c>
      <c r="F7" s="83" t="inlineStr">
        <is>
          <t>NUR198_Summer2026_Unknown_Wk01_DayNA_Older Adult.mp4</t>
        </is>
      </c>
      <c r="G7" s="83" t="inlineStr">
        <is>
          <t>Older Adult</t>
        </is>
      </c>
    </row>
    <row r="8">
      <c r="A8" s="82" t="inlineStr">
        <is>
          <t>Module 1</t>
        </is>
      </c>
      <c r="B8" s="82" t="inlineStr">
        <is>
          <t>Day 1</t>
        </is>
      </c>
      <c r="C8" s="83" t="inlineStr">
        <is>
          <t>Summer 2026</t>
        </is>
      </c>
      <c r="D8" s="83" t="inlineStr">
        <is>
          <t>Wagner</t>
        </is>
      </c>
      <c r="E8" s="84">
        <f>HYPERLINK("https://drive.google.com/file/d/12tuSFUGz5aJUUp8QEsyhVCnBqzLZMRl5/view","▶  Watch")</f>
        <v/>
      </c>
      <c r="F8" s="83" t="inlineStr">
        <is>
          <t>NUR198_Summer2026_Wagner_Wk01_Day1_Older Adult.mp4</t>
        </is>
      </c>
      <c r="G8" s="83" t="inlineStr">
        <is>
          <t>Day 1 · Older Adult</t>
        </is>
      </c>
    </row>
    <row r="9">
      <c r="A9" s="82" t="inlineStr">
        <is>
          <t>Module 1</t>
        </is>
      </c>
      <c r="B9" s="82" t="inlineStr">
        <is>
          <t>Day 2</t>
        </is>
      </c>
      <c r="C9" s="83" t="inlineStr">
        <is>
          <t>Summer 2026</t>
        </is>
      </c>
      <c r="D9" s="83" t="inlineStr">
        <is>
          <t>Wagner</t>
        </is>
      </c>
      <c r="E9" s="84">
        <f>HYPERLINK("https://drive.google.com/file/d/1VA32QaoZJ3UV_ztsJkV5Z21oPLDO91LJ/view","▶  Watch")</f>
        <v/>
      </c>
      <c r="F9" s="83" t="inlineStr">
        <is>
          <t>NUR198_Summer2026_Wagner_Wk01_Day2_Older Adult.mp4</t>
        </is>
      </c>
      <c r="G9" s="83" t="inlineStr">
        <is>
          <t>Day 2 · Older Adult</t>
        </is>
      </c>
    </row>
    <row r="10">
      <c r="A10" s="82" t="inlineStr">
        <is>
          <t>Module 1</t>
        </is>
      </c>
      <c r="B10" s="82" t="n"/>
      <c r="C10" s="83" t="inlineStr">
        <is>
          <t>Summer 2026</t>
        </is>
      </c>
      <c r="D10" s="83" t="inlineStr">
        <is>
          <t>LSC</t>
        </is>
      </c>
      <c r="E10" s="84">
        <f>HYPERLINK("https://drive.google.com/file/d/1LbZsv_W03rZ1IDy44H40plzNTK9E05B8/view","▶  Watch")</f>
        <v/>
      </c>
      <c r="F10" s="83" t="inlineStr">
        <is>
          <t>NUR198_Summer2026_LSC_WkNA_DayNA_Exam Prep - Care of the Older Adult Client (40-08).mp4</t>
        </is>
      </c>
      <c r="G10" s="83" t="inlineStr">
        <is>
          <t>Exam prep · Care of the Older Adult Client · 40:08</t>
        </is>
      </c>
    </row>
    <row r="11" ht="15.75" customHeight="1" s="115">
      <c r="A11" s="82" t="inlineStr">
        <is>
          <t>Module 2</t>
        </is>
      </c>
      <c r="B11" s="82" t="n"/>
      <c r="C11" s="83" t="inlineStr">
        <is>
          <t>Summer 2026</t>
        </is>
      </c>
      <c r="D11" s="83" t="inlineStr">
        <is>
          <t>Newingham</t>
        </is>
      </c>
      <c r="E11" s="84">
        <f>HYPERLINK("https://drive.google.com/file/d/13bjonPKI2AB1GjAAWsskez_-o3SC2sEf/view","▶  Watch")</f>
        <v/>
      </c>
      <c r="F11" s="83" t="inlineStr">
        <is>
          <t>NUR198_Summer2026_Newingham_Wk02_DayNA_Fluids Electrolytes Acid-Base.mp4</t>
        </is>
      </c>
      <c r="G11" s="83" t="inlineStr">
        <is>
          <t>Fluids Electrolytes Acid-Base</t>
        </is>
      </c>
    </row>
    <row r="12" ht="15.75" customHeight="1" s="115">
      <c r="A12" s="82" t="inlineStr">
        <is>
          <t>Module 2</t>
        </is>
      </c>
      <c r="B12" s="82" t="n"/>
      <c r="C12" s="83" t="inlineStr">
        <is>
          <t>Summer 2026</t>
        </is>
      </c>
      <c r="D12" s="83" t="inlineStr">
        <is>
          <t>RegisteredNurseRN</t>
        </is>
      </c>
      <c r="E12" s="84">
        <f>HYPERLINK("https://drive.google.com/file/d/1xKcpW4L4ElFcOEAoeXvuanA9pGDZEHmk/view","▶  Watch")</f>
        <v/>
      </c>
      <c r="F12" s="83" t="inlineStr">
        <is>
          <t>NUR198_Summer2026_RegisteredNurseRN_Wk02_DayNA_2026-05-15 YouTube - ABGs Tic Tac Toe Method.mp4</t>
        </is>
      </c>
      <c r="G12" s="83" t="inlineStr">
        <is>
          <t>2026-05-15 YouTube - ABGs Tic Tac Toe Method</t>
        </is>
      </c>
    </row>
    <row r="13" ht="15.75" customHeight="1" s="115">
      <c r="A13" s="82" t="inlineStr">
        <is>
          <t>Module 2</t>
        </is>
      </c>
      <c r="B13" s="82" t="n"/>
      <c r="C13" s="83" t="inlineStr">
        <is>
          <t>Summer 2026</t>
        </is>
      </c>
      <c r="D13" s="83" t="inlineStr">
        <is>
          <t>SimpleNursing</t>
        </is>
      </c>
      <c r="E13" s="84">
        <f>HYPERLINK("https://drive.google.com/file/d/1TlQxs4fNydpHT9nbgHFvQE9UDnZMcqed/view","▶  Watch")</f>
        <v/>
      </c>
      <c r="F13" s="83" t="inlineStr">
        <is>
          <t>NUR198_Summer2026_SimpleNursing_Wk02_DayNA_2026-05-15 YouTube - ABG Interpretation Made Easy.mp4</t>
        </is>
      </c>
      <c r="G13" s="83" t="inlineStr">
        <is>
          <t>2026-05-15 YouTube - ABG Interpretation Made Easy</t>
        </is>
      </c>
    </row>
    <row r="14" ht="15.75" customHeight="1" s="115">
      <c r="A14" s="82" t="inlineStr">
        <is>
          <t>Module 2</t>
        </is>
      </c>
      <c r="B14" s="82" t="n"/>
      <c r="C14" s="83" t="inlineStr">
        <is>
          <t>Summer 2026</t>
        </is>
      </c>
      <c r="D14" s="83" t="inlineStr">
        <is>
          <t>SimpleNursing</t>
        </is>
      </c>
      <c r="E14" s="84">
        <f>HYPERLINK("https://drive.google.com/file/d/1u_X1pFQigBk_iFkY7G0MAXrY7VqSxo8w/view","▶  Watch")</f>
        <v/>
      </c>
      <c r="F14" s="83" t="inlineStr">
        <is>
          <t>NUR198_Summer2026_SimpleNursing_Wk02_DayNA_Fluids and Electrolytes.mp4</t>
        </is>
      </c>
      <c r="G14" s="83" t="inlineStr">
        <is>
          <t>Fluids and Electrolytes</t>
        </is>
      </c>
    </row>
    <row r="15" ht="15.75" customHeight="1" s="115">
      <c r="A15" s="82" t="inlineStr">
        <is>
          <t>Module 2</t>
        </is>
      </c>
      <c r="B15" s="82" t="n"/>
      <c r="C15" s="83" t="inlineStr">
        <is>
          <t>Summer 2026</t>
        </is>
      </c>
      <c r="D15" s="83" t="inlineStr">
        <is>
          <t>Not named</t>
        </is>
      </c>
      <c r="E15" s="84">
        <f>HYPERLINK("https://drive.google.com/file/d/1NkWZAK-ZHX6P-YvFkbo_T_ySMeF0qXw7/view","▶  Watch")</f>
        <v/>
      </c>
      <c r="F15" s="83" t="inlineStr">
        <is>
          <t>NUR198_Summer2026_Unknown_Wk02_DayNA_2026-05-15 Chrome - Nursing acid-base song video YouTube.mp4</t>
        </is>
      </c>
      <c r="G15" s="83" t="inlineStr">
        <is>
          <t>2026-05-15 Chrome - Nursing acid-base song video YouTube</t>
        </is>
      </c>
    </row>
    <row r="16" ht="15.75" customHeight="1" s="115">
      <c r="A16" s="82" t="inlineStr">
        <is>
          <t>Module 2</t>
        </is>
      </c>
      <c r="B16" s="82" t="n"/>
      <c r="C16" s="83" t="inlineStr">
        <is>
          <t>Summer 2026</t>
        </is>
      </c>
      <c r="D16" s="83" t="inlineStr">
        <is>
          <t>Not named</t>
        </is>
      </c>
      <c r="E16" s="84">
        <f>HYPERLINK("https://drive.google.com/file/d/1O13tQ92uHcNULYbJNcFR9cTfkNxgbD2r/view","▶  Watch")</f>
        <v/>
      </c>
      <c r="F16" s="83" t="inlineStr">
        <is>
          <t>NUR198_Summer2026_Unknown_Wk02_DayNA_2026-05-15 YouTube - Acid Base Rap.mp4</t>
        </is>
      </c>
      <c r="G16" s="83" t="inlineStr">
        <is>
          <t>2026-05-15 YouTube - Acid Base Rap</t>
        </is>
      </c>
    </row>
    <row r="17" ht="15.75" customHeight="1" s="115">
      <c r="A17" s="82" t="inlineStr">
        <is>
          <t>Module 2</t>
        </is>
      </c>
      <c r="B17" s="82" t="n"/>
      <c r="C17" s="83" t="inlineStr">
        <is>
          <t>Summer 2026</t>
        </is>
      </c>
      <c r="D17" s="83" t="inlineStr">
        <is>
          <t>Not named</t>
        </is>
      </c>
      <c r="E17" s="84">
        <f>HYPERLINK("https://drive.google.com/file/d/10XX3p7MwmMx-p64yoWPv64G5A1MG9SB8/view","▶  Watch")</f>
        <v/>
      </c>
      <c r="F17" s="83" t="inlineStr">
        <is>
          <t>NUR198_Summer2026_Unknown_Wk02_DayNA_2026-05-15 YouTube - The ABG Song official lyric video.mp4</t>
        </is>
      </c>
      <c r="G17" s="83" t="inlineStr">
        <is>
          <t>2026-05-15 YouTube - The ABG Song official lyric video</t>
        </is>
      </c>
    </row>
    <row r="18" ht="15.75" customHeight="1" s="115">
      <c r="A18" s="82" t="inlineStr">
        <is>
          <t>Module 2</t>
        </is>
      </c>
      <c r="B18" s="82" t="n"/>
      <c r="C18" s="83" t="inlineStr">
        <is>
          <t>Summer 2026</t>
        </is>
      </c>
      <c r="D18" s="83" t="inlineStr">
        <is>
          <t>Not named</t>
        </is>
      </c>
      <c r="E18" s="84">
        <f>HYPERLINK("https://drive.google.com/file/d/1QAJuu8sY2avKZam-5QJexdwTniN9I83j/view","▶  Watch")</f>
        <v/>
      </c>
      <c r="F18" s="83" t="inlineStr">
        <is>
          <t>NUR198_Summer2026_Unknown_WkNA_DayNA_Acid-Base Balance - Zoom session 7 May (21-09).mp4</t>
        </is>
      </c>
      <c r="G18" s="83" t="inlineStr">
        <is>
          <t>Acid-Base Balance · Zoom session 7 May · 21:09</t>
        </is>
      </c>
    </row>
    <row r="19" ht="15.75" customHeight="1" s="115">
      <c r="A19" s="82" t="inlineStr">
        <is>
          <t>Module 2</t>
        </is>
      </c>
      <c r="B19" s="82" t="n"/>
      <c r="C19" s="83" t="inlineStr">
        <is>
          <t>Summer 2026</t>
        </is>
      </c>
      <c r="D19" s="83" t="inlineStr">
        <is>
          <t>Not named</t>
        </is>
      </c>
      <c r="E19" s="84">
        <f>HYPERLINK("https://drive.google.com/file/d/1qb50i9n41mM4qhFLPj8w2e0bbjEUUq0q/view","▶  Watch")</f>
        <v/>
      </c>
      <c r="F19" s="83" t="inlineStr">
        <is>
          <t>NUR198_Summer2026_Unknown_WkNA_DayNA_Fluid and Electrolytes - Zoom 28 Apr 2026 (35-08 session).mp4</t>
        </is>
      </c>
      <c r="G19" s="83" t="inlineStr">
        <is>
          <t>Fluid and Electrolytes · Zoom 28 Apr · 35:08</t>
        </is>
      </c>
    </row>
    <row r="20">
      <c r="A20" s="82" t="inlineStr">
        <is>
          <t>Module 3</t>
        </is>
      </c>
      <c r="B20" s="82" t="n"/>
      <c r="C20" s="83" t="inlineStr">
        <is>
          <t>Summer 2026</t>
        </is>
      </c>
      <c r="D20" s="83" t="inlineStr">
        <is>
          <t>LSC</t>
        </is>
      </c>
      <c r="E20" s="84">
        <f>HYPERLINK("https://drive.google.com/file/d/1c2Sdjv_qEIHBo6HIxpz32nDpS980PwhM/view","▶  Watch")</f>
        <v/>
      </c>
      <c r="F20" s="83" t="inlineStr">
        <is>
          <t>NUR198_Summer2026_LSC_Wk03_DayNA_Module 3 - Pain Management (LSC exam prep, 29 Apr 2026, 22-19).mp4</t>
        </is>
      </c>
      <c r="G20" s="83" t="inlineStr">
        <is>
          <t>M3 · Exam prep · Pain Management · 22:19</t>
        </is>
      </c>
    </row>
    <row r="21" ht="15.75" customHeight="1" s="115">
      <c r="A21" s="82" t="inlineStr">
        <is>
          <t>Module 3</t>
        </is>
      </c>
      <c r="B21" s="82" t="n"/>
      <c r="C21" s="83" t="inlineStr">
        <is>
          <t>Summer 2026</t>
        </is>
      </c>
      <c r="D21" s="83" t="inlineStr">
        <is>
          <t>LSC</t>
        </is>
      </c>
      <c r="E21" s="84">
        <f>HYPERLINK("https://drive.google.com/file/d/16cQWDHxNBgIR1yct_tDXLiAeMZ4BjKRu/view","▶  Watch")</f>
        <v/>
      </c>
      <c r="F21" s="83" t="inlineStr">
        <is>
          <t>NUR198_Summer2026_LSC_Wk03_DayNA_Module 3 - Integumentary (LSC exam prep, 6 May 2026, 14-50).mp4</t>
        </is>
      </c>
      <c r="G21" s="83" t="inlineStr">
        <is>
          <t>M3 · Exam prep · Integumentary · 14:50</t>
        </is>
      </c>
    </row>
    <row r="22" ht="15.75" customHeight="1" s="115">
      <c r="A22" s="82" t="inlineStr">
        <is>
          <t>Module 3</t>
        </is>
      </c>
      <c r="B22" s="82" t="n"/>
      <c r="C22" s="83" t="inlineStr">
        <is>
          <t>Summer 2026</t>
        </is>
      </c>
      <c r="D22" s="83" t="inlineStr">
        <is>
          <t>StudyHub</t>
        </is>
      </c>
      <c r="E22" s="84">
        <f>HYPERLINK("https://drive.google.com/file/d/1IVTIiSkkrQvlOCAjtFDvQMGwhfLk0SQN/view","▶  Watch")</f>
        <v/>
      </c>
      <c r="F22" s="83" t="inlineStr">
        <is>
          <t>NUR198_Summer2026_StudyHub_Wk03_DayNA_Patient Journey Nurse's Guide.mp4</t>
        </is>
      </c>
      <c r="G22" s="83" t="inlineStr">
        <is>
          <t>Patient Journey Nurse's Guide</t>
        </is>
      </c>
    </row>
    <row r="23" ht="15.75" customHeight="1" s="115">
      <c r="A23" s="82" t="inlineStr">
        <is>
          <t>Module 4</t>
        </is>
      </c>
      <c r="B23" s="82" t="n"/>
      <c r="C23" s="83" t="inlineStr">
        <is>
          <t>Summer 2026</t>
        </is>
      </c>
      <c r="D23" s="83" t="inlineStr">
        <is>
          <t>Dr Clancey Sollis</t>
        </is>
      </c>
      <c r="E23" s="84">
        <f>HYPERLINK("https://drive.google.com/file/d/1VSvois9oNFYZNoHPhNKujLFLqc9afa52/view","▶  Watch")</f>
        <v/>
      </c>
      <c r="F23" s="83" t="inlineStr">
        <is>
          <t>NUR198_Summer2026_Dr-Clancey-Sollis_WkNA_DayNA_2026-06-13 Chrome - Zoom lecture rec 05-13.mp4</t>
        </is>
      </c>
      <c r="G23" s="83" t="inlineStr">
        <is>
          <t>2026-06-13 Chrome - Zoom lecture rec 05-13</t>
        </is>
      </c>
    </row>
    <row r="24" ht="15.75" customHeight="1" s="115">
      <c r="A24" s="85" t="inlineStr">
        <is>
          <t>Module 4</t>
        </is>
      </c>
      <c r="B24" s="85" t="n"/>
      <c r="C24" s="83" t="inlineStr">
        <is>
          <t>Summer 2026</t>
        </is>
      </c>
      <c r="D24" s="86" t="inlineStr">
        <is>
          <t>LSC</t>
        </is>
      </c>
      <c r="E24" s="87">
        <f>HYPERLINK("https://drive.google.com/file/d/1oa_08p75OYUqjItLw9sBlQz6icXEkkmv/view","▶  Watch")</f>
        <v/>
      </c>
      <c r="F24" s="86" t="inlineStr">
        <is>
          <t>NUR198_Summer2026_LSC_Wk04_DayNA_Module 4 - Gas Exchange (LSC exam prep, 12 May 2026, 19-01).mp4</t>
        </is>
      </c>
      <c r="G24" s="86" t="inlineStr">
        <is>
          <t>M4 · Exam prep · Gas Exchange · 19:01</t>
        </is>
      </c>
    </row>
    <row r="25" ht="15.75" customHeight="1" s="115">
      <c r="A25" s="85" t="inlineStr">
        <is>
          <t>Module 4</t>
        </is>
      </c>
      <c r="B25" s="85" t="n"/>
      <c r="C25" s="83" t="inlineStr">
        <is>
          <t>Summer 2026</t>
        </is>
      </c>
      <c r="D25" s="86" t="inlineStr">
        <is>
          <t>LSC</t>
        </is>
      </c>
      <c r="E25" s="87">
        <f>HYPERLINK("https://drive.google.com/file/d/1GNji87bZfT4J9D2GADKqry5HuZ-9Izp-/view","▶  Watch")</f>
        <v/>
      </c>
      <c r="F25" s="86" t="inlineStr">
        <is>
          <t>NUR198_Summer2026_LSC_Wk04_DayNA_Module 4 - Upper Respiratory Disorders and Conditions (LSC exam prep, 13 May 2026).mp4</t>
        </is>
      </c>
      <c r="G25" s="86" t="inlineStr">
        <is>
          <t>M4 · Exam prep · Upper Respiratory Disorders &amp; Conditions</t>
        </is>
      </c>
    </row>
    <row r="26" ht="15.75" customHeight="1" s="115">
      <c r="A26" s="82" t="inlineStr">
        <is>
          <t>Module 4</t>
        </is>
      </c>
      <c r="B26" s="82" t="n"/>
      <c r="C26" s="83" t="inlineStr">
        <is>
          <t>Summer 2026</t>
        </is>
      </c>
      <c r="D26" s="83" t="inlineStr">
        <is>
          <t>LSC</t>
        </is>
      </c>
      <c r="E26" s="84">
        <f>HYPERLINK("https://drive.google.com/file/d/1ZNf3rbcutoDDWBG84HVHrE_BzVoQ2fbP/view","▶  Watch")</f>
        <v/>
      </c>
      <c r="F26" s="83" t="inlineStr">
        <is>
          <t>NUR198_Summer2026_LSC_Wk04_DayNA_Upper Respiratory Disorders.mp4</t>
        </is>
      </c>
      <c r="G26" s="83" t="inlineStr">
        <is>
          <t>Upper Respiratory Disorders</t>
        </is>
      </c>
    </row>
    <row r="27" ht="15.75" customHeight="1" s="115">
      <c r="A27" s="85" t="inlineStr">
        <is>
          <t>Module 4</t>
        </is>
      </c>
      <c r="B27" s="85" t="n"/>
      <c r="C27" s="83" t="inlineStr">
        <is>
          <t>Summer 2026</t>
        </is>
      </c>
      <c r="D27" s="86" t="inlineStr">
        <is>
          <t>StudyHub</t>
        </is>
      </c>
      <c r="E27" s="87">
        <f>HYPERLINK("https://drive.google.com/file/d/1Yq_U-EvInhOPbHCFy4jb74k57g4rWHQY/view","▶  Watch")</f>
        <v/>
      </c>
      <c r="F27" s="86" t="inlineStr">
        <is>
          <t>NUR198_Summer2026_StudyHub_Wk04_DayNA_Respiratory Fundamentals.mp4</t>
        </is>
      </c>
      <c r="G27" s="86" t="inlineStr">
        <is>
          <t>Respiratory Fundamentals</t>
        </is>
      </c>
    </row>
    <row r="28" ht="15.75" customHeight="1" s="115">
      <c r="A28" s="85" t="inlineStr">
        <is>
          <t>Module 4</t>
        </is>
      </c>
      <c r="B28" s="85" t="n"/>
      <c r="C28" s="83" t="inlineStr">
        <is>
          <t>Summer 2026</t>
        </is>
      </c>
      <c r="D28" s="86" t="inlineStr">
        <is>
          <t>StudyHub</t>
        </is>
      </c>
      <c r="E28" s="87">
        <f>HYPERLINK("https://drive.google.com/file/d/1cwC3U1umxjgRLerPQ5Nb0uPm2NFsVlXq/view","▶  Watch")</f>
        <v/>
      </c>
      <c r="F28" s="86" t="inlineStr">
        <is>
          <t>NUR198_Summer2026_StudyHub_Wk04_DayNA_Respiratory Part 2.mp4</t>
        </is>
      </c>
      <c r="G28" s="86" t="inlineStr">
        <is>
          <t>Respiratory Part 2</t>
        </is>
      </c>
    </row>
    <row r="29" ht="15.75" customHeight="1" s="115">
      <c r="A29" s="82" t="inlineStr">
        <is>
          <t>Module 4</t>
        </is>
      </c>
      <c r="B29" s="82" t="n"/>
      <c r="C29" s="83" t="inlineStr">
        <is>
          <t>Summer 2026</t>
        </is>
      </c>
      <c r="D29" s="83" t="inlineStr">
        <is>
          <t>StudyHub</t>
        </is>
      </c>
      <c r="E29" s="84">
        <f>HYPERLINK("https://drive.google.com/file/d/1HRMnO4LPwoPHZVrx46ZucUh0mqmn2h1g/view","▶  Watch")</f>
        <v/>
      </c>
      <c r="F29" s="83" t="inlineStr">
        <is>
          <t>NUR198_Summer2026_StudyHub_Wk04_DayNA_The Airway Under Attack.mp4</t>
        </is>
      </c>
      <c r="G29" s="83" t="inlineStr">
        <is>
          <t>The Airway Under Attack</t>
        </is>
      </c>
    </row>
    <row r="30" ht="15.75" customHeight="1" s="115">
      <c r="A30" s="85" t="inlineStr">
        <is>
          <t>Module 4</t>
        </is>
      </c>
      <c r="B30" s="85" t="n"/>
      <c r="C30" s="83" t="inlineStr">
        <is>
          <t>Summer 2026</t>
        </is>
      </c>
      <c r="D30" s="86" t="inlineStr">
        <is>
          <t>Not named</t>
        </is>
      </c>
      <c r="E30" s="87">
        <f>HYPERLINK("https://drive.google.com/file/d/1rtTgENjaJdP5Xvo3rW0jTRw_CkqNHzMM/view","▶  Watch")</f>
        <v/>
      </c>
      <c r="F30" s="86" t="inlineStr">
        <is>
          <t>NUR198_Summer2026_Unknown_Wk04_DayNA_2026-06-13 Chrome - Gas Exchange audio only.mp4</t>
        </is>
      </c>
      <c r="G30" s="86" t="inlineStr">
        <is>
          <t>2026-06-13 Chrome - Gas Exchange audio only</t>
        </is>
      </c>
    </row>
    <row r="31" ht="15.75" customHeight="1" s="115">
      <c r="A31" s="82" t="inlineStr">
        <is>
          <t>Module 4</t>
        </is>
      </c>
      <c r="B31" s="82" t="n"/>
      <c r="C31" s="83" t="inlineStr">
        <is>
          <t>Summer 2026</t>
        </is>
      </c>
      <c r="D31" s="83" t="inlineStr">
        <is>
          <t>Not named</t>
        </is>
      </c>
      <c r="E31" s="84">
        <f>HYPERLINK("https://drive.google.com/file/d/1OL2t75R1bkyDhWEkVwQ5kwvbRE8Lc4OB/view","▶  Watch")</f>
        <v/>
      </c>
      <c r="F31" s="83" t="inlineStr">
        <is>
          <t>NUR198_Summer2026_Unknown_Wk04_DayNA_2026-06-13 Chrome - Gas Exchange Zoom lecture.mp4</t>
        </is>
      </c>
      <c r="G31" s="83" t="inlineStr">
        <is>
          <t>2026-06-13 Chrome - Gas Exchange Zoom lecture</t>
        </is>
      </c>
    </row>
    <row r="32" ht="15.75" customHeight="1" s="115">
      <c r="A32" s="82" t="inlineStr">
        <is>
          <t>Module 4</t>
        </is>
      </c>
      <c r="B32" s="82" t="n"/>
      <c r="C32" s="83" t="inlineStr">
        <is>
          <t>Summer 2026</t>
        </is>
      </c>
      <c r="D32" s="83" t="inlineStr">
        <is>
          <t>Not named</t>
        </is>
      </c>
      <c r="E32" s="84">
        <f>HYPERLINK("https://drive.google.com/file/d/1O-CS_m_xe-V1sG0TdpgABNwiWmLthP9F/view","▶  Watch")</f>
        <v/>
      </c>
      <c r="F32" s="83" t="inlineStr">
        <is>
          <t>NUR198_Summer2026_Unknown_WkNA_DayNA_2026-06-13 Chrome - Zoom lecture audio only screen off.mp4</t>
        </is>
      </c>
      <c r="G32" s="83" t="inlineStr">
        <is>
          <t>2026-06-13 Chrome - Zoom lecture audio only screen off</t>
        </is>
      </c>
    </row>
    <row r="33" ht="15.75" customHeight="1" s="115">
      <c r="A33" s="85" t="inlineStr">
        <is>
          <t>Module 4</t>
        </is>
      </c>
      <c r="B33" s="85" t="inlineStr">
        <is>
          <t>Day 1</t>
        </is>
      </c>
      <c r="C33" s="83" t="inlineStr">
        <is>
          <t>Summer 2026</t>
        </is>
      </c>
      <c r="D33" s="86" t="inlineStr">
        <is>
          <t>Wagner</t>
        </is>
      </c>
      <c r="E33" s="87">
        <f>HYPERLINK("https://drive.google.com/file/d/18haJ0ByxHCL8kdFYuHuK3Mx_pQQ_qT42/view","▶  Watch")</f>
        <v/>
      </c>
      <c r="F33" s="86" t="inlineStr">
        <is>
          <t>NUR198_Summer2026_Wagner_Wk04_Day1_Respiratory I.mp4</t>
        </is>
      </c>
      <c r="G33" s="86" t="inlineStr">
        <is>
          <t>Day 1 · Respiratory I</t>
        </is>
      </c>
    </row>
    <row r="34" ht="15.75" customHeight="1" s="115">
      <c r="A34" s="85" t="inlineStr">
        <is>
          <t>Module 4</t>
        </is>
      </c>
      <c r="B34" s="85" t="inlineStr">
        <is>
          <t>Day 2</t>
        </is>
      </c>
      <c r="C34" s="83" t="inlineStr">
        <is>
          <t>Summer 2026</t>
        </is>
      </c>
      <c r="D34" s="86" t="inlineStr">
        <is>
          <t>Wagner</t>
        </is>
      </c>
      <c r="E34" s="87">
        <f>HYPERLINK("https://drive.google.com/file/d/13uc4DwXgEEhw5LWXoJd2xwHwWHHQvkXL/view","▶  Watch")</f>
        <v/>
      </c>
      <c r="F34" s="86" t="inlineStr">
        <is>
          <t>NUR198_Summer2026_Wagner_Wk04_Day2_Respiratory I.mp4</t>
        </is>
      </c>
      <c r="G34" s="86" t="inlineStr">
        <is>
          <t>Day 2 · Respiratory I</t>
        </is>
      </c>
    </row>
    <row r="35" ht="15.75" customHeight="1" s="115">
      <c r="A35" s="82" t="inlineStr">
        <is>
          <t>Module 5</t>
        </is>
      </c>
      <c r="B35" s="82" t="inlineStr">
        <is>
          <t>Day 1</t>
        </is>
      </c>
      <c r="C35" s="83" t="inlineStr">
        <is>
          <t>Summer 2026</t>
        </is>
      </c>
      <c r="D35" s="83" t="inlineStr">
        <is>
          <t>Newingham</t>
        </is>
      </c>
      <c r="E35" s="84">
        <f>HYPERLINK("https://drive.google.com/file/d/1wspyHcbJU6aoVWY7Cy1b1P2uRB-dQtb9/view","▶  Watch")</f>
        <v/>
      </c>
      <c r="F35" s="83" t="inlineStr">
        <is>
          <t>NUR198_Summer2026_Newingham_Wk05_Day1_Respiratory II.mp4</t>
        </is>
      </c>
      <c r="G35" s="83" t="inlineStr">
        <is>
          <t>Day 1 · Respiratory II</t>
        </is>
      </c>
    </row>
    <row r="36" ht="15.75" customHeight="1" s="115">
      <c r="A36" s="85" t="inlineStr">
        <is>
          <t>Module 5</t>
        </is>
      </c>
      <c r="B36" s="85" t="inlineStr">
        <is>
          <t>Day 2</t>
        </is>
      </c>
      <c r="C36" s="83" t="inlineStr">
        <is>
          <t>Summer 2026</t>
        </is>
      </c>
      <c r="D36" s="86" t="inlineStr">
        <is>
          <t>Newingham</t>
        </is>
      </c>
      <c r="E36" s="87">
        <f>HYPERLINK("https://drive.google.com/file/d/1B8cL_ndT0HlGv8TAhDlnc4OVyIL41DHn/view","▶  Watch")</f>
        <v/>
      </c>
      <c r="F36" s="86" t="inlineStr">
        <is>
          <t>NUR198_Summer2026_Newingham_Wk05_Day2_Respiratory II.mp4</t>
        </is>
      </c>
      <c r="G36" s="86" t="inlineStr">
        <is>
          <t>Day 2 · Respiratory II</t>
        </is>
      </c>
    </row>
    <row r="37" ht="15.75" customHeight="1" s="115">
      <c r="A37" s="82" t="inlineStr">
        <is>
          <t>Module 5</t>
        </is>
      </c>
      <c r="B37" s="82" t="n"/>
      <c r="C37" s="83" t="inlineStr">
        <is>
          <t>Summer 2026</t>
        </is>
      </c>
      <c r="D37" s="83" t="inlineStr">
        <is>
          <t>Not named</t>
        </is>
      </c>
      <c r="E37" s="84">
        <f>HYPERLINK("https://drive.google.com/file/d/13ho5vJ7yScpK5ieCBcXmK7MS45l_WHcz/view","▶  Watch")</f>
        <v/>
      </c>
      <c r="F37" s="83" t="inlineStr">
        <is>
          <t>NUR198_Summer2026_Unknown_Wk04_DayNA_2026-06-13 Chrome - Lower Respiratory Disorders Zoom lecture.mp4</t>
        </is>
      </c>
      <c r="G37" s="83" t="inlineStr">
        <is>
          <t>2026-06-13 Chrome - Lower Respiratory Disorders Zoom lecture</t>
        </is>
      </c>
    </row>
    <row r="38" ht="15.75" customHeight="1" s="115">
      <c r="A38" s="82" t="inlineStr">
        <is>
          <t>Module 5</t>
        </is>
      </c>
      <c r="B38" s="82" t="inlineStr">
        <is>
          <t>Day 2</t>
        </is>
      </c>
      <c r="C38" s="83" t="inlineStr">
        <is>
          <t>Summer 2026</t>
        </is>
      </c>
      <c r="D38" s="83" t="inlineStr">
        <is>
          <t>Wagner</t>
        </is>
      </c>
      <c r="E38" s="84">
        <f>HYPERLINK("https://drive.google.com/file/d/1TQbvaWlukFDH2JAT_p5bHUIS9uNbdYwx/view","▶  Watch")</f>
        <v/>
      </c>
      <c r="F38" s="83" t="inlineStr">
        <is>
          <t>NUR198_Summer2026_Wagner_Wk05_Day2_Respiratory II.mp4</t>
        </is>
      </c>
      <c r="G38" s="83" t="inlineStr">
        <is>
          <t>Day 2 · Respiratory II</t>
        </is>
      </c>
    </row>
    <row r="39" ht="15.75" customHeight="1" s="115">
      <c r="A39" s="85" t="inlineStr">
        <is>
          <t>Module 6</t>
        </is>
      </c>
      <c r="B39" s="85" t="n"/>
      <c r="C39" s="83" t="inlineStr">
        <is>
          <t>Summer 2026</t>
        </is>
      </c>
      <c r="D39" s="86" t="inlineStr">
        <is>
          <t>Not named</t>
        </is>
      </c>
      <c r="E39" s="87">
        <f>HYPERLINK("https://drive.google.com/file/d/10PEsg4ZrH8Z6KMkD7yTY4kYI3ECd0nPm/view","▶  Watch")</f>
        <v/>
      </c>
      <c r="F39" s="86" t="inlineStr">
        <is>
          <t>NUR198_Summer2026_Unknown_Wk04_DayNA_2026-06-13 Chrome - Chronic Respiratory Disorders Zoom lecture.mp4</t>
        </is>
      </c>
      <c r="G39" s="86" t="inlineStr">
        <is>
          <t>2026-06-13 Chrome - Chronic Respiratory Disorders Zoom lecture</t>
        </is>
      </c>
    </row>
    <row r="40" ht="15.75" customHeight="1" s="115">
      <c r="A40" s="82" t="inlineStr">
        <is>
          <t>Module 6</t>
        </is>
      </c>
      <c r="B40" s="82" t="n"/>
      <c r="C40" s="83" t="inlineStr">
        <is>
          <t>Summer 2026</t>
        </is>
      </c>
      <c r="D40" s="83" t="inlineStr">
        <is>
          <t>Not named</t>
        </is>
      </c>
      <c r="E40" s="84">
        <f>HYPERLINK("https://drive.google.com/file/d/1kZztkYeTu1tWXOWOtkID9VsyRUmhFiBj/view","▶  Watch")</f>
        <v/>
      </c>
      <c r="F40" s="83" t="inlineStr">
        <is>
          <t>NUR198_Summer2026_Unknown_Wk04_DayNA_2026-06-13 Chrome - Lung Cancer Zoom lecture.mp4</t>
        </is>
      </c>
      <c r="G40" s="83" t="inlineStr">
        <is>
          <t>2026-06-13 Chrome - Lung Cancer Zoom lecture</t>
        </is>
      </c>
    </row>
    <row r="41" ht="15.75" customHeight="1" s="115">
      <c r="A41" s="82" t="inlineStr">
        <is>
          <t>Module 6</t>
        </is>
      </c>
      <c r="B41" s="82" t="n"/>
      <c r="C41" s="83" t="inlineStr">
        <is>
          <t>Summer 2026</t>
        </is>
      </c>
      <c r="D41" s="83" t="inlineStr">
        <is>
          <t>Not named</t>
        </is>
      </c>
      <c r="E41" s="84">
        <f>HYPERLINK("https://drive.google.com/file/d/1ot2yywoofOw5hCp9qdxJpAQ70tO2zznI/view","▶  Watch")</f>
        <v/>
      </c>
      <c r="F41" s="83" t="inlineStr">
        <is>
          <t>NUR198_Summer2026_Unknown_Wk04_DayNA_2026-06-13 Chrome - Pulmonary Vascular Disorders Zoom recording.mp4</t>
        </is>
      </c>
      <c r="G41" s="83" t="inlineStr">
        <is>
          <t>2026-06-13 Chrome - Pulmonary Vascular Disorders Zoom recording</t>
        </is>
      </c>
    </row>
    <row r="42" ht="15.75" customHeight="1" s="115">
      <c r="A42" s="85" t="inlineStr">
        <is>
          <t>Module 6</t>
        </is>
      </c>
      <c r="B42" s="85" t="n"/>
      <c r="C42" s="83" t="inlineStr">
        <is>
          <t>Summer 2026</t>
        </is>
      </c>
      <c r="D42" s="86" t="inlineStr">
        <is>
          <t>Not named</t>
        </is>
      </c>
      <c r="E42" s="87">
        <f>HYPERLINK("https://drive.google.com/file/d/1RQw6FYd3DardGd9Qk9y6KQnZtxG_RgzF/view","▶  Watch")</f>
        <v/>
      </c>
      <c r="F42" s="86" t="inlineStr">
        <is>
          <t>NUR198_Summer2026_Unknown_Wk07_DayNA_Screen recording 2026-06-16 10h49.mp4</t>
        </is>
      </c>
      <c r="G42" s="86" t="inlineStr">
        <is>
          <t>Screen recording 2026-06-16 10h49</t>
        </is>
      </c>
    </row>
    <row r="43" ht="15.75" customHeight="1" s="115">
      <c r="A43" s="85" t="inlineStr">
        <is>
          <t>Module 6</t>
        </is>
      </c>
      <c r="B43" s="85" t="inlineStr">
        <is>
          <t>Day 1</t>
        </is>
      </c>
      <c r="C43" s="83" t="inlineStr">
        <is>
          <t>Summer 2026</t>
        </is>
      </c>
      <c r="D43" s="86" t="inlineStr">
        <is>
          <t>Wagner</t>
        </is>
      </c>
      <c r="E43" s="87">
        <f>HYPERLINK("https://drive.google.com/file/d/1i_uDDylLv3VFPCSsx6sqpJpaLHv-g8aF/view","▶  Watch")</f>
        <v/>
      </c>
      <c r="F43" s="86" t="inlineStr">
        <is>
          <t>NUR198_Summer2026_Wagner_Wk06_Day1_Respiratory III.mp4</t>
        </is>
      </c>
      <c r="G43" s="86" t="inlineStr">
        <is>
          <t>Day 1 · Respiratory III</t>
        </is>
      </c>
    </row>
    <row r="44" ht="15.75" customHeight="1" s="115">
      <c r="A44" s="82" t="inlineStr">
        <is>
          <t>Module 6</t>
        </is>
      </c>
      <c r="B44" s="82" t="inlineStr">
        <is>
          <t>Day 2</t>
        </is>
      </c>
      <c r="C44" s="83" t="inlineStr">
        <is>
          <t>Summer 2026</t>
        </is>
      </c>
      <c r="D44" s="83" t="inlineStr">
        <is>
          <t>Wagner</t>
        </is>
      </c>
      <c r="E44" s="84">
        <f>HYPERLINK("https://drive.google.com/file/d/1pySCgF6XI4BUT6j84asSeumLe-WhIc9I/view","▶  Watch")</f>
        <v/>
      </c>
      <c r="F44" s="83" t="inlineStr">
        <is>
          <t>NUR198_Summer2026_Wagner_Wk06_Day2_Respiratory III.mp4</t>
        </is>
      </c>
      <c r="G44" s="83" t="inlineStr">
        <is>
          <t>Day 2 · Respiratory III</t>
        </is>
      </c>
    </row>
    <row r="45" ht="15.75" customHeight="1" s="115">
      <c r="A45" s="85" t="inlineStr">
        <is>
          <t>Module 6</t>
        </is>
      </c>
      <c r="B45" s="85" t="n"/>
      <c r="C45" s="83" t="inlineStr">
        <is>
          <t>Summer 2026</t>
        </is>
      </c>
      <c r="D45" s="86" t="inlineStr">
        <is>
          <t>Wagner</t>
        </is>
      </c>
      <c r="E45" s="87">
        <f>HYPERLINK("https://drive.google.com/file/d/1SICyJRvwe1kJthc0VFIMTEJx0dDykXRN/view","▶  Watch")</f>
        <v/>
      </c>
      <c r="F45" s="86" t="inlineStr">
        <is>
          <t>NUR198_Summer2026_Wagner_Wk06_DayNA_Respiratory III.mp4</t>
        </is>
      </c>
      <c r="G45" s="86" t="inlineStr">
        <is>
          <t>Respiratory III</t>
        </is>
      </c>
    </row>
    <row r="46" ht="15.75" customHeight="1" s="115">
      <c r="A46" s="82" t="inlineStr">
        <is>
          <t>Module 7</t>
        </is>
      </c>
      <c r="B46" s="82" t="n"/>
      <c r="C46" s="83" t="inlineStr">
        <is>
          <t>Summer 2026</t>
        </is>
      </c>
      <c r="D46" s="83" t="inlineStr">
        <is>
          <t>Dr Greg</t>
        </is>
      </c>
      <c r="E46" s="84">
        <f>HYPERLINK("https://drive.google.com/file/d/1HKOBL8J2hNn1KsdlQXTBVFfFyR_R1Jzt/view","▶  Watch")</f>
        <v/>
      </c>
      <c r="F46" s="83" t="inlineStr">
        <is>
          <t>NUR198_Summer2026_Dr-Greg_Wk07_DayNA_2026-06-14 Chrome - Hypertension Zoom lecture.mp4</t>
        </is>
      </c>
      <c r="G46" s="88" t="inlineStr">
        <is>
          <t>2026-06-14 Chrome - Hypertension Zoom lecture</t>
        </is>
      </c>
    </row>
    <row r="47" ht="15.75" customHeight="1" s="115">
      <c r="A47" s="82" t="inlineStr">
        <is>
          <t>Module 7</t>
        </is>
      </c>
      <c r="B47" s="82" t="n"/>
      <c r="C47" s="83" t="inlineStr">
        <is>
          <t>Summer 2026</t>
        </is>
      </c>
      <c r="D47" s="83" t="inlineStr">
        <is>
          <t>LevelUpRN</t>
        </is>
      </c>
      <c r="E47" s="84">
        <f>HYPERLINK("https://drive.google.com/file/d/1fzZLQUe-vOsLN5GUM-nyv3RGm_Hn4Hzq/view","▶  Watch")</f>
        <v/>
      </c>
      <c r="F47" s="83" t="inlineStr">
        <is>
          <t>NUR198_Summer2026_LevelUpRN_Wk07_DayNA_2026-06-18 Chrome - Cardiovascular System Introduction YouTube.mp4</t>
        </is>
      </c>
      <c r="G47" s="83" t="inlineStr">
        <is>
          <t>2026-06-18 Chrome - Cardiovascular System Introduction YouTube</t>
        </is>
      </c>
    </row>
    <row r="48" ht="15.75" customHeight="1" s="115">
      <c r="A48" s="85" t="inlineStr">
        <is>
          <t>Module 7</t>
        </is>
      </c>
      <c r="B48" s="85" t="n"/>
      <c r="C48" s="83" t="inlineStr">
        <is>
          <t>Summer 2026</t>
        </is>
      </c>
      <c r="D48" s="86" t="inlineStr">
        <is>
          <t>Not named</t>
        </is>
      </c>
      <c r="E48" s="87">
        <f>HYPERLINK("https://drive.google.com/file/d/1-pTwDQTtOimuSBu7thQRXWKsKm29k431/view","▶  Watch")</f>
        <v/>
      </c>
      <c r="F48" s="86" t="inlineStr">
        <is>
          <t>NUR198_Summer2026_Unknown_Wk07_DayNA_2026-06-19 Chrome - Cardiac labs and tests lecture.mp4</t>
        </is>
      </c>
      <c r="G48" s="86" t="inlineStr">
        <is>
          <t>2026-06-19 Chrome - Cardiac labs and tests lecture</t>
        </is>
      </c>
    </row>
    <row r="49" ht="15.75" customHeight="1" s="115">
      <c r="A49" s="82" t="inlineStr">
        <is>
          <t>Module 7</t>
        </is>
      </c>
      <c r="B49" s="82" t="n"/>
      <c r="C49" s="83" t="inlineStr">
        <is>
          <t>Summer 2026</t>
        </is>
      </c>
      <c r="D49" s="83" t="inlineStr">
        <is>
          <t>Not named</t>
        </is>
      </c>
      <c r="E49" s="84">
        <f>HYPERLINK("https://drive.google.com/file/d/1OF2uBP48XEpzAW1kvYD87fqiCzoVY4ug/view","▶  Watch")</f>
        <v/>
      </c>
      <c r="F49" s="83" t="inlineStr">
        <is>
          <t>NUR198_Summer2026_Unknown_Wk07_DayNA_Screen recording 2026-06-16 09h59.mp4</t>
        </is>
      </c>
      <c r="G49" s="83" t="inlineStr">
        <is>
          <t>Screen recording 2026-06-16 09h59</t>
        </is>
      </c>
    </row>
    <row r="50" ht="15.75" customHeight="1" s="115">
      <c r="A50" s="85" t="inlineStr">
        <is>
          <t>Module 7</t>
        </is>
      </c>
      <c r="B50" s="85" t="n"/>
      <c r="C50" s="83" t="inlineStr">
        <is>
          <t>Summer 2026</t>
        </is>
      </c>
      <c r="D50" s="86" t="inlineStr">
        <is>
          <t>Not named</t>
        </is>
      </c>
      <c r="E50" s="87">
        <f>HYPERLINK("https://drive.google.com/file/d/1dxl3BJo_-quI5mzBoPESCCQeEtFL0Gkj/view","▶  Watch")</f>
        <v/>
      </c>
      <c r="F50" s="86" t="inlineStr">
        <is>
          <t>NUR198_Summer2026_Unknown_Wk07_DayNA_Screen recording 2026-06-19 00h16.mp4</t>
        </is>
      </c>
      <c r="G50" s="86" t="inlineStr">
        <is>
          <t>Screen recording 2026-06-19 00h16</t>
        </is>
      </c>
    </row>
    <row r="51" ht="15.75" customHeight="1" s="115">
      <c r="A51" s="85" t="inlineStr">
        <is>
          <t>Module 8</t>
        </is>
      </c>
      <c r="B51" s="85" t="n"/>
      <c r="C51" s="83" t="inlineStr">
        <is>
          <t>Summer 2026</t>
        </is>
      </c>
      <c r="D51" s="86" t="inlineStr">
        <is>
          <t>Cory Meyer</t>
        </is>
      </c>
      <c r="E51" s="86">
        <f>HYPERLINK("https://drive.google.com/file/d/1WH0aQydvO8PNZI_gITvrrwYAglusRTc_/view","▶  Watch")</f>
        <v/>
      </c>
      <c r="F51" s="86" t="inlineStr">
        <is>
          <t>NUR198_Summer2026_Cory-Meyer_Wk07_DayNA_2026-06-21 Chrome - Practice questions review - pharm cardiac vascular.mp4</t>
        </is>
      </c>
      <c r="G51" s="86" t="inlineStr">
        <is>
          <t>2026-06-21 Chrome - Practice questions review - pharm cardiac vascular</t>
        </is>
      </c>
    </row>
    <row r="52" ht="15.75" customHeight="1" s="115">
      <c r="A52" s="85" t="inlineStr">
        <is>
          <t>Module 8</t>
        </is>
      </c>
      <c r="B52" s="85" t="n"/>
      <c r="C52" s="83" t="inlineStr">
        <is>
          <t>Summer 2026</t>
        </is>
      </c>
      <c r="D52" s="86" t="inlineStr">
        <is>
          <t>Dr Clancey Sollis</t>
        </is>
      </c>
      <c r="E52" s="87">
        <f>HYPERLINK("https://drive.google.com/file/d/1X4RSWz8mlvfP72akcUWkNJ5DPhlCzgHX/view","▶  Watch")</f>
        <v/>
      </c>
      <c r="F52" s="86" t="inlineStr">
        <is>
          <t>NUR198_Summer2026_Dr-Clancey-Sollis_Wk07_DayNA_2026-06-21 Chrome - Heart Failure Zoom lecture.mp4</t>
        </is>
      </c>
      <c r="G52" s="86" t="inlineStr">
        <is>
          <t>2026-06-21 Chrome - Heart Failure Zoom lecture</t>
        </is>
      </c>
    </row>
    <row r="53" ht="15.75" customHeight="1" s="115">
      <c r="A53" s="5" t="inlineStr">
        <is>
          <t>Module 9</t>
        </is>
      </c>
      <c r="B53" s="5" t="n"/>
      <c r="C53" s="5" t="inlineStr">
        <is>
          <t>Summer 2026</t>
        </is>
      </c>
      <c r="D53" s="5" t="inlineStr">
        <is>
          <t>Dr Clancey Sollis + Dr Greg</t>
        </is>
      </c>
      <c r="E53" s="5">
        <f>HYPERLINK("https://drive.google.com/file/d/12n_z-PNGwS16Xn2J4wZbsBS7FiHvKmfE/view","▶  Watch")</f>
        <v/>
      </c>
      <c r="F53" s="5" t="inlineStr">
        <is>
          <t>NUR198_Summer2026_Dr-Clancey-Sollis+Dr-Greg_Wk09_DayNA_Exam Prep - Renal &amp; Urinary Disorders - 2026-07-03.mp4</t>
        </is>
      </c>
      <c r="G53" s="5" t="inlineStr">
        <is>
          <t>Exam Prep - Renal &amp; Urinary Disorders - 2026-07-03</t>
        </is>
      </c>
    </row>
    <row r="54" ht="15.75" customHeight="1" s="115">
      <c r="A54" s="5" t="inlineStr">
        <is>
          <t>Module 9</t>
        </is>
      </c>
      <c r="B54" s="5" t="n"/>
      <c r="C54" s="5" t="inlineStr">
        <is>
          <t>Summer 2026</t>
        </is>
      </c>
      <c r="D54" s="5" t="inlineStr">
        <is>
          <t>Karaguesian</t>
        </is>
      </c>
      <c r="E54" s="5">
        <f>HYPERLINK("https://drive.google.com/file/d/1w0bHibokxnxPYUEzYEHO79HEZnhIM8oG/view","▶  Watch")</f>
        <v/>
      </c>
      <c r="F54" s="5" t="inlineStr">
        <is>
          <t>NUR198_Summer2026_Karaguesian_Wk09_DayNA_LSC exam prep - Renal and Urinary Disorders - CKD, renal colic, peritonitis.mp4</t>
        </is>
      </c>
      <c r="G54" s="5" t="inlineStr">
        <is>
          <t>Exam prep · Renal and urinary disorders · CKD, renal colic, peritonitis</t>
        </is>
      </c>
    </row>
    <row r="55" ht="15.75" customHeight="1" s="115">
      <c r="A55" s="5" t="inlineStr">
        <is>
          <t>Module 9</t>
        </is>
      </c>
      <c r="B55" s="5" t="n"/>
      <c r="C55" s="5" t="n"/>
      <c r="D55" s="5" t="inlineStr">
        <is>
          <t>SimpleNursing</t>
        </is>
      </c>
      <c r="E55" s="5">
        <f>HYPERLINK("https://drive.google.com/file/d/1gILr5q198xazdBSQQ_m4X6goyg9RUsDf/view","▶  Watch")</f>
        <v/>
      </c>
      <c r="F55" s="5" t="inlineStr">
        <is>
          <t>NUR198_Summer2026_SimpleNursing_Wk09-10_DayNA_Modules 9 and 10 (2).mp4</t>
        </is>
      </c>
      <c r="G55" s="5" t="inlineStr">
        <is>
          <t>Modules 9 and 10 (2)</t>
        </is>
      </c>
    </row>
    <row r="56" ht="15.75" customHeight="1" s="115">
      <c r="A56" s="5" t="inlineStr">
        <is>
          <t>Module 9</t>
        </is>
      </c>
      <c r="B56" s="5" t="n"/>
      <c r="C56" s="5" t="n"/>
      <c r="D56" s="5" t="inlineStr">
        <is>
          <t>SimpleNursing</t>
        </is>
      </c>
      <c r="E56" s="5">
        <f>HYPERLINK("https://drive.google.com/file/d/17ppc8UPWVGRPwcDKuzK9Yn1LccG87795/view","▶  Watch")</f>
        <v/>
      </c>
      <c r="F56" s="5" t="inlineStr">
        <is>
          <t>NUR198_Summer2026_SimpleNursing_Wk09-10_DayNA_Modules 9 and 10.mp4</t>
        </is>
      </c>
      <c r="G56" s="5" t="inlineStr">
        <is>
          <t>Modules 9 and 10</t>
        </is>
      </c>
    </row>
    <row r="57" ht="15.75" customHeight="1" s="115">
      <c r="A57" s="5" t="inlineStr">
        <is>
          <t>Module 9</t>
        </is>
      </c>
      <c r="B57" s="5" t="n"/>
      <c r="C57" s="5" t="inlineStr">
        <is>
          <t>Summer 2026</t>
        </is>
      </c>
      <c r="D57" s="5" t="inlineStr">
        <is>
          <t>SimpleNursing</t>
        </is>
      </c>
      <c r="E57" s="5">
        <f>HYPERLINK("https://drive.google.com/file/d/1JAA1oQgUSK4b51Ld6ZZ6bYoZMtAgI84X/view","▶  Watch")</f>
        <v/>
      </c>
      <c r="F57" s="5" t="inlineStr">
        <is>
          <t>NUR198_Summer2026_SimpleNursing_Wk09_DayNA_Renal &amp; Urinary Disorders Review - CKD, Dialysis, Incontinence - 2026-07-02.mp4</t>
        </is>
      </c>
      <c r="G57" s="5" t="inlineStr">
        <is>
          <t>Renal &amp; Urinary Disorders Review - CKD, Dialysis, Incontinence - 2026-07-02</t>
        </is>
      </c>
    </row>
    <row r="58" ht="15.75" customHeight="1" s="115">
      <c r="A58" s="5" t="inlineStr">
        <is>
          <t>Module 9</t>
        </is>
      </c>
      <c r="B58" s="5" t="n"/>
      <c r="C58" s="5" t="inlineStr">
        <is>
          <t>Summer 2026</t>
        </is>
      </c>
      <c r="D58" s="5" t="inlineStr">
        <is>
          <t>SimpleNursing</t>
        </is>
      </c>
      <c r="E58" s="5">
        <f>HYPERLINK("https://drive.google.com/file/d/1dTptKjNsMpYHy05yc3kzqYs72cVgepP5/view","▶  Watch")</f>
        <v/>
      </c>
      <c r="F58" s="5" t="inlineStr">
        <is>
          <t>NUR198_Summer2026_SimpleNursing_Wk09_DayNA_Renal Anatomy &amp; Physiology - 2026-07-02.mp4</t>
        </is>
      </c>
      <c r="G58" s="5" t="inlineStr">
        <is>
          <t>Renal Anatomy &amp; Physiology - 2026-07-02</t>
        </is>
      </c>
    </row>
    <row r="59" ht="15.75" customHeight="1" s="115">
      <c r="A59" s="5" t="inlineStr">
        <is>
          <t>Module 9</t>
        </is>
      </c>
      <c r="B59" s="5" t="n"/>
      <c r="C59" s="5" t="inlineStr">
        <is>
          <t>Summer 2026</t>
        </is>
      </c>
      <c r="D59" s="5" t="inlineStr">
        <is>
          <t>SimpleNursing</t>
        </is>
      </c>
      <c r="E59" s="5">
        <f>HYPERLINK("https://drive.google.com/file/d/1FbtKwpYrBCIQzsOVUcte6RFPMLfTZIrk/view","▶  Watch")</f>
        <v/>
      </c>
      <c r="F59" s="5" t="inlineStr">
        <is>
          <t>NUR198_Summer2026_SimpleNursing_Wk09_DayNA_Renal Failure Acute vs Chronic.mp4</t>
        </is>
      </c>
      <c r="G59" s="5" t="inlineStr">
        <is>
          <t>Renal Failure Acute vs Chronic</t>
        </is>
      </c>
    </row>
    <row r="60" ht="15.75" customHeight="1" s="115">
      <c r="A60" s="5" t="inlineStr">
        <is>
          <t>Module 9</t>
        </is>
      </c>
      <c r="B60" s="5" t="n"/>
      <c r="C60" s="5" t="inlineStr">
        <is>
          <t>Summer 2026</t>
        </is>
      </c>
      <c r="D60" s="5" t="inlineStr">
        <is>
          <t>SimpleNursing</t>
        </is>
      </c>
      <c r="E60" s="5">
        <f>HYPERLINK("https://drive.google.com/file/d/1_eL23c8NMwJL_XKWWG8LFHL6rZtYjvm9/view","▶  Watch")</f>
        <v/>
      </c>
      <c r="F60" s="5" t="inlineStr">
        <is>
          <t>NUR198_Summer2026_SimpleNursing_Wk09_DayNA_Renal Failure.mp4</t>
        </is>
      </c>
      <c r="G60" s="5" t="inlineStr">
        <is>
          <t>Renal Failure</t>
        </is>
      </c>
    </row>
    <row r="61" ht="15.75" customHeight="1" s="115">
      <c r="A61" s="5" t="inlineStr">
        <is>
          <t>Module 9</t>
        </is>
      </c>
      <c r="B61" s="5" t="n"/>
      <c r="C61" s="5" t="inlineStr">
        <is>
          <t>Summer 2026</t>
        </is>
      </c>
      <c r="D61" s="5" t="inlineStr">
        <is>
          <t>SimpleNursing</t>
        </is>
      </c>
      <c r="E61" s="5">
        <f>HYPERLINK("https://drive.google.com/file/d/1_qsIBb8NQ4PUxMq1uwpUEXai_vk8roWy/view","▶  Watch")</f>
        <v/>
      </c>
      <c r="F61" s="5" t="inlineStr">
        <is>
          <t>NUR198_Summer2026_SimpleNursing_Wk09_DayNA_Renal Lab Values.mp4</t>
        </is>
      </c>
      <c r="G61" s="5" t="inlineStr">
        <is>
          <t>Renal Lab Values</t>
        </is>
      </c>
    </row>
    <row r="62" ht="15.75" customHeight="1" s="115">
      <c r="A62" s="5" t="inlineStr">
        <is>
          <t>Module 9</t>
        </is>
      </c>
      <c r="B62" s="5" t="n"/>
      <c r="C62" s="5" t="inlineStr">
        <is>
          <t>Summer 2026</t>
        </is>
      </c>
      <c r="D62" s="5" t="inlineStr">
        <is>
          <t>StudyHub</t>
        </is>
      </c>
      <c r="E62" s="5">
        <f>HYPERLINK("https://drive.google.com/file/d/1sxYKnwPk6WM6FXvXPMvp2yuG99FTyZzN/view","▶  Watch")</f>
        <v/>
      </c>
      <c r="F62" s="5" t="inlineStr">
        <is>
          <t>NUR198_Summer2026_StudyHub_Wk09_DayNA_Cascade of Failure.mp4</t>
        </is>
      </c>
      <c r="G62" s="5" t="inlineStr">
        <is>
          <t>Cascade of Failure</t>
        </is>
      </c>
    </row>
    <row r="63" ht="15.75" customHeight="1" s="115">
      <c r="A63" s="5" t="inlineStr">
        <is>
          <t>Module 9</t>
        </is>
      </c>
      <c r="B63" s="5" t="n"/>
      <c r="C63" s="5" t="inlineStr">
        <is>
          <t>Summer 2026</t>
        </is>
      </c>
      <c r="D63" s="5" t="inlineStr">
        <is>
          <t>StudyHub</t>
        </is>
      </c>
      <c r="E63" s="5">
        <f>HYPERLINK("https://drive.google.com/file/d/1vALPps7BuA4cIbLMk8ZlNXVywNd1UA0T/view","▶  Watch")</f>
        <v/>
      </c>
      <c r="F63" s="5" t="inlineStr">
        <is>
          <t>NUR198_Summer2026_StudyHub_Wk09_DayNA_Renal Detective Masterclass.mp4</t>
        </is>
      </c>
      <c r="G63" s="5" t="inlineStr">
        <is>
          <t>Renal Detective Masterclass</t>
        </is>
      </c>
    </row>
    <row r="64" ht="15.75" customHeight="1" s="115">
      <c r="A64" s="5" t="inlineStr">
        <is>
          <t>Module 9</t>
        </is>
      </c>
      <c r="B64" s="5" t="n"/>
      <c r="C64" s="5" t="inlineStr">
        <is>
          <t>Summer 2026</t>
        </is>
      </c>
      <c r="D64" s="5" t="inlineStr">
        <is>
          <t>Not named</t>
        </is>
      </c>
      <c r="E64" s="5">
        <f>HYPERLINK("https://drive.google.com/file/d/1pXofGRjV4ajMQ1OXt32DI06neZGFY62x/view","▶  Watch")</f>
        <v/>
      </c>
      <c r="F64" s="5" t="inlineStr">
        <is>
          <t>NUR198_Summer2026_Unknown_Wk09_DayNA_Live Class - Urinary Elimination Renal-Urinary Module - 2026-07-01.mp4</t>
        </is>
      </c>
      <c r="G64" s="5" t="inlineStr">
        <is>
          <t>Live Class - Urinary Elimination Renal-Urinary Module - 2026-07-01</t>
        </is>
      </c>
    </row>
    <row r="65" ht="15.75" customHeight="1" s="115">
      <c r="A65" s="5" t="inlineStr">
        <is>
          <t>Module 9</t>
        </is>
      </c>
      <c r="B65" s="5" t="n"/>
      <c r="C65" s="5" t="inlineStr">
        <is>
          <t>Summer 2026</t>
        </is>
      </c>
      <c r="D65" s="5" t="inlineStr">
        <is>
          <t>Not named</t>
        </is>
      </c>
      <c r="E65" s="5">
        <f>HYPERLINK("https://drive.google.com/file/d/1Rcbc5XpjD9VtstRy-uwhiajLf-LFzYj_/view","▶  Watch")</f>
        <v/>
      </c>
      <c r="F65" s="5" t="inlineStr">
        <is>
          <t>NUR198_Summer2026_Unknown_WkNA_DayNA_Exam 4 Review Lectures.mp4</t>
        </is>
      </c>
      <c r="G65" s="5" t="inlineStr">
        <is>
          <t>Exam 4 Review Lectures</t>
        </is>
      </c>
    </row>
    <row r="66" ht="15.75" customHeight="1" s="115">
      <c r="A66" s="5" t="inlineStr">
        <is>
          <t>Module 9</t>
        </is>
      </c>
      <c r="B66" s="5" t="n"/>
      <c r="C66" s="5" t="n"/>
      <c r="D66" s="5" t="inlineStr">
        <is>
          <t>Wagner</t>
        </is>
      </c>
      <c r="E66" s="5">
        <f>HYPERLINK("https://drive.google.com/file/d/1dmYSR2zHgGAuzUx6oWwreBwjX6SB9cEt/view","▶  Watch")</f>
        <v/>
      </c>
      <c r="F66" s="5" t="inlineStr">
        <is>
          <t>NUR198_Summer2026_Wagner_Wk09-10_DayNA_Modules 9 and 10.mp4</t>
        </is>
      </c>
      <c r="G66" s="5" t="inlineStr">
        <is>
          <t>Modules 9 and 10</t>
        </is>
      </c>
    </row>
    <row r="67" ht="15.75" customHeight="1" s="115">
      <c r="A67" s="5" t="inlineStr">
        <is>
          <t>Module 9</t>
        </is>
      </c>
      <c r="B67" s="5" t="inlineStr">
        <is>
          <t>Day 1</t>
        </is>
      </c>
      <c r="C67" s="5" t="inlineStr">
        <is>
          <t>Summer 2026</t>
        </is>
      </c>
      <c r="D67" s="5" t="inlineStr">
        <is>
          <t>Wagner</t>
        </is>
      </c>
      <c r="E67" s="5">
        <f>HYPERLINK("https://drive.google.com/file/d/1_Ew717tGuObc0WX6z_GFyHTkMmymo0n9/view","▶  Watch")</f>
        <v/>
      </c>
      <c r="F67" s="5" t="inlineStr">
        <is>
          <t>NUR198_Summer2026_Wagner_Wk09_Day1_Renal and Urinary.mp4</t>
        </is>
      </c>
      <c r="G67" s="5" t="inlineStr">
        <is>
          <t>Day 1 · Renal and Urinary</t>
        </is>
      </c>
    </row>
    <row r="68" ht="15.75" customHeight="1" s="115">
      <c r="A68" s="5" t="inlineStr">
        <is>
          <t>Module 9</t>
        </is>
      </c>
      <c r="B68" s="5" t="inlineStr">
        <is>
          <t>Day 2</t>
        </is>
      </c>
      <c r="C68" s="5" t="inlineStr">
        <is>
          <t>Summer 2026</t>
        </is>
      </c>
      <c r="D68" s="5" t="inlineStr">
        <is>
          <t>Wagner</t>
        </is>
      </c>
      <c r="E68" s="5">
        <f>HYPERLINK("https://drive.google.com/file/d/1NNmMeHekAthLNrE-mNvJCCom8UD4tRbg/view","▶  Watch")</f>
        <v/>
      </c>
      <c r="F68" s="5" t="inlineStr">
        <is>
          <t>NUR198_Summer2026_Wagner_Wk09_Day2_Renal and Urinary.mp4</t>
        </is>
      </c>
      <c r="G68" s="5" t="inlineStr">
        <is>
          <t>Day 2 · Renal and Urinary</t>
        </is>
      </c>
    </row>
    <row r="69" ht="15.75" customHeight="1" s="115">
      <c r="A69" s="5" t="inlineStr">
        <is>
          <t>Module 10</t>
        </is>
      </c>
      <c r="B69" s="5" t="n"/>
      <c r="C69" s="5" t="inlineStr">
        <is>
          <t>Summer 2026</t>
        </is>
      </c>
      <c r="D69" s="5" t="inlineStr">
        <is>
          <t>SimpleNursing</t>
        </is>
      </c>
      <c r="E69" s="5">
        <f>HYPERLINK("https://drive.google.com/file/d/1wUmkuyZi7pnbK80SgEuixPcqqu58tRlW/view","▶  Watch")</f>
        <v/>
      </c>
      <c r="F69" s="5" t="inlineStr">
        <is>
          <t>NUR198_Summer2026_SimpleNursing_Wk10_DayNA_Cirrhosis Interventions &amp; Ascites Care - 2026-06-30.mp4</t>
        </is>
      </c>
      <c r="G69" s="5" t="inlineStr">
        <is>
          <t>Cirrhosis Interventions &amp; Ascites Care - 2026-06-30</t>
        </is>
      </c>
    </row>
    <row r="70" ht="15.75" customHeight="1" s="115">
      <c r="A70" s="5" t="inlineStr">
        <is>
          <t>Module 10</t>
        </is>
      </c>
      <c r="B70" s="5" t="n"/>
      <c r="C70" s="5" t="inlineStr">
        <is>
          <t>Summer 2026</t>
        </is>
      </c>
      <c r="D70" s="5" t="inlineStr">
        <is>
          <t>SimpleNursing</t>
        </is>
      </c>
      <c r="E70" s="5">
        <f>HYPERLINK("https://drive.google.com/file/d/1SEr4K3wqgallD62tZ5oHLJk_hD_c9H1E/view","▶  Watch")</f>
        <v/>
      </c>
      <c r="F70" s="5" t="inlineStr">
        <is>
          <t>NUR198_Summer2026_SimpleNursing_Wk10_DayNA_GI Playlist Pt1 - Cirrhosis, Abdominal Assessment &amp; Bowel Disorders - 2026-06-30.mp4</t>
        </is>
      </c>
      <c r="G70" s="5" t="inlineStr">
        <is>
          <t>GI Playlist Pt1 - Cirrhosis, Abdominal Assessment &amp; Bowel Disorders - 2026-06-30</t>
        </is>
      </c>
    </row>
    <row r="71" ht="15.75" customHeight="1" s="115">
      <c r="A71" s="5" t="inlineStr">
        <is>
          <t>Module 10</t>
        </is>
      </c>
      <c r="B71" s="5" t="n"/>
      <c r="C71" s="5" t="inlineStr">
        <is>
          <t>Summer 2026</t>
        </is>
      </c>
      <c r="D71" s="5" t="inlineStr">
        <is>
          <t>SimpleNursing</t>
        </is>
      </c>
      <c r="E71" s="5">
        <f>HYPERLINK("https://drive.google.com/file/d/12NgZR1niptg7V_oA5U7Ol2fMtw4mODGu/view","▶  Watch")</f>
        <v/>
      </c>
      <c r="F71" s="5" t="inlineStr">
        <is>
          <t>NUR198_Summer2026_SimpleNursing_Wk10_DayNA_Hepatitis A-E - GI - 2026-06-30.mp4</t>
        </is>
      </c>
      <c r="G71" s="5" t="inlineStr">
        <is>
          <t>Hepatitis A-E - GI - 2026-06-30</t>
        </is>
      </c>
    </row>
    <row r="72" ht="15.75" customHeight="1" s="115">
      <c r="A72" s="5" t="inlineStr">
        <is>
          <t>Module 10</t>
        </is>
      </c>
      <c r="B72" s="5" t="inlineStr">
        <is>
          <t>Day 1</t>
        </is>
      </c>
      <c r="C72" s="5" t="inlineStr">
        <is>
          <t>Summer 2026</t>
        </is>
      </c>
      <c r="D72" s="5" t="inlineStr">
        <is>
          <t>Wagner</t>
        </is>
      </c>
      <c r="E72" s="5">
        <f>HYPERLINK("https://drive.google.com/file/d/1mRWpfyyel6UhhSxCjPTTvXbIt2-cEEFs/view","▶  Watch")</f>
        <v/>
      </c>
      <c r="F72" s="5" t="inlineStr">
        <is>
          <t>NUR198_Summer2026_Wagner_Wk10_Day1_Hepatobiliary.mp4</t>
        </is>
      </c>
      <c r="G72" s="5" t="inlineStr">
        <is>
          <t>Day 1 · Hepatobiliary</t>
        </is>
      </c>
    </row>
    <row r="73" ht="15.75" customHeight="1" s="115">
      <c r="A73" s="5" t="inlineStr">
        <is>
          <t>Module 10</t>
        </is>
      </c>
      <c r="B73" s="5" t="n"/>
      <c r="C73" s="5" t="inlineStr">
        <is>
          <t>Summer 2026</t>
        </is>
      </c>
      <c r="D73" s="5" t="inlineStr">
        <is>
          <t>Kirschner</t>
        </is>
      </c>
      <c r="E73" s="5">
        <f>HYPERLINK("https://drive.google.com/file/d/1pSiqg4sszrTN2agAupjkwjrhcP9xKNNs/view","▶  Watch")</f>
        <v/>
      </c>
      <c r="F73" s="5" t="inlineStr">
        <is>
          <t>NUR198_Summer2026_Kirschner_Wk10_DayNA_Hepatobiliary (Zoom, 14 Jul).mp4</t>
        </is>
      </c>
      <c r="G73" s="5" t="inlineStr">
        <is>
          <t>Hepatobiliary · Zoom 14 Jul</t>
        </is>
      </c>
    </row>
    <row r="74" ht="15.75" customHeight="1" s="115">
      <c r="A74" s="5" t="inlineStr">
        <is>
          <t>Module 11</t>
        </is>
      </c>
      <c r="B74" s="5" t="n"/>
      <c r="C74" s="5" t="inlineStr">
        <is>
          <t>Summer 2026</t>
        </is>
      </c>
      <c r="D74" s="5" t="inlineStr">
        <is>
          <t>SimpleNursing</t>
        </is>
      </c>
      <c r="E74" s="5">
        <f>HYPERLINK("https://drive.google.com/file/d/1bNuhag4rApY41DbbdXzj5OMgkhVUc3b2/view","▶  Watch")</f>
        <v/>
      </c>
      <c r="F74" s="5" t="inlineStr">
        <is>
          <t>NUR198_Summer2026_SimpleNursing_Wk11_DayNA_GERD &amp; Peptic Ulcer Disease - GI - 2026-06-30.mp4</t>
        </is>
      </c>
      <c r="G74" s="5" t="inlineStr">
        <is>
          <t>GERD &amp; Peptic Ulcer Disease - GI - 2026-06-30</t>
        </is>
      </c>
    </row>
    <row r="75" ht="15.75" customHeight="1" s="115">
      <c r="A75" s="5" t="inlineStr">
        <is>
          <t>Module 11</t>
        </is>
      </c>
      <c r="B75" s="5" t="n"/>
      <c r="C75" s="5" t="inlineStr">
        <is>
          <t>Summer 2026</t>
        </is>
      </c>
      <c r="D75" s="5" t="inlineStr">
        <is>
          <t>SimpleNursing</t>
        </is>
      </c>
      <c r="E75" s="5">
        <f>HYPERLINK("https://drive.google.com/file/d/1zaEkPfcuvP5C_31EW7MW68rf0rR2hLpr/view","▶  Watch")</f>
        <v/>
      </c>
      <c r="F75" s="5" t="inlineStr">
        <is>
          <t>NUR198_Summer2026_SimpleNursing_Wk11_DayNA_Health Assessment Abdomen.mp4</t>
        </is>
      </c>
      <c r="G75" s="5" t="inlineStr">
        <is>
          <t>Health Assessment Abdomen</t>
        </is>
      </c>
    </row>
    <row r="76" ht="15.75" customHeight="1" s="115">
      <c r="A76" s="5" t="inlineStr">
        <is>
          <t>Module 11</t>
        </is>
      </c>
      <c r="B76" s="5" t="n"/>
      <c r="C76" s="5" t="inlineStr">
        <is>
          <t>Summer 2026</t>
        </is>
      </c>
      <c r="D76" s="5" t="inlineStr">
        <is>
          <t>SimpleNursing</t>
        </is>
      </c>
      <c r="E76" s="5">
        <f>HYPERLINK("https://drive.google.com/file/d/1F8bGON8-FXZAb9zT7w_7hPlC82TuWDkv/view","▶  Watch")</f>
        <v/>
      </c>
      <c r="F76" s="5" t="inlineStr">
        <is>
          <t>NUR198_Summer2026_SimpleNursing_Wk11_DayNA_Intro to Digestive System.mp4</t>
        </is>
      </c>
      <c r="G76" s="5" t="inlineStr">
        <is>
          <t>Intro to Digestive System</t>
        </is>
      </c>
    </row>
    <row r="77" ht="15.75" customHeight="1" s="115">
      <c r="A77" s="5" t="inlineStr">
        <is>
          <t>Module 11</t>
        </is>
      </c>
      <c r="B77" s="5" t="n"/>
      <c r="C77" s="5" t="inlineStr">
        <is>
          <t>Summer 2026</t>
        </is>
      </c>
      <c r="D77" s="5" t="inlineStr">
        <is>
          <t>Not named</t>
        </is>
      </c>
      <c r="E77" s="5">
        <f>HYPERLINK("https://drive.google.com/file/d/1SkLjzKER5z7mRr2w_fvhuGHYDB47FMTU/view","▶  Watch")</f>
        <v/>
      </c>
      <c r="F77" s="5" t="inlineStr">
        <is>
          <t>NUR198_Summer2026_Unknown_WkNA_DayNA_Exam 5 prep - Zoom recording 2026-07-23.mp4</t>
        </is>
      </c>
      <c r="G77" s="5" t="inlineStr">
        <is>
          <t>Exam 5 prep - Zoom recording 2026-07-23</t>
        </is>
      </c>
    </row>
    <row r="78" ht="15.75" customHeight="1" s="115">
      <c r="A78" s="5" t="inlineStr">
        <is>
          <t>Module 11</t>
        </is>
      </c>
      <c r="B78" s="5" t="n"/>
      <c r="C78" s="5" t="inlineStr">
        <is>
          <t>Summer 2026</t>
        </is>
      </c>
      <c r="D78" s="5" t="inlineStr">
        <is>
          <t>Not named</t>
        </is>
      </c>
      <c r="E78" s="5">
        <f>HYPERLINK("https://drive.google.com/file/d/1y-zZh8NEksWdsxMUB86YaDYPwaWHbnaP/view","▶  Watch")</f>
        <v/>
      </c>
      <c r="F78" s="5" t="inlineStr">
        <is>
          <t>NUR198_Summer2026_Unknown_WkNA_DayNA_Exam 5 prep - Zoom recording 2026-07-24.mp4</t>
        </is>
      </c>
      <c r="G78" s="5" t="inlineStr">
        <is>
          <t>Exam 5 prep - Zoom recording 2026-07-24</t>
        </is>
      </c>
    </row>
    <row r="79" ht="15.75" customHeight="1" s="115">
      <c r="A79" s="5" t="inlineStr">
        <is>
          <t>Module 12</t>
        </is>
      </c>
      <c r="B79" s="5" t="n"/>
      <c r="C79" s="5" t="inlineStr">
        <is>
          <t>Summer 2026</t>
        </is>
      </c>
      <c r="D79" s="5" t="inlineStr">
        <is>
          <t>SimpleNursing</t>
        </is>
      </c>
      <c r="E79" s="5">
        <f>HYPERLINK("https://drive.google.com/file/d/1qTATMwBtihE4tLWzjj8cXiCkGemWNUj-/view","▶  Watch")</f>
        <v/>
      </c>
      <c r="F79" s="5" t="inlineStr">
        <is>
          <t>NUR198_Summer2026_SimpleNursing_Wk12_DayNA_Appendicitis - GI - 2026-06-30.mp4</t>
        </is>
      </c>
      <c r="G79" s="5" t="inlineStr">
        <is>
          <t>Appendicitis - GI - 2026-06-30</t>
        </is>
      </c>
    </row>
    <row r="80" ht="15.75" customHeight="1" s="115">
      <c r="A80" s="5" t="inlineStr">
        <is>
          <t>Module 12</t>
        </is>
      </c>
      <c r="B80" s="5" t="n"/>
      <c r="C80" s="5" t="inlineStr">
        <is>
          <t>Summer 2026</t>
        </is>
      </c>
      <c r="D80" s="5" t="inlineStr">
        <is>
          <t>SimpleNursing</t>
        </is>
      </c>
      <c r="E80" s="5">
        <f>HYPERLINK("https://drive.google.com/file/d/1mUq3Pt5xbUEnurpp-u3dpRxAjzWH_2Q2/view","▶  Watch")</f>
        <v/>
      </c>
      <c r="F80" s="5" t="inlineStr">
        <is>
          <t>NUR198_Summer2026_SimpleNursing_Wk12_DayNA_Celiac Disease - GI - 2026-06-30.mp4</t>
        </is>
      </c>
      <c r="G80" s="5" t="inlineStr">
        <is>
          <t>Celiac Disease - GI - 2026-06-30</t>
        </is>
      </c>
    </row>
    <row r="81" ht="15.75" customHeight="1" s="115">
      <c r="A81" s="5" t="inlineStr">
        <is>
          <t>Module 12</t>
        </is>
      </c>
      <c r="B81" s="5" t="n"/>
      <c r="C81" s="5" t="inlineStr">
        <is>
          <t>Summer 2026</t>
        </is>
      </c>
      <c r="D81" s="5" t="inlineStr">
        <is>
          <t>SimpleNursing</t>
        </is>
      </c>
      <c r="E81" s="5">
        <f>HYPERLINK("https://drive.google.com/file/d/1TasLKe83f_jOCeRJSLywXM1ni0P1hh3O/view","▶  Watch")</f>
        <v/>
      </c>
      <c r="F81" s="5" t="inlineStr">
        <is>
          <t>NUR198_Summer2026_SimpleNursing_Wk12_DayNA_Colostomy &amp; Ileostomy - GI - 2026-06-30.mp4</t>
        </is>
      </c>
      <c r="G81" s="5" t="inlineStr">
        <is>
          <t>Colostomy &amp; Ileostomy - GI - 2026-06-30</t>
        </is>
      </c>
    </row>
    <row r="82" ht="15.75" customHeight="1" s="115">
      <c r="A82" s="5" t="inlineStr">
        <is>
          <t>Module 12</t>
        </is>
      </c>
      <c r="B82" s="5" t="n"/>
      <c r="C82" s="5" t="inlineStr">
        <is>
          <t>Summer 2026</t>
        </is>
      </c>
      <c r="D82" s="5" t="inlineStr">
        <is>
          <t>SimpleNursing</t>
        </is>
      </c>
      <c r="E82" s="5">
        <f>HYPERLINK("https://drive.google.com/file/d/1_8eurcLQ2mbCn5kWsJO3Nejuv5RnrcAR/view","▶  Watch")</f>
        <v/>
      </c>
      <c r="F82" s="5" t="inlineStr">
        <is>
          <t>NUR198_Summer2026_SimpleNursing_Wk12_DayNA_Diverticulitis and Diverticulosis.mp4</t>
        </is>
      </c>
      <c r="G82" s="5" t="inlineStr">
        <is>
          <t>Diverticulitis and Diverticulosis</t>
        </is>
      </c>
    </row>
    <row r="83" ht="15.75" customHeight="1" s="115">
      <c r="A83" s="5" t="inlineStr">
        <is>
          <t>Module 12</t>
        </is>
      </c>
      <c r="B83" s="5" t="n"/>
      <c r="C83" s="5" t="inlineStr">
        <is>
          <t>Summer 2026</t>
        </is>
      </c>
      <c r="D83" s="5" t="inlineStr">
        <is>
          <t>SimpleNursing</t>
        </is>
      </c>
      <c r="E83" s="5">
        <f>HYPERLINK("https://drive.google.com/file/d/1Xq3mRU_jxKjkdNDgxHWNQo6kr1amPwcB/view","▶  Watch")</f>
        <v/>
      </c>
      <c r="F83" s="5" t="inlineStr">
        <is>
          <t>NUR198_Summer2026_SimpleNursing_Wk12_DayNA_GI Disorders Full Review - Appendicitis to Pancreatitis - 2026-07-02.mp4</t>
        </is>
      </c>
      <c r="G83" s="5" t="inlineStr">
        <is>
          <t>GI Disorders Full Review - Appendicitis to Pancreatitis - 2026-07-02</t>
        </is>
      </c>
    </row>
    <row r="84" ht="15.75" customHeight="1" s="115">
      <c r="A84" s="5" t="inlineStr">
        <is>
          <t>Module 12</t>
        </is>
      </c>
      <c r="B84" s="5" t="n"/>
      <c r="C84" s="5" t="inlineStr">
        <is>
          <t>Fall 2026</t>
        </is>
      </c>
      <c r="D84" s="5" t="inlineStr">
        <is>
          <t>SimpleNursing</t>
        </is>
      </c>
      <c r="E84" s="5">
        <f>HYPERLINK("https://drive.google.com/file/d/1o8hf0Rx9OPo9z5qTgqrzR4BevugjF7JR/view","▶  Watch")</f>
        <v/>
      </c>
      <c r="F84" s="5" t="inlineStr">
        <is>
          <t>NUR198_Fall2026_SimpleNursing_WkNA_DayNA_GI - Acute pancreatitis.mp4</t>
        </is>
      </c>
      <c r="G84" s="5" t="inlineStr">
        <is>
          <t>GI · Acute pancreatitis</t>
        </is>
      </c>
    </row>
    <row r="85" ht="15.75" customHeight="1" s="115">
      <c r="A85" s="5" t="inlineStr">
        <is>
          <t>Final</t>
        </is>
      </c>
      <c r="B85" s="5" t="n"/>
      <c r="C85" s="5" t="inlineStr">
        <is>
          <t>Summer 2026</t>
        </is>
      </c>
      <c r="D85" s="5" t="inlineStr">
        <is>
          <t>Wagner</t>
        </is>
      </c>
      <c r="E85" s="5">
        <f>HYPERLINK("https://drive.google.com/file/d/1vpVrTmP1ureQQ7yv2OEOp_gZQJqgtZ_y/view","▶  Watch")</f>
        <v/>
      </c>
      <c r="F85" s="5" t="inlineStr">
        <is>
          <t>NUR198_Summer2026_Wagner_WkNA_DayNA_Final Exam Review part 1.mp4</t>
        </is>
      </c>
      <c r="G85" s="5" t="inlineStr">
        <is>
          <t>Final exam review · part 1</t>
        </is>
      </c>
    </row>
    <row r="86" ht="15.75" customHeight="1" s="115">
      <c r="A86" s="5" t="inlineStr">
        <is>
          <t>Final</t>
        </is>
      </c>
      <c r="B86" s="5" t="n"/>
      <c r="C86" s="5" t="inlineStr">
        <is>
          <t>Summer 2026</t>
        </is>
      </c>
      <c r="D86" s="5" t="inlineStr">
        <is>
          <t>Wagner</t>
        </is>
      </c>
      <c r="E86" s="5">
        <f>HYPERLINK("https://drive.google.com/file/d/1L8XBGVtZvGu8UZOdDWzFTNjVpLuEWxUw/view","▶  Watch")</f>
        <v/>
      </c>
      <c r="F86" s="5" t="inlineStr">
        <is>
          <t>NUR198_Summer2026_Wagner_WkNA_DayNA_Final Exam Review part 2.mp4</t>
        </is>
      </c>
      <c r="G86" s="5" t="inlineStr">
        <is>
          <t>Final exam review · part 2</t>
        </is>
      </c>
    </row>
    <row r="87" ht="15.75" customHeight="1" s="115">
      <c r="A87" s="5" t="inlineStr">
        <is>
          <t>Other</t>
        </is>
      </c>
      <c r="B87" s="5" t="n"/>
      <c r="C87" s="5" t="inlineStr">
        <is>
          <t>Fall 2026</t>
        </is>
      </c>
      <c r="D87" s="5" t="inlineStr">
        <is>
          <t>Not named</t>
        </is>
      </c>
      <c r="E87" s="5">
        <f>HYPERLINK("https://drive.google.com/file/d/1VwqGuxefxFmGgoQn9wZR_ctHpEO4qaSI/view","▶  Watch")</f>
        <v/>
      </c>
      <c r="F87" s="5" t="inlineStr">
        <is>
          <t>NUR198_Fall2026_Unknown_WkNA_DayNA_Sun 7 Sep 8-31 PM Chrome - adult health review, shock, fluids, renal (check).mp4</t>
        </is>
      </c>
      <c r="G87" s="5" t="inlineStr">
        <is>
          <t>Sun 7 Sep 8-31 PM Chrome - adult health review, shock, fluids, renal (check)</t>
        </is>
      </c>
    </row>
    <row r="88" ht="15.75" customHeight="1" s="115">
      <c r="A88" s="5" t="inlineStr">
        <is>
          <t>Other</t>
        </is>
      </c>
      <c r="B88" s="5" t="n"/>
      <c r="C88" s="5" t="inlineStr">
        <is>
          <t>Fall 2026</t>
        </is>
      </c>
      <c r="D88" s="5" t="inlineStr">
        <is>
          <t>Not named</t>
        </is>
      </c>
      <c r="E88" s="5">
        <f>HYPERLINK("https://drive.google.com/file/d/17FEOKc4ndrct33Uz5cCzC3WgQ5ff-5Tl/view","▶  Watch")</f>
        <v/>
      </c>
      <c r="F88" s="5" t="inlineStr">
        <is>
          <t>NUR198_Fall2026_Unknown_WkNA_DayNA_Mon 8 Sep 2-30 AM - Adult health ATI practice review part 2 - electrolytes, respiratory (check course).mp4</t>
        </is>
      </c>
      <c r="G88" s="5" t="inlineStr">
        <is>
          <t>ATI practice review · part 2 · electrolytes, respiratory</t>
        </is>
      </c>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NUR175  ·  Mental Health  ·  videos by module</t>
        </is>
      </c>
    </row>
    <row r="2">
      <c r="A2" s="9" t="inlineStr">
        <is>
          <t>NUR234</t>
        </is>
      </c>
      <c r="B2" s="9" t="inlineStr">
        <is>
          <t>NUR235</t>
        </is>
      </c>
      <c r="C2" s="9" t="inlineStr">
        <is>
          <t>NUR258</t>
        </is>
      </c>
      <c r="D2" s="9" t="inlineStr">
        <is>
          <t>🏠 START HERE</t>
        </is>
      </c>
      <c r="E2" s="9" t="inlineStr">
        <is>
          <t>📥 Sort me</t>
        </is>
      </c>
      <c r="F2" s="18" t="n"/>
      <c r="G2" s="18" t="n"/>
    </row>
    <row r="3">
      <c r="A3" s="19" t="inlineStr">
        <is>
          <t>NUR198</t>
        </is>
      </c>
      <c r="B3" s="123" t="inlineStr">
        <is>
          <t>NUR175</t>
        </is>
      </c>
      <c r="C3" s="19" t="inlineStr">
        <is>
          <t>NUR125</t>
        </is>
      </c>
      <c r="D3" s="19" t="n"/>
      <c r="E3" s="19" t="n"/>
      <c r="F3" s="92" t="n"/>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LSC</t>
        </is>
      </c>
      <c r="E6" s="84">
        <f>HYPERLINK("https://drive.google.com/file/d/16_2-rpSzjqYL86QvvA4jLel-pniYK-SR/view","▶  Watch")</f>
        <v/>
      </c>
      <c r="F6" s="83" t="inlineStr">
        <is>
          <t>NUR175_Fall2026_LSC_WkNA_DayNA_Exam Prep - Foundations of Psychiatric Mental Health Nursing.mp4</t>
        </is>
      </c>
      <c r="G6" s="83" t="inlineStr">
        <is>
          <t>Exam prep · Foundations of Psychiatric Mental Health Nursing</t>
        </is>
      </c>
    </row>
    <row r="7">
      <c r="A7" s="82" t="inlineStr">
        <is>
          <t>Module 1</t>
        </is>
      </c>
      <c r="B7" s="82" t="n"/>
      <c r="C7" s="83" t="inlineStr">
        <is>
          <t>Summer 2026</t>
        </is>
      </c>
      <c r="D7" s="83" t="inlineStr">
        <is>
          <t>Dr E</t>
        </is>
      </c>
      <c r="E7" s="84">
        <f>HYPERLINK("https://drive.google.com/file/d/1_lv-buH5JQDxAGoLhJIPJsa0otMtIEw2/view","▶  Watch")</f>
        <v/>
      </c>
      <c r="F7" s="83" t="inlineStr">
        <is>
          <t>NUR175_Summer2026_Dr-E_Wk01_DayNA_Foundations Neurobiology Psychopharmacology.mp4</t>
        </is>
      </c>
      <c r="G7" s="83" t="inlineStr">
        <is>
          <t>Foundations Neurobiology Psychopharmacology</t>
        </is>
      </c>
    </row>
    <row r="8">
      <c r="A8" s="82" t="inlineStr">
        <is>
          <t>Module 1</t>
        </is>
      </c>
      <c r="B8" s="82" t="n"/>
      <c r="C8" s="83" t="inlineStr">
        <is>
          <t>Summer 2026</t>
        </is>
      </c>
      <c r="D8" s="83" t="inlineStr">
        <is>
          <t>LSC</t>
        </is>
      </c>
      <c r="E8" s="84">
        <f>HYPERLINK("https://drive.google.com/file/d/1kX6ZgxHa8VjTKeCak46u2szWtg6EkkNw/view","▶  Watch")</f>
        <v/>
      </c>
      <c r="F8" s="83" t="inlineStr">
        <is>
          <t>NUR175_Summer2026_LSC_Wk01_DayNA_Exam Prep - Neurobiological Theories (2nd capture, 23 Sep).mp4</t>
        </is>
      </c>
      <c r="G8" s="83" t="inlineStr">
        <is>
          <t>Exam prep · Neurobiological Theories · 2nd capture, 23 Sep</t>
        </is>
      </c>
    </row>
    <row r="9">
      <c r="A9" s="82" t="inlineStr">
        <is>
          <t>Module 1</t>
        </is>
      </c>
      <c r="B9" s="82" t="n"/>
      <c r="C9" s="83" t="inlineStr">
        <is>
          <t>Summer 2026</t>
        </is>
      </c>
      <c r="D9" s="83" t="inlineStr">
        <is>
          <t>LSC</t>
        </is>
      </c>
      <c r="E9" s="84">
        <f>HYPERLINK("https://drive.google.com/file/d/1gWMxVcfP4zgTbbdk-3bPYd1lrgk50pkX/view","▶  Watch")</f>
        <v/>
      </c>
      <c r="F9" s="83" t="inlineStr">
        <is>
          <t>NUR175_Summer2026_LSC_WkNA_DayNA_Exam Prep - Neurobiological Theories.mp4</t>
        </is>
      </c>
      <c r="G9" s="83" t="inlineStr">
        <is>
          <t>Exam prep · Neurobiological Theories</t>
        </is>
      </c>
    </row>
    <row r="10">
      <c r="A10" s="82" t="inlineStr">
        <is>
          <t>Module 1</t>
        </is>
      </c>
      <c r="B10" s="82" t="n"/>
      <c r="C10" s="83" t="inlineStr">
        <is>
          <t>Summer 2026</t>
        </is>
      </c>
      <c r="D10" s="83" t="inlineStr">
        <is>
          <t>SimpleNursing</t>
        </is>
      </c>
      <c r="E10" s="84">
        <f>HYPERLINK("https://drive.google.com/file/d/1JcuWKd7Q4vhxocs85o_eCmTZgsT8Ltpu/view","▶  Watch")</f>
        <v/>
      </c>
      <c r="F10" s="83" t="inlineStr">
        <is>
          <t>NUR175_Summer2026_SimpleNursing_WkNA_DayNA_Psych Meds Intro Clip - Neurotransmitters - 2026-07-03.mp4</t>
        </is>
      </c>
      <c r="G10" s="83" t="inlineStr">
        <is>
          <t>Psych Meds Intro Clip - Neurotransmitters - 2026-07-03</t>
        </is>
      </c>
    </row>
    <row r="11" ht="15.75" customHeight="1" s="115">
      <c r="A11" s="82" t="inlineStr">
        <is>
          <t>Module 2</t>
        </is>
      </c>
      <c r="B11" s="82" t="n"/>
      <c r="C11" s="83" t="inlineStr">
        <is>
          <t>Summer 2026</t>
        </is>
      </c>
      <c r="D11" s="83" t="inlineStr">
        <is>
          <t>Dr E</t>
        </is>
      </c>
      <c r="E11" s="84">
        <f>HYPERLINK("https://drive.google.com/file/d/1Pe3ZmnCtnKxH-MmstQXog3BSo52qfdAB/view","▶  Watch")</f>
        <v/>
      </c>
      <c r="F11" s="83" t="inlineStr">
        <is>
          <t>NUR175_Summer2026_Dr-E_Wk02_DayNA_Theories Therapy and Treatment Settings.mp4</t>
        </is>
      </c>
      <c r="G11" s="83" t="inlineStr">
        <is>
          <t>Theories Therapy and Treatment Settings</t>
        </is>
      </c>
    </row>
    <row r="12" ht="15.75" customHeight="1" s="115">
      <c r="A12" s="82" t="inlineStr">
        <is>
          <t>Module 6</t>
        </is>
      </c>
      <c r="B12" s="82" t="n"/>
      <c r="C12" s="83" t="inlineStr">
        <is>
          <t>Fall 2026</t>
        </is>
      </c>
      <c r="D12" s="83" t="inlineStr">
        <is>
          <t>LSC</t>
        </is>
      </c>
      <c r="E12" s="84">
        <f>HYPERLINK("https://drive.google.com/file/d/1s-JFTVHX7JowbxG52oebTWEyFXSAyVap/view","▶  Watch")</f>
        <v/>
      </c>
      <c r="F12" s="83" t="inlineStr">
        <is>
          <t>NUR175_Fall2026_LSC_Wk06_DayNA_Module 6 - Anger, Hostility, Aggression, Abuse, Violence (exam prep, Dr Corey Meyer and Dr Greg, 88-06).mp4</t>
        </is>
      </c>
      <c r="G12" s="83" t="inlineStr">
        <is>
          <t>M6 · Exam prep · Anger, hostility, aggression, abuse, violence</t>
        </is>
      </c>
    </row>
    <row r="13" ht="15.75" customHeight="1" s="115">
      <c r="A13" s="82" t="inlineStr">
        <is>
          <t>Module 6</t>
        </is>
      </c>
      <c r="B13" s="82" t="inlineStr">
        <is>
          <t>Day 1</t>
        </is>
      </c>
      <c r="C13" s="83" t="inlineStr">
        <is>
          <t>Spring 2026</t>
        </is>
      </c>
      <c r="D13" s="83" t="inlineStr">
        <is>
          <t>Wilkins</t>
        </is>
      </c>
      <c r="E13" s="84">
        <f>HYPERLINK("https://drive.google.com/file/d/1ub_RgvhQ15wEThSZ6lFdaPwkAIoZQQoA/view","▶  Watch")</f>
        <v/>
      </c>
      <c r="F13" s="83" t="inlineStr">
        <is>
          <t>NUR175_Spring2026_Wilkins_Wk06_Day1_Anger Hostility Aggression.mp4</t>
        </is>
      </c>
      <c r="G13" s="83" t="inlineStr">
        <is>
          <t>Day 1 · Anger Hostility Aggression</t>
        </is>
      </c>
    </row>
    <row r="14" ht="15.75" customHeight="1" s="115">
      <c r="A14" s="82" t="inlineStr">
        <is>
          <t>Module 7</t>
        </is>
      </c>
      <c r="B14" s="82" t="n"/>
      <c r="C14" s="83" t="inlineStr">
        <is>
          <t>Spring 2026</t>
        </is>
      </c>
      <c r="D14" s="83" t="inlineStr">
        <is>
          <t>Wilkins</t>
        </is>
      </c>
      <c r="E14" s="84">
        <f>HYPERLINK("https://drive.google.com/file/d/1UL4j3SaKpfkhCEnxm2LnOKxcE7u6cfuc/view","▶  Watch")</f>
        <v/>
      </c>
      <c r="F14" s="83" t="inlineStr">
        <is>
          <t>NUR175_Spring2026_Wilkins_Wk07_DayNA_Trauma and Stressor-Related.mp4</t>
        </is>
      </c>
      <c r="G14" s="83" t="inlineStr">
        <is>
          <t>Trauma and Stressor-Related</t>
        </is>
      </c>
    </row>
    <row r="15" ht="15.75" customHeight="1" s="115">
      <c r="A15" s="82" t="inlineStr">
        <is>
          <t>Module 7</t>
        </is>
      </c>
      <c r="B15" s="82" t="n"/>
      <c r="C15" s="83" t="inlineStr">
        <is>
          <t>Summer 2026</t>
        </is>
      </c>
      <c r="D15" s="83" t="inlineStr">
        <is>
          <t>SimpleNursing</t>
        </is>
      </c>
      <c r="E15" s="84">
        <f>HYPERLINK("https://drive.google.com/file/d/1XNcrWLH2hXZ92f1HCSTV2Fex7cH16Nsd/view","▶  Watch")</f>
        <v/>
      </c>
      <c r="F15" s="83" t="inlineStr">
        <is>
          <t>NUR175_Summer2026_SimpleNursing_WkNA_DayNA_OCD &amp; Anxiety Disorders - Mental Health - 2026-07-04.mp4</t>
        </is>
      </c>
      <c r="G15" s="83" t="inlineStr">
        <is>
          <t>OCD &amp; Anxiety Disorders - Mental Health - 2026-07-04</t>
        </is>
      </c>
    </row>
    <row r="16" ht="15.75" customHeight="1" s="115">
      <c r="A16" s="82" t="inlineStr">
        <is>
          <t>Module 10</t>
        </is>
      </c>
      <c r="B16" s="82" t="n"/>
      <c r="C16" s="83" t="inlineStr">
        <is>
          <t>Summer 2026</t>
        </is>
      </c>
      <c r="D16" s="83" t="inlineStr">
        <is>
          <t>Not named</t>
        </is>
      </c>
      <c r="E16" s="84">
        <f>HYPERLINK("https://drive.google.com/file/d/1mbE9wVZcJkc2oTEDU_Jq7Zr6LR1qS-sG/view","▶  Watch")</f>
        <v/>
      </c>
      <c r="F16" s="83" t="inlineStr">
        <is>
          <t>NUR175_Summer2026_Unknown_WkNA_DayNA_Live Class - Addiction &amp; Eating Disorders - 2026-07-04.mp4</t>
        </is>
      </c>
      <c r="G16" s="83" t="inlineStr">
        <is>
          <t>Live Class - Addiction &amp; Eating Disorders - 2026-07-04</t>
        </is>
      </c>
    </row>
    <row r="17" ht="15.75" customHeight="1" s="115">
      <c r="A17" s="82" t="inlineStr">
        <is>
          <t>Module 11</t>
        </is>
      </c>
      <c r="B17" s="82" t="n"/>
      <c r="C17" s="83" t="inlineStr">
        <is>
          <t>Summer 2026</t>
        </is>
      </c>
      <c r="D17" s="83" t="inlineStr">
        <is>
          <t>Crystal Steele</t>
        </is>
      </c>
      <c r="E17" s="84">
        <f>HYPERLINK("https://drive.google.com/file/d/1kzaMHIBDRT_tUPJwjgLQPzK9uakpe83T/view","▶  Watch")</f>
        <v/>
      </c>
      <c r="F17" s="83" t="inlineStr">
        <is>
          <t>NUR175_Summer2026_Crystal-Steele_WkNA_DayNA_2026-07-05 Chrome - Mental Health Nursing Zoom lecture.mp4</t>
        </is>
      </c>
      <c r="G17" s="83" t="inlineStr">
        <is>
          <t>2026-07-05 Chrome - Mental Health Nursing Zoom lecture</t>
        </is>
      </c>
    </row>
    <row r="18" ht="15.75" customHeight="1" s="115">
      <c r="A18" s="82" t="inlineStr">
        <is>
          <t>Module 11</t>
        </is>
      </c>
      <c r="B18" s="82" t="n"/>
      <c r="C18" s="83" t="inlineStr">
        <is>
          <t>Summer 2026</t>
        </is>
      </c>
      <c r="D18" s="83" t="inlineStr">
        <is>
          <t>Wilkins</t>
        </is>
      </c>
      <c r="E18" s="84">
        <f>HYPERLINK("https://drive.google.com/file/d/13h4QvgxevjrlsF5Q7cK7lbHG15t-xrh9/view","▶  Watch")</f>
        <v/>
      </c>
      <c r="F18" s="83" t="inlineStr">
        <is>
          <t>NUR175_Summer2026_Wilkins_Wk11_DayNA_Somatic Symptom Illness and Neurodevelopmental Disorder.mp4</t>
        </is>
      </c>
      <c r="G18" s="83" t="inlineStr">
        <is>
          <t>Week 11 · Somatic Symptom Illness and Neurodevelopmental Disorder</t>
        </is>
      </c>
    </row>
    <row r="19" ht="15.75" customHeight="1" s="115">
      <c r="A19" s="82" t="inlineStr">
        <is>
          <t>Module 13</t>
        </is>
      </c>
      <c r="B19" s="82" t="n"/>
      <c r="C19" s="83" t="inlineStr">
        <is>
          <t>Summer 2026</t>
        </is>
      </c>
      <c r="D19" s="83" t="inlineStr">
        <is>
          <t>LSC</t>
        </is>
      </c>
      <c r="E19" s="84">
        <f>HYPERLINK("https://drive.google.com/file/d/1inieICqA7U070hIaplwNlrAijcoh8hXJ/view","▶  Watch")</f>
        <v/>
      </c>
      <c r="F19" s="83" t="inlineStr">
        <is>
          <t>NUR175_Summer2026_LSC_Wk13_DayNA_Module 13 - Psychopharmacology (LSC exam prep, 14 Aug 2026, 47-19).mp4</t>
        </is>
      </c>
      <c r="G19" s="83" t="inlineStr">
        <is>
          <t>M13 · Exam prep · Psychopharmacology · 47:19</t>
        </is>
      </c>
    </row>
    <row r="20">
      <c r="A20" s="82" t="inlineStr">
        <is>
          <t>Module 13</t>
        </is>
      </c>
      <c r="B20" s="82" t="n"/>
      <c r="C20" s="83" t="inlineStr">
        <is>
          <t>Summer 2026</t>
        </is>
      </c>
      <c r="D20" s="83" t="inlineStr">
        <is>
          <t>Wilkins</t>
        </is>
      </c>
      <c r="E20" s="84">
        <f>HYPERLINK("https://drive.google.com/file/d/1EKhhlXXsLO5s6joXtNIQrzqjPoWmUy_f/view","▶  Watch")</f>
        <v/>
      </c>
      <c r="F20" s="83" t="inlineStr">
        <is>
          <t>NUR175_Summer2026_Wilkins_WkNA_DayNA_Review of medications - antipsychotics and mental health drug classes (33-29).mp4</t>
        </is>
      </c>
      <c r="G20" s="83" t="inlineStr">
        <is>
          <t>Pharmacology review · Antipsychotics and mental health drug classes · 33:29</t>
        </is>
      </c>
    </row>
    <row r="21" ht="15.75" customHeight="1" s="115">
      <c r="A21" s="82" t="inlineStr">
        <is>
          <t>Other</t>
        </is>
      </c>
      <c r="B21" s="82" t="n"/>
      <c r="C21" s="83" t="inlineStr">
        <is>
          <t>Summer 2026</t>
        </is>
      </c>
      <c r="D21" s="83" t="inlineStr">
        <is>
          <t>SimpleNursing</t>
        </is>
      </c>
      <c r="E21" s="84">
        <f>HYPERLINK("https://drive.google.com/file/d/1PtrAWNr2AQ-CndxK1DP1Hn1nvG6wvIkQ/view","▶  Watch")</f>
        <v/>
      </c>
      <c r="F21" s="83" t="inlineStr">
        <is>
          <t>NUR175_Summer2026_SimpleNursing_WkNA_DayNA_Mental health videos - personality disorders and more (screen recording 8 Jul).mp4</t>
        </is>
      </c>
      <c r="G21" s="83" t="inlineStr">
        <is>
          <t>Mental health videos · personality disorders and more (8 Jul)</t>
        </is>
      </c>
    </row>
    <row r="22" ht="15.75" customHeight="1" s="115">
      <c r="A22" s="82" t="inlineStr">
        <is>
          <t>Other</t>
        </is>
      </c>
      <c r="B22" s="82" t="n"/>
      <c r="C22" s="83" t="inlineStr">
        <is>
          <t>Fall 2026</t>
        </is>
      </c>
      <c r="D22" s="83" t="inlineStr">
        <is>
          <t>Not named</t>
        </is>
      </c>
      <c r="E22" s="84">
        <f>HYPERLINK("https://drive.google.com/file/d/1GKBuzAE_UdDt1wtabvp_jLP1jNiCwsc2/view","▶  Watch")</f>
        <v/>
      </c>
      <c r="F22" s="83" t="inlineStr">
        <is>
          <t>NUR175_Fall2026_Unknown_WkNA_DayNA_Sat 12 Sep 3-53 PM - Mental health practice questions - schizophrenia, bipolar (topic from the speech index).mp4</t>
        </is>
      </c>
      <c r="G22" s="83" t="inlineStr">
        <is>
          <t>Mental health practice questions — schizophrenia, bipolar</t>
        </is>
      </c>
    </row>
    <row r="23" ht="15.75" customHeight="1" s="115">
      <c r="A23" s="82" t="inlineStr">
        <is>
          <t>Other</t>
        </is>
      </c>
      <c r="B23" s="82" t="n"/>
      <c r="C23" s="83" t="inlineStr">
        <is>
          <t>Summer 2026</t>
        </is>
      </c>
      <c r="D23" s="83" t="inlineStr">
        <is>
          <t>SimpleNursing</t>
        </is>
      </c>
      <c r="E23" s="84">
        <f>HYPERLINK("https://drive.google.com/file/d/1GjskjzLlmq4xc_IHoBwi6ySUS_g_ymIC/view","▶  Watch")</f>
        <v/>
      </c>
      <c r="F23" s="83" t="inlineStr">
        <is>
          <t>NUR175_Summer2026_SimpleNursing_WkNA_DayNA_Mental Health Full Review - Psych Meds, Schizophrenia, Bipolar &amp; More - 2026-07-04.mp4</t>
        </is>
      </c>
      <c r="G23" s="83" t="inlineStr">
        <is>
          <t>Mental Health Full Review - Psych Meds, Schizophrenia, Bipolar &amp; More - 2026-07-04</t>
        </is>
      </c>
    </row>
    <row r="24" ht="15.75" customHeight="1" s="115">
      <c r="A24" s="85" t="inlineStr">
        <is>
          <t>Other</t>
        </is>
      </c>
      <c r="B24" s="85" t="n"/>
      <c r="C24" s="83" t="n"/>
      <c r="D24" s="86" t="inlineStr">
        <is>
          <t>Wilkins</t>
        </is>
      </c>
      <c r="E24" s="87">
        <f>HYPERLINK("https://www.youtube.com/watch?v=qYlhhjHHa2M","▶  Watch")</f>
        <v/>
      </c>
      <c r="F24" s="86" t="inlineStr">
        <is>
          <t>Exam 3 review (YouTube)</t>
        </is>
      </c>
      <c r="G24" s="86" t="inlineStr">
        <is>
          <t>Exam 3 review</t>
        </is>
      </c>
    </row>
    <row r="25" ht="15.75" customHeight="1" s="115">
      <c r="A25" s="85" t="inlineStr">
        <is>
          <t>Other</t>
        </is>
      </c>
      <c r="B25" s="85" t="n"/>
      <c r="C25" s="83" t="n"/>
      <c r="D25" s="86" t="inlineStr">
        <is>
          <t>Wilkins</t>
        </is>
      </c>
      <c r="E25" s="87">
        <f>HYPERLINK("https://docs.google.com/spreadsheets/d/1ih8q-yF_7-yjMC4PMAUIcCb1gEgMI2IkOL97L6yLrXQ/edit","📄  Open sheet")</f>
        <v/>
      </c>
      <c r="F25" s="86" t="inlineStr">
        <is>
          <t>Exam 2 review - Zoom; link and passcode in the Wilkins sheet</t>
        </is>
      </c>
      <c r="G25" s="86" t="inlineStr">
        <is>
          <t>Exam 2 review</t>
        </is>
      </c>
    </row>
    <row r="26" ht="15.75" customHeight="1" s="115">
      <c r="A26" s="82" t="inlineStr">
        <is>
          <t>Other</t>
        </is>
      </c>
      <c r="B26" s="82" t="n"/>
      <c r="C26" s="83" t="n"/>
      <c r="D26" s="83" t="inlineStr">
        <is>
          <t>Wilkins</t>
        </is>
      </c>
      <c r="E26" s="84">
        <f>HYPERLINK("https://docs.google.com/spreadsheets/d/1ih8q-yF_7-yjMC4PMAUIcCb1gEgMI2IkOL97L6yLrXQ/edit","📄  Open sheet")</f>
        <v/>
      </c>
      <c r="F26" s="83" t="inlineStr">
        <is>
          <t>Psychopharm review - Zoom; link and passcode in the Wilkins sheet</t>
        </is>
      </c>
      <c r="G26" s="83" t="inlineStr">
        <is>
          <t>Psychopharm review</t>
        </is>
      </c>
    </row>
    <row r="27" ht="15.75" customHeight="1" s="115">
      <c r="A27" s="85" t="inlineStr">
        <is>
          <t>Other</t>
        </is>
      </c>
      <c r="B27" s="85" t="n"/>
      <c r="C27" s="83" t="n"/>
      <c r="D27" s="86" t="inlineStr">
        <is>
          <t>Wilkins</t>
        </is>
      </c>
      <c r="E27" s="87">
        <f>HYPERLINK("https://docs.google.com/spreadsheets/d/1ih8q-yF_7-yjMC4PMAUIcCb1gEgMI2IkOL97L6yLrXQ/edit","📄  Open sheet")</f>
        <v/>
      </c>
      <c r="F27" s="86" t="inlineStr">
        <is>
          <t>Week 2 practice questions - Zoom; link and passcode in the Wilkins sheet</t>
        </is>
      </c>
      <c r="G27" s="86" t="inlineStr">
        <is>
          <t>Week 2 practice questions</t>
        </is>
      </c>
    </row>
    <row r="28" ht="15.75" customHeight="1" s="115">
      <c r="A28" s="85" t="inlineStr">
        <is>
          <t>Other</t>
        </is>
      </c>
      <c r="B28" s="85" t="n"/>
      <c r="C28" s="83" t="n"/>
      <c r="D28" s="86" t="inlineStr">
        <is>
          <t>Wilkins</t>
        </is>
      </c>
      <c r="E28" s="87">
        <f>HYPERLINK("https://docs.google.com/spreadsheets/d/1ih8q-yF_7-yjMC4PMAUIcCb1gEgMI2IkOL97L6yLrXQ/edit","📄  Open sheet")</f>
        <v/>
      </c>
      <c r="F28" s="86" t="inlineStr">
        <is>
          <t>Week 3 practice questions - Zoom; link and passcode in the Wilkins sheet</t>
        </is>
      </c>
      <c r="G28" s="86" t="inlineStr">
        <is>
          <t>Week 3 practice questions</t>
        </is>
      </c>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19.xml><?xml version="1.0" encoding="utf-8"?>
<worksheet xmlns="http://schemas.openxmlformats.org/spreadsheetml/2006/main">
  <sheetPr>
    <tabColor rgb="FF2E4A1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NUR125  ·  Fundamentals  ·  videos by module</t>
        </is>
      </c>
    </row>
    <row r="2">
      <c r="A2" s="9" t="inlineStr">
        <is>
          <t>NUR234</t>
        </is>
      </c>
      <c r="B2" s="9" t="inlineStr">
        <is>
          <t>NUR235</t>
        </is>
      </c>
      <c r="C2" s="9" t="inlineStr">
        <is>
          <t>NUR258</t>
        </is>
      </c>
      <c r="D2" s="9" t="inlineStr">
        <is>
          <t>🏠 START HERE</t>
        </is>
      </c>
      <c r="E2" s="9" t="inlineStr">
        <is>
          <t>📥 Sort me</t>
        </is>
      </c>
      <c r="F2" s="18" t="n"/>
      <c r="G2" s="18" t="n"/>
    </row>
    <row r="3">
      <c r="A3" s="19" t="inlineStr">
        <is>
          <t>NUR198</t>
        </is>
      </c>
      <c r="B3" s="19" t="inlineStr">
        <is>
          <t>NUR175</t>
        </is>
      </c>
      <c r="C3" s="124" t="inlineStr">
        <is>
          <t>NUR125</t>
        </is>
      </c>
      <c r="D3" s="19" t="n"/>
      <c r="E3" s="19" t="n"/>
      <c r="F3" s="92" t="n"/>
      <c r="G3" s="18" t="n"/>
    </row>
    <row r="4">
      <c r="A4" s="18" t="n"/>
      <c r="B4" s="18" t="n"/>
      <c r="C4" s="18" t="n"/>
      <c r="D4" s="18" t="n"/>
      <c r="E4" s="18" t="n"/>
      <c r="F4" s="18" t="n"/>
      <c r="G4" s="18"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Other</t>
        </is>
      </c>
      <c r="B6" s="82" t="n"/>
      <c r="C6" s="83" t="inlineStr">
        <is>
          <t>Summer 2026</t>
        </is>
      </c>
      <c r="D6" s="83" t="inlineStr">
        <is>
          <t>SimpleNursing</t>
        </is>
      </c>
      <c r="E6" s="84">
        <f>HYPERLINK("https://drive.google.com/file/d/1HtupS1Q7_a_mdE36macLQqfrJNwddNBi/view","▶  Watch")</f>
        <v/>
      </c>
      <c r="F6" s="83" t="inlineStr">
        <is>
          <t>NUR125_Summer2026_SimpleNursing_WkNA_DayNA_Nursing Process - delegation, pain, pre-op, age-related changes (14 Jul 2026).mp4</t>
        </is>
      </c>
      <c r="G6" s="83" t="inlineStr">
        <is>
          <t>Nursing Process — delegation, pain, pre-op, age-related changes</t>
        </is>
      </c>
    </row>
    <row r="7">
      <c r="A7" s="82" t="inlineStr">
        <is>
          <t>Other</t>
        </is>
      </c>
      <c r="B7" s="82" t="n"/>
      <c r="C7" s="83" t="inlineStr">
        <is>
          <t>Spring 2026</t>
        </is>
      </c>
      <c r="D7" s="83" t="inlineStr">
        <is>
          <t>Not named</t>
        </is>
      </c>
      <c r="E7" s="84">
        <f>HYPERLINK("https://drive.google.com/file/d/1mIio6VXcxFaAjdS-RW3KAr-uCfzQbCWX/view","▶  Watch")</f>
        <v/>
      </c>
      <c r="F7" s="83" t="inlineStr">
        <is>
          <t>NUR125_Spring2026_Unknown_WkNA_DayNA_Video Project 2.mp4</t>
        </is>
      </c>
      <c r="G7" s="83" t="inlineStr">
        <is>
          <t>Video Project 2</t>
        </is>
      </c>
    </row>
    <row r="8">
      <c r="A8" s="82" t="n"/>
      <c r="B8" s="82" t="n"/>
      <c r="C8" s="83" t="n"/>
      <c r="D8" s="83" t="n"/>
      <c r="E8" s="84" t="n"/>
      <c r="F8" s="83" t="n"/>
      <c r="G8" s="83" t="n"/>
    </row>
    <row r="9">
      <c r="A9" s="82" t="n"/>
      <c r="B9" s="82" t="n"/>
      <c r="C9" s="83" t="n"/>
      <c r="D9" s="83" t="n"/>
      <c r="E9" s="84" t="n"/>
      <c r="F9" s="83" t="n"/>
      <c r="G9" s="83" t="n"/>
    </row>
    <row r="10">
      <c r="A10" s="82" t="n"/>
      <c r="B10" s="82" t="n"/>
      <c r="C10" s="83" t="n"/>
      <c r="D10" s="83" t="n"/>
      <c r="E10" s="84" t="n"/>
      <c r="F10" s="83" t="n"/>
      <c r="G10" s="83" t="n"/>
    </row>
    <row r="11" ht="15.75" customHeight="1" s="115">
      <c r="A11" s="82" t="n"/>
      <c r="B11" s="82" t="n"/>
      <c r="C11" s="83" t="n"/>
      <c r="D11" s="83" t="n"/>
      <c r="E11" s="84" t="n"/>
      <c r="F11" s="83" t="n"/>
      <c r="G11" s="83" t="n"/>
    </row>
    <row r="12" ht="15.75" customHeight="1" s="115">
      <c r="A12" s="82" t="n"/>
      <c r="B12" s="82" t="n"/>
      <c r="C12" s="83" t="n"/>
      <c r="D12" s="83" t="n"/>
      <c r="E12" s="84" t="n"/>
      <c r="F12" s="83" t="n"/>
      <c r="G12" s="83" t="n"/>
    </row>
    <row r="13" ht="15.75" customHeight="1" s="115">
      <c r="A13" s="82" t="n"/>
      <c r="B13" s="82" t="n"/>
      <c r="C13" s="83" t="n"/>
      <c r="D13" s="83" t="n"/>
      <c r="E13" s="84" t="n"/>
      <c r="F13" s="83" t="n"/>
      <c r="G13" s="83" t="n"/>
    </row>
    <row r="14" ht="15.75" customHeight="1" s="115">
      <c r="A14" s="82" t="n"/>
      <c r="B14" s="82" t="n"/>
      <c r="C14" s="83" t="n"/>
      <c r="D14" s="83" t="n"/>
      <c r="E14" s="84" t="n"/>
      <c r="F14" s="83" t="n"/>
      <c r="G14" s="83" t="n"/>
    </row>
    <row r="15" ht="15.75" customHeight="1" s="115">
      <c r="A15" s="82" t="n"/>
      <c r="B15" s="82" t="n"/>
      <c r="C15" s="83" t="n"/>
      <c r="D15" s="83" t="n"/>
      <c r="E15" s="84" t="n"/>
      <c r="F15" s="83" t="n"/>
      <c r="G15" s="83" t="n"/>
    </row>
    <row r="16" ht="15.75" customHeight="1" s="115">
      <c r="A16" s="82" t="n"/>
      <c r="B16" s="82" t="n"/>
      <c r="C16" s="83" t="n"/>
      <c r="D16" s="83" t="n"/>
      <c r="E16" s="84" t="n"/>
      <c r="F16" s="83" t="n"/>
      <c r="G16" s="83" t="n"/>
    </row>
    <row r="17" ht="15.75" customHeight="1" s="115">
      <c r="A17" s="82" t="n"/>
      <c r="B17" s="82" t="n"/>
      <c r="C17" s="83" t="n"/>
      <c r="D17" s="83" t="n"/>
      <c r="E17" s="84" t="n"/>
      <c r="F17" s="83" t="n"/>
      <c r="G17" s="83" t="n"/>
    </row>
    <row r="18" ht="15.75" customHeight="1" s="115">
      <c r="A18" s="82" t="n"/>
      <c r="B18" s="82" t="n"/>
      <c r="C18" s="83" t="n"/>
      <c r="D18" s="83" t="n"/>
      <c r="E18" s="84" t="n"/>
      <c r="F18" s="83" t="n"/>
      <c r="G18" s="83" t="n"/>
    </row>
    <row r="19" ht="15.75" customHeight="1" s="115">
      <c r="A19" s="82" t="n"/>
      <c r="B19" s="82" t="n"/>
      <c r="C19" s="83" t="n"/>
      <c r="D19" s="83" t="n"/>
      <c r="E19" s="84" t="n"/>
      <c r="F19" s="83" t="n"/>
      <c r="G19" s="83" t="n"/>
    </row>
    <row r="20">
      <c r="A20" s="82" t="n"/>
      <c r="B20" s="82" t="n"/>
      <c r="C20" s="83" t="n"/>
      <c r="D20" s="83" t="n"/>
      <c r="E20" s="84" t="n"/>
      <c r="F20" s="83" t="n"/>
      <c r="G20" s="83" t="n"/>
    </row>
    <row r="21" ht="15.75" customHeight="1" s="115">
      <c r="A21" s="82" t="n"/>
      <c r="B21" s="82" t="n"/>
      <c r="C21" s="83" t="n"/>
      <c r="D21" s="83" t="n"/>
      <c r="E21" s="84" t="n"/>
      <c r="F21" s="83" t="n"/>
      <c r="G21" s="83" t="n"/>
    </row>
    <row r="22" ht="15.75" customHeight="1" s="115">
      <c r="A22" s="82" t="n"/>
      <c r="B22" s="82" t="n"/>
      <c r="C22" s="83" t="n"/>
      <c r="D22" s="83" t="n"/>
      <c r="E22" s="84" t="n"/>
      <c r="F22" s="83" t="n"/>
      <c r="G22" s="83"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9" t="inlineStr">
        <is>
          <t>NUR234</t>
        </is>
      </c>
      <c r="B2" s="11" t="inlineStr">
        <is>
          <t>NUR235</t>
        </is>
      </c>
      <c r="C2" s="9" t="inlineStr">
        <is>
          <t>NUR258</t>
        </is>
      </c>
      <c r="D2" s="13" t="inlineStr">
        <is>
          <t>🏠 START HERE</t>
        </is>
      </c>
      <c r="E2" s="17" t="inlineStr">
        <is>
          <t>📥 Sort me</t>
        </is>
      </c>
      <c r="F2" s="18" t="n"/>
      <c r="G2" s="18" t="n"/>
    </row>
    <row r="3">
      <c r="A3" s="108" t="inlineStr">
        <is>
          <t>Every exam review, exam prep and final review recording for the classes that are not in this workbook, linked to the sorted copy in the class folder.</t>
        </is>
      </c>
      <c r="B3" s="108" t="n"/>
      <c r="C3" s="108" t="n"/>
      <c r="D3" s="109" t="n"/>
      <c r="E3" s="110" t="n"/>
      <c r="F3" s="18" t="n"/>
      <c r="G3" s="18" t="n"/>
    </row>
    <row r="4">
      <c r="A4" s="18" t="n"/>
      <c r="B4" s="18" t="n"/>
      <c r="C4" s="18" t="n"/>
      <c r="D4" s="18" t="n"/>
      <c r="E4" s="18" t="n"/>
      <c r="F4" s="18" t="n"/>
      <c r="G4" s="18"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13" t="inlineStr">
        <is>
          <t>Practice questions review - pharm, cardiac, vascular (21 Jun)</t>
        </is>
      </c>
      <c r="D7" s="86" t="inlineStr">
        <is>
          <t>Cory Meyer</t>
        </is>
      </c>
      <c r="E7" s="85" t="inlineStr">
        <is>
          <t>Video</t>
        </is>
      </c>
      <c r="F7" s="114">
        <f>HYPERLINK("https://drive.google.com/file/d/1WH0aQydvO8PNZI_gITvrrwYAglusRTc_/view","▶  Watch")</f>
        <v/>
      </c>
      <c r="G7" s="113"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13" t="inlineStr">
        <is>
          <t>Exam Prep - Renal &amp; Urinary Disorders (3 Jul)</t>
        </is>
      </c>
      <c r="D9" s="86" t="inlineStr">
        <is>
          <t>Dr Clancey-Sollis + Dr Greg</t>
        </is>
      </c>
      <c r="E9" s="85" t="inlineStr">
        <is>
          <t>Video</t>
        </is>
      </c>
      <c r="F9" s="114">
        <f>HYPERLINK("https://drive.google.com/file/d/12n_z-PNGwS16Xn2J4wZbsBS7FiHvKmfE/view","▶  Watch")</f>
        <v/>
      </c>
      <c r="G9" s="113"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13" t="inlineStr">
        <is>
          <t>Exam 5 prep - Zoom recording 23 Jul</t>
        </is>
      </c>
      <c r="D11" s="86" t="inlineStr">
        <is>
          <t>Exam prep</t>
        </is>
      </c>
      <c r="E11" s="85" t="inlineStr">
        <is>
          <t>Video</t>
        </is>
      </c>
      <c r="F11" s="114">
        <f>HYPERLINK("https://drive.google.com/file/d/1SkLjzKER5z7mRr2w_fvhuGHYDB47FMTU/view","▶  Watch")</f>
        <v/>
      </c>
      <c r="G11" s="113"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13" t="inlineStr">
        <is>
          <t>GI Disorders Full Review - Appendicitis to Pancreatitis</t>
        </is>
      </c>
      <c r="D13" s="86" t="inlineStr">
        <is>
          <t>SimpleNursing</t>
        </is>
      </c>
      <c r="E13" s="85" t="inlineStr">
        <is>
          <t>Video</t>
        </is>
      </c>
      <c r="F13" s="114">
        <f>HYPERLINK("https://drive.google.com/file/d/1Xq3mRU_jxKjkdNDgxHWNQo6kr1amPwcB/view","▶  Watch")</f>
        <v/>
      </c>
      <c r="G13" s="113" t="inlineStr">
        <is>
          <t>Week 12, YouTube capture</t>
        </is>
      </c>
    </row>
    <row r="14">
      <c r="A14" s="85" t="inlineStr">
        <is>
          <t>NUR 198</t>
        </is>
      </c>
      <c r="B14" s="85" t="inlineStr">
        <is>
          <t>Exam 5</t>
        </is>
      </c>
      <c r="C14" s="113" t="inlineStr">
        <is>
          <t>GI - Acute pancreatitis</t>
        </is>
      </c>
      <c r="D14" s="86" t="inlineStr">
        <is>
          <t>SimpleNursing</t>
        </is>
      </c>
      <c r="E14" s="85" t="inlineStr">
        <is>
          <t>Video</t>
        </is>
      </c>
      <c r="F14" s="114">
        <f>HYPERLINK("https://drive.google.com/file/d/1o8hf0Rx9OPo9z5qTgqrzR4BevugjF7JR/view","▶  Watch")</f>
        <v/>
      </c>
      <c r="G14" s="113" t="inlineStr">
        <is>
          <t>Week 12 (GI), filed 13 Oct 2026</t>
        </is>
      </c>
    </row>
    <row r="15">
      <c r="A15" s="82" t="inlineStr">
        <is>
          <t>NUR 198 ?</t>
        </is>
      </c>
      <c r="B15" s="82" t="inlineStr">
        <is>
          <t>ATI</t>
        </is>
      </c>
      <c r="C15" s="111" t="inlineStr">
        <is>
          <t>Adult health ATI practice review part 1 - shock, dialysis, asthma, electrolytes, sepsis (Sun 7 Sep)</t>
        </is>
      </c>
      <c r="D15" s="83" t="inlineStr">
        <is>
          <t>Not named</t>
        </is>
      </c>
      <c r="E15" s="82" t="inlineStr">
        <is>
          <t>Video</t>
        </is>
      </c>
      <c r="F15" s="112">
        <f>HYPERLINK("https://drive.google.com/file/d/1VwqGuxefxFmGgoQn9wZR_ctHpEO4qaSI/view","▶  Watch")</f>
        <v/>
      </c>
      <c r="G15" s="111" t="inlineStr">
        <is>
          <t>Could be NUR 258 - you tell me</t>
        </is>
      </c>
    </row>
    <row r="16">
      <c r="A16" s="85" t="inlineStr">
        <is>
          <t>NUR 198 ?</t>
        </is>
      </c>
      <c r="B16" s="85" t="inlineStr">
        <is>
          <t>ATI</t>
        </is>
      </c>
      <c r="C16" s="113" t="inlineStr">
        <is>
          <t>Adult health ATI practice review part 2 - electrolytes, respiratory (Mon 8 Sep)</t>
        </is>
      </c>
      <c r="D16" s="86" t="inlineStr">
        <is>
          <t>Not named</t>
        </is>
      </c>
      <c r="E16" s="85" t="inlineStr">
        <is>
          <t>Video</t>
        </is>
      </c>
      <c r="F16" s="114">
        <f>HYPERLINK("https://drive.google.com/file/d/17FEOKc4ndrct33Uz5cCzC3WgQ5ff-5Tl/view","▶  Watch")</f>
        <v/>
      </c>
      <c r="G16" s="113" t="inlineStr">
        <is>
          <t>Part 2 of the session above</t>
        </is>
      </c>
    </row>
    <row r="17">
      <c r="A17" s="82" t="inlineStr">
        <is>
          <t>NUR 175</t>
        </is>
      </c>
      <c r="B17" s="82" t="inlineStr">
        <is>
          <t>Pharm</t>
        </is>
      </c>
      <c r="C17" s="111" t="inlineStr">
        <is>
          <t>Review Pharmacology</t>
        </is>
      </c>
      <c r="D17" s="83" t="inlineStr">
        <is>
          <t>Wilkins</t>
        </is>
      </c>
      <c r="E17" s="82" t="inlineStr">
        <is>
          <t>Video</t>
        </is>
      </c>
      <c r="F17" s="112">
        <f>HYPERLINK("https://drive.google.com/file/d/11WezNrtsoNJiN3qI-6UBYpqm0TQwmg53/view","▶  Watch")</f>
        <v/>
      </c>
      <c r="G17" s="111" t="inlineStr">
        <is>
          <t>Spring 2026 cohort</t>
        </is>
      </c>
    </row>
    <row r="18">
      <c r="A18" s="85" t="inlineStr">
        <is>
          <t>NUR 175</t>
        </is>
      </c>
      <c r="B18" s="85" t="inlineStr">
        <is>
          <t>Final</t>
        </is>
      </c>
      <c r="C18" s="113" t="inlineStr">
        <is>
          <t>Mental Health Full Review - Psych Meds, Schizophrenia, Bipolar &amp; More</t>
        </is>
      </c>
      <c r="D18" s="86" t="inlineStr">
        <is>
          <t>SimpleNursing</t>
        </is>
      </c>
      <c r="E18" s="85" t="inlineStr">
        <is>
          <t>Video</t>
        </is>
      </c>
      <c r="F18" s="114">
        <f>HYPERLINK("https://drive.google.com/file/d/1GjskjzLlmq4xc_IHoBwi6ySUS_g_ymIC/view","▶  Watch")</f>
        <v/>
      </c>
      <c r="G18" s="113" t="inlineStr">
        <is>
          <t>YouTube capture, 1.7 GB</t>
        </is>
      </c>
    </row>
    <row r="19">
      <c r="A19" s="85" t="inlineStr">
        <is>
          <t>NUR 175</t>
        </is>
      </c>
      <c r="B19" s="85" t="inlineStr">
        <is>
          <t>Module 6</t>
        </is>
      </c>
      <c r="C19" s="113" t="inlineStr">
        <is>
          <t>Module 6 - Anger, Hostility, Aggression, Abuse, Violence</t>
        </is>
      </c>
      <c r="D19" s="86" t="inlineStr">
        <is>
          <t>Dr Corey Meyer + Dr Greg</t>
        </is>
      </c>
      <c r="E19" s="85" t="inlineStr">
        <is>
          <t>Video</t>
        </is>
      </c>
      <c r="F19" s="114">
        <f>HYPERLINK("https://drive.google.com/file/d/1s-JFTVHX7JowbxG52oebTWEyFXSAyVap/view","▶  Watch")</f>
        <v/>
      </c>
      <c r="G19" s="113" t="inlineStr">
        <is>
          <t>LSC exam prep, 88:06 on Canvas. Named from the recording's own opening caption. Phone capture 6 Oct 1:29 AM (671 MB), in Nursing School Videos.</t>
        </is>
      </c>
    </row>
    <row r="20">
      <c r="A20" s="82" t="inlineStr">
        <is>
          <t>BIO 290V</t>
        </is>
      </c>
      <c r="B20" s="82" t="inlineStr">
        <is>
          <t>Exam 1</t>
        </is>
      </c>
      <c r="C20" s="111" t="inlineStr">
        <is>
          <t>Exam prep - drugs, receptors, dosing (12 Sep 2025)</t>
        </is>
      </c>
      <c r="D20" s="83" t="inlineStr">
        <is>
          <t>Not named</t>
        </is>
      </c>
      <c r="E20" s="82" t="inlineStr">
        <is>
          <t>Video</t>
        </is>
      </c>
      <c r="F20" s="112">
        <f>HYPERLINK("https://drive.google.com/file/d/1WpniByv8x74YmS6zuxJ1jwAJaPvTTvAA/view","▶  Watch")</f>
        <v/>
      </c>
      <c r="G20" s="111" t="inlineStr">
        <is>
          <t>Week 2 screen recording</t>
        </is>
      </c>
    </row>
    <row r="21" ht="15.75" customHeight="1" s="115">
      <c r="A21" s="85" t="inlineStr">
        <is>
          <t>BIO 290V</t>
        </is>
      </c>
      <c r="B21" s="85" t="inlineStr">
        <is>
          <t>Exam 2</t>
        </is>
      </c>
      <c r="C21" s="113" t="inlineStr">
        <is>
          <t>Exam 2 Review</t>
        </is>
      </c>
      <c r="D21" s="86" t="inlineStr">
        <is>
          <t>King</t>
        </is>
      </c>
      <c r="E21" s="85" t="inlineStr">
        <is>
          <t>Video</t>
        </is>
      </c>
      <c r="F21" s="114">
        <f>HYPERLINK("https://drive.google.com/file/d/1yzddvEmfZY3CNtnQ1RSJo_XHA5G3S3ol/view","▶  Watch")</f>
        <v/>
      </c>
      <c r="G21" s="113" t="n"/>
    </row>
    <row r="22" ht="15.75" customHeight="1" s="115">
      <c r="A22" s="82" t="inlineStr">
        <is>
          <t>BIO 290V</t>
        </is>
      </c>
      <c r="B22" s="82" t="inlineStr">
        <is>
          <t>Exam 3</t>
        </is>
      </c>
      <c r="C22" s="111" t="inlineStr">
        <is>
          <t>Exam 3 Review</t>
        </is>
      </c>
      <c r="D22" s="83" t="inlineStr">
        <is>
          <t>Guerra</t>
        </is>
      </c>
      <c r="E22" s="82" t="inlineStr">
        <is>
          <t>Video</t>
        </is>
      </c>
      <c r="F22" s="112">
        <f>HYPERLINK("https://drive.google.com/file/d/1_wdvObqJojcouuKBZ-1_Xg1LlMcOeiA_/view","▶  Watch")</f>
        <v/>
      </c>
      <c r="G22" s="111" t="n"/>
    </row>
    <row r="23" ht="15.75" customHeight="1" s="115">
      <c r="A23" s="85" t="inlineStr">
        <is>
          <t>BIO 290V</t>
        </is>
      </c>
      <c r="B23" s="85" t="inlineStr">
        <is>
          <t>Exam 4</t>
        </is>
      </c>
      <c r="C23" s="113" t="inlineStr">
        <is>
          <t>Exam 4</t>
        </is>
      </c>
      <c r="D23" s="86" t="inlineStr">
        <is>
          <t>Guerra</t>
        </is>
      </c>
      <c r="E23" s="85" t="inlineStr">
        <is>
          <t>Video</t>
        </is>
      </c>
      <c r="F23" s="114">
        <f>HYPERLINK("https://drive.google.com/file/d/15gDrKfNa9XozHzbvVaTEi55TSh3mFdep/view","▶  Watch")</f>
        <v/>
      </c>
      <c r="G23" s="113" t="n"/>
    </row>
    <row r="24" ht="15.75" customHeight="1" s="115">
      <c r="A24" s="82" t="inlineStr">
        <is>
          <t>BIO 290V</t>
        </is>
      </c>
      <c r="B24" s="82" t="inlineStr">
        <is>
          <t>Exam 4</t>
        </is>
      </c>
      <c r="C24" s="111" t="inlineStr">
        <is>
          <t>Exam 4 Review</t>
        </is>
      </c>
      <c r="D24" s="83" t="inlineStr">
        <is>
          <t>Christensen</t>
        </is>
      </c>
      <c r="E24" s="82" t="inlineStr">
        <is>
          <t>Video</t>
        </is>
      </c>
      <c r="F24" s="112">
        <f>HYPERLINK("https://drive.google.com/file/d/1pFVjLbA4S81AoKMrwkfO_d-oOl3d1AyG/view","▶  Watch")</f>
        <v/>
      </c>
      <c r="G24" s="111" t="n"/>
    </row>
    <row r="25" ht="15.75" customHeight="1" s="115">
      <c r="A25" s="85" t="inlineStr">
        <is>
          <t>BIO 290V</t>
        </is>
      </c>
      <c r="B25" s="85" t="inlineStr">
        <is>
          <t>Exam 5</t>
        </is>
      </c>
      <c r="C25" s="113" t="inlineStr">
        <is>
          <t>Exam 5 Review</t>
        </is>
      </c>
      <c r="D25" s="86" t="inlineStr">
        <is>
          <t>Guerra</t>
        </is>
      </c>
      <c r="E25" s="85" t="inlineStr">
        <is>
          <t>Video</t>
        </is>
      </c>
      <c r="F25" s="114">
        <f>HYPERLINK("https://drive.google.com/file/d/1hm4Y2UGMf5umd8Djxmm9nrVz4uBSMEat/view","▶  Watch")</f>
        <v/>
      </c>
      <c r="G25" s="113" t="n"/>
    </row>
    <row r="26" ht="15.75" customHeight="1" s="115">
      <c r="A26" s="82" t="inlineStr">
        <is>
          <t>BIO 290V</t>
        </is>
      </c>
      <c r="B26" s="82" t="inlineStr">
        <is>
          <t>Exam 5</t>
        </is>
      </c>
      <c r="C26" s="111" t="inlineStr">
        <is>
          <t>Exam 5 Prep - Pharmacology Modules 8 and 9</t>
        </is>
      </c>
      <c r="D26" s="83" t="inlineStr">
        <is>
          <t>Exam prep</t>
        </is>
      </c>
      <c r="E26" s="82" t="inlineStr">
        <is>
          <t>Video</t>
        </is>
      </c>
      <c r="F26" s="112">
        <f>HYPERLINK("https://drive.google.com/file/d/12zEmpmMLDWRxVxvXWIl96bo9Js5pzC_H/view","▶  Watch")</f>
        <v/>
      </c>
      <c r="G26" s="111" t="n"/>
    </row>
    <row r="27" ht="15.75" customHeight="1" s="115">
      <c r="A27" s="85" t="inlineStr">
        <is>
          <t>BIO 290V</t>
        </is>
      </c>
      <c r="B27" s="85" t="inlineStr">
        <is>
          <t>Exam 6</t>
        </is>
      </c>
      <c r="C27" s="113" t="inlineStr">
        <is>
          <t>Exam 6 Lecture</t>
        </is>
      </c>
      <c r="D27" s="86" t="inlineStr">
        <is>
          <t>King</t>
        </is>
      </c>
      <c r="E27" s="85" t="inlineStr">
        <is>
          <t>Video</t>
        </is>
      </c>
      <c r="F27" s="114">
        <f>HYPERLINK("https://drive.google.com/file/d/1dr7UWaG5lynxtHJJbo8jI2aTBxmE37gQ/view","▶  Watch")</f>
        <v/>
      </c>
      <c r="G27" s="113" t="n"/>
    </row>
    <row r="28" ht="15.75" customHeight="1" s="115">
      <c r="A28" s="82" t="inlineStr">
        <is>
          <t>BIO 290V</t>
        </is>
      </c>
      <c r="B28" s="82" t="inlineStr">
        <is>
          <t>Exam 7</t>
        </is>
      </c>
      <c r="C28" s="111" t="inlineStr">
        <is>
          <t>Exam 7 Prep Session</t>
        </is>
      </c>
      <c r="D28" s="83" t="inlineStr">
        <is>
          <t>King</t>
        </is>
      </c>
      <c r="E28" s="82" t="inlineStr">
        <is>
          <t>Video</t>
        </is>
      </c>
      <c r="F28" s="112">
        <f>HYPERLINK("https://drive.google.com/file/d/1om7GpMMAgV490uNZcgPebM6_e3akw_Je/view","▶  Watch")</f>
        <v/>
      </c>
      <c r="G28" s="111" t="n"/>
    </row>
    <row r="29" ht="15.75" customHeight="1" s="115">
      <c r="A29" s="85" t="inlineStr">
        <is>
          <t>BIO 290V</t>
        </is>
      </c>
      <c r="B29" s="85" t="inlineStr">
        <is>
          <t>FINAL</t>
        </is>
      </c>
      <c r="C29" s="113" t="inlineStr">
        <is>
          <t>Final exam review 1</t>
        </is>
      </c>
      <c r="D29" s="86" t="inlineStr">
        <is>
          <t>Guerra</t>
        </is>
      </c>
      <c r="E29" s="85" t="inlineStr">
        <is>
          <t>Video</t>
        </is>
      </c>
      <c r="F29" s="114">
        <f>HYPERLINK("https://drive.google.com/file/d/1acOr-VH5wLsa5nifIVtkUb9T096o8-Ci/view","▶  Watch")</f>
        <v/>
      </c>
      <c r="G29" s="113" t="n"/>
    </row>
    <row r="30" ht="15.75" customHeight="1" s="115">
      <c r="A30" s="82" t="inlineStr">
        <is>
          <t>BIO 290V</t>
        </is>
      </c>
      <c r="B30" s="82" t="inlineStr">
        <is>
          <t>FINAL</t>
        </is>
      </c>
      <c r="C30" s="111" t="inlineStr">
        <is>
          <t>Final exam review 2</t>
        </is>
      </c>
      <c r="D30" s="83" t="inlineStr">
        <is>
          <t>Guerra</t>
        </is>
      </c>
      <c r="E30" s="82" t="inlineStr">
        <is>
          <t>Video</t>
        </is>
      </c>
      <c r="F30" s="112">
        <f>HYPERLINK("https://drive.google.com/file/d/1h4dE5HNtS-D_P5hQHWPpD8_uR0uJx9V4/view","▶  Watch")</f>
        <v/>
      </c>
      <c r="G30" s="111" t="n"/>
    </row>
    <row r="31" ht="15.75" customHeight="1" s="115">
      <c r="A31" s="85" t="inlineStr">
        <is>
          <t>BIO 290V</t>
        </is>
      </c>
      <c r="B31" s="85" t="inlineStr">
        <is>
          <t>FINAL</t>
        </is>
      </c>
      <c r="C31" s="113" t="inlineStr">
        <is>
          <t>Final exam review</t>
        </is>
      </c>
      <c r="D31" s="86" t="inlineStr">
        <is>
          <t>Pohl</t>
        </is>
      </c>
      <c r="E31" s="85" t="inlineStr">
        <is>
          <t>Video</t>
        </is>
      </c>
      <c r="F31" s="114">
        <f>HYPERLINK("https://drive.google.com/file/d/1afY6_3escGKEXej2K9-YaMCWdm0w3uc8/view","▶  Watch")</f>
        <v/>
      </c>
      <c r="G31" s="113" t="n"/>
    </row>
    <row r="32" ht="15.75" customHeight="1" s="115">
      <c r="A32" s="82" t="inlineStr">
        <is>
          <t>BIO 280V</t>
        </is>
      </c>
      <c r="B32" s="82" t="inlineStr">
        <is>
          <t>Exam 1</t>
        </is>
      </c>
      <c r="C32" s="111" t="inlineStr">
        <is>
          <t>Bio 280V Exam 1 Prep</t>
        </is>
      </c>
      <c r="D32" s="83" t="inlineStr">
        <is>
          <t>Exam prep</t>
        </is>
      </c>
      <c r="E32" s="82" t="inlineStr">
        <is>
          <t>Video</t>
        </is>
      </c>
      <c r="F32" s="112">
        <f>HYPERLINK("https://drive.google.com/file/d/1StGpFy32sz13JGfcY_uajmjWhjWW10n8/view","▶  Watch")</f>
        <v/>
      </c>
      <c r="G32" s="111" t="inlineStr">
        <is>
          <t>919 MB</t>
        </is>
      </c>
    </row>
    <row r="33" ht="15.75" customHeight="1" s="115">
      <c r="A33" s="85" t="inlineStr">
        <is>
          <t>BIO 280V</t>
        </is>
      </c>
      <c r="B33" s="85" t="inlineStr">
        <is>
          <t>Exam 1</t>
        </is>
      </c>
      <c r="C33" s="113" t="inlineStr">
        <is>
          <t>Exam 1 Prep Lecture</t>
        </is>
      </c>
      <c r="D33" s="86" t="inlineStr">
        <is>
          <t>Exam prep</t>
        </is>
      </c>
      <c r="E33" s="85" t="inlineStr">
        <is>
          <t>Video</t>
        </is>
      </c>
      <c r="F33" s="114">
        <f>HYPERLINK("https://drive.google.com/file/d/1nm3wWywVomKZ8twD5ZAeY1WCR-NJmbqA/view","▶  Watch")</f>
        <v/>
      </c>
      <c r="G33" s="113" t="n"/>
    </row>
    <row r="34" ht="15.75" customHeight="1" s="115">
      <c r="A34" s="82" t="inlineStr">
        <is>
          <t>BIO 280V</t>
        </is>
      </c>
      <c r="B34" s="82" t="inlineStr">
        <is>
          <t>Exam 1</t>
        </is>
      </c>
      <c r="C34" s="111" t="inlineStr">
        <is>
          <t>Exam 1 prep - screen recording 15 Sep 2025, 20:03</t>
        </is>
      </c>
      <c r="D34" s="83" t="inlineStr">
        <is>
          <t>Not named</t>
        </is>
      </c>
      <c r="E34" s="82" t="inlineStr">
        <is>
          <t>Video</t>
        </is>
      </c>
      <c r="F34" s="112">
        <f>HYPERLINK("https://drive.google.com/file/d/1Ur5_qaXldGBM-oAdDeGh7xCeXyrqtRB3/view","▶  Watch")</f>
        <v/>
      </c>
      <c r="G34" s="111" t="n"/>
    </row>
    <row r="35" ht="15.75" customHeight="1" s="115">
      <c r="A35" s="85" t="inlineStr">
        <is>
          <t>BIO 280V</t>
        </is>
      </c>
      <c r="B35" s="85" t="inlineStr">
        <is>
          <t>Exam 1</t>
        </is>
      </c>
      <c r="C35" s="113" t="inlineStr">
        <is>
          <t>Exam 1 prep - screen recording 15 Sep 2025, 20:36</t>
        </is>
      </c>
      <c r="D35" s="86" t="inlineStr">
        <is>
          <t>Not named</t>
        </is>
      </c>
      <c r="E35" s="85" t="inlineStr">
        <is>
          <t>Video</t>
        </is>
      </c>
      <c r="F35" s="114">
        <f>HYPERLINK("https://drive.google.com/file/d/19I5RittzDcpdFj67UL_zEMY6EDTPfIeS/view","▶  Watch")</f>
        <v/>
      </c>
      <c r="G35" s="113" t="n"/>
    </row>
    <row r="36" ht="15.75" customHeight="1" s="115">
      <c r="A36" s="82" t="inlineStr">
        <is>
          <t>BIO 280V</t>
        </is>
      </c>
      <c r="B36" s="82" t="inlineStr">
        <is>
          <t>Exam 2</t>
        </is>
      </c>
      <c r="C36" s="111" t="inlineStr">
        <is>
          <t>Exam 2 Lecture</t>
        </is>
      </c>
      <c r="D36" s="83" t="inlineStr">
        <is>
          <t>Exam prep</t>
        </is>
      </c>
      <c r="E36" s="82" t="inlineStr">
        <is>
          <t>Video</t>
        </is>
      </c>
      <c r="F36" s="112">
        <f>HYPERLINK("https://drive.google.com/file/d/1xEezQMx-KNmoVyLCeGcrvHeDz9ZZ9kDZ/view","▶  Watch")</f>
        <v/>
      </c>
      <c r="G36" s="111" t="inlineStr">
        <is>
          <t>2.9 GB</t>
        </is>
      </c>
    </row>
    <row r="37" ht="15.75" customHeight="1" s="115">
      <c r="A37" s="85" t="inlineStr">
        <is>
          <t>BIO 280V</t>
        </is>
      </c>
      <c r="B37" s="85" t="inlineStr">
        <is>
          <t>Exam 2</t>
        </is>
      </c>
      <c r="C37" s="113" t="inlineStr">
        <is>
          <t>Exam prep - cell injury, hypoxia, drugs (22 Sep 2025)</t>
        </is>
      </c>
      <c r="D37" s="86" t="inlineStr">
        <is>
          <t>Not named</t>
        </is>
      </c>
      <c r="E37" s="85" t="inlineStr">
        <is>
          <t>Video</t>
        </is>
      </c>
      <c r="F37" s="114">
        <f>HYPERLINK("https://drive.google.com/file/d/1nhLqtOdgUOHjQXABDMu1dQtwDse-tN0S/view","▶  Watch")</f>
        <v/>
      </c>
      <c r="G37" s="113" t="inlineStr">
        <is>
          <t>Week 4 screen recording</t>
        </is>
      </c>
    </row>
    <row r="38" ht="15.75" customHeight="1" s="115">
      <c r="A38" s="82" t="inlineStr">
        <is>
          <t>BIO 280V</t>
        </is>
      </c>
      <c r="B38" s="82" t="inlineStr">
        <is>
          <t>Exam 3</t>
        </is>
      </c>
      <c r="C38" s="111" t="inlineStr">
        <is>
          <t>Exam 3 Zoom</t>
        </is>
      </c>
      <c r="D38" s="83" t="inlineStr">
        <is>
          <t>Exam prep</t>
        </is>
      </c>
      <c r="E38" s="82" t="inlineStr">
        <is>
          <t>Video</t>
        </is>
      </c>
      <c r="F38" s="112">
        <f>HYPERLINK("https://drive.google.com/file/d/1bzs2XBpKhnDs9mkpzXQyUIqcva8Vca_9/view","▶  Watch")</f>
        <v/>
      </c>
      <c r="G38" s="111" t="n"/>
    </row>
    <row r="39" ht="15.75" customHeight="1" s="115">
      <c r="A39" s="85" t="inlineStr">
        <is>
          <t>BIO 280V</t>
        </is>
      </c>
      <c r="B39" s="85" t="inlineStr">
        <is>
          <t>Exam 3</t>
        </is>
      </c>
      <c r="C39" s="113" t="inlineStr">
        <is>
          <t>Bio280 Exam 3 Prep</t>
        </is>
      </c>
      <c r="D39" s="86" t="inlineStr">
        <is>
          <t>Exam prep</t>
        </is>
      </c>
      <c r="E39" s="85" t="inlineStr">
        <is>
          <t>Video</t>
        </is>
      </c>
      <c r="F39" s="114">
        <f>HYPERLINK("https://drive.google.com/file/d/1f6MwoICNucUfOOv7mB_X0rfGdlX0gJiU/view","▶  Watch")</f>
        <v/>
      </c>
      <c r="G39" s="113" t="inlineStr">
        <is>
          <t>1 GB</t>
        </is>
      </c>
    </row>
    <row r="40" ht="15.75" customHeight="1" s="115">
      <c r="A40" s="82" t="inlineStr">
        <is>
          <t>BIO 280V</t>
        </is>
      </c>
      <c r="B40" s="82" t="inlineStr">
        <is>
          <t>Exam 4</t>
        </is>
      </c>
      <c r="C40" s="111" t="inlineStr">
        <is>
          <t>Exam 4 prep - screen recording 26 Oct 2025</t>
        </is>
      </c>
      <c r="D40" s="83" t="inlineStr">
        <is>
          <t>Not named</t>
        </is>
      </c>
      <c r="E40" s="82" t="inlineStr">
        <is>
          <t>Video</t>
        </is>
      </c>
      <c r="F40" s="112">
        <f>HYPERLINK("https://drive.google.com/file/d/1xK-o6-XiEIM64IG_U-GFv_GNbNHEjEBL/view","▶  Watch")</f>
        <v/>
      </c>
      <c r="G40" s="111" t="n"/>
    </row>
    <row r="41" ht="15.75" customHeight="1" s="115">
      <c r="A41" s="85" t="inlineStr">
        <is>
          <t>BIO 280V</t>
        </is>
      </c>
      <c r="B41" s="85" t="inlineStr">
        <is>
          <t>Exam 5</t>
        </is>
      </c>
      <c r="C41" s="113" t="inlineStr">
        <is>
          <t>Exam 5 prep - screen recording 7 Nov 2025</t>
        </is>
      </c>
      <c r="D41" s="86" t="inlineStr">
        <is>
          <t>Not named</t>
        </is>
      </c>
      <c r="E41" s="85" t="inlineStr">
        <is>
          <t>Video</t>
        </is>
      </c>
      <c r="F41" s="114">
        <f>HYPERLINK("https://drive.google.com/file/d/19WESnmeDH52d7Z272xVo6UshjrjqDnmO/view","▶  Watch")</f>
        <v/>
      </c>
      <c r="G41" s="113" t="n"/>
    </row>
    <row r="42" ht="15.75" customHeight="1" s="115">
      <c r="A42" s="82" t="inlineStr">
        <is>
          <t>BIO 280V</t>
        </is>
      </c>
      <c r="B42" s="82" t="inlineStr">
        <is>
          <t>FINAL</t>
        </is>
      </c>
      <c r="C42" s="111" t="inlineStr">
        <is>
          <t>Final exam prep</t>
        </is>
      </c>
      <c r="D42" s="83" t="inlineStr">
        <is>
          <t>Exam prep</t>
        </is>
      </c>
      <c r="E42" s="82" t="inlineStr">
        <is>
          <t>Video</t>
        </is>
      </c>
      <c r="F42" s="112">
        <f>HYPERLINK("https://drive.google.com/file/d/116e4sUGbtET7q_r_FWaWS4E3YqOfGWI6/view","▶  Watch")</f>
        <v/>
      </c>
      <c r="G42" s="111" t="n"/>
    </row>
    <row r="43" ht="15.75" customHeight="1" s="115">
      <c r="A43" s="85" t="inlineStr">
        <is>
          <t>Anatomy</t>
        </is>
      </c>
      <c r="B43" s="85" t="inlineStr">
        <is>
          <t>Module 8</t>
        </is>
      </c>
      <c r="C43" s="113" t="inlineStr">
        <is>
          <t>Exam review</t>
        </is>
      </c>
      <c r="D43" s="86" t="inlineStr">
        <is>
          <t>Not named</t>
        </is>
      </c>
      <c r="E43" s="85" t="inlineStr">
        <is>
          <t>Video</t>
        </is>
      </c>
      <c r="F43" s="114">
        <f>HYPERLINK("https://drive.google.com/file/d/10zFKUxRWpBiNulYb_P0pOcA9T196bWRY/view","▶  Watch")</f>
        <v/>
      </c>
      <c r="G43" s="113" t="inlineStr">
        <is>
          <t>Week 8</t>
        </is>
      </c>
    </row>
    <row r="44" ht="15.75" customHeight="1" s="115">
      <c r="A44" s="82" t="inlineStr">
        <is>
          <t>Anatomy</t>
        </is>
      </c>
      <c r="B44" s="82" t="inlineStr">
        <is>
          <t>FINAL</t>
        </is>
      </c>
      <c r="C44" s="111" t="inlineStr">
        <is>
          <t>Final Review 5 August 2025</t>
        </is>
      </c>
      <c r="D44" s="83" t="inlineStr">
        <is>
          <t>Not named</t>
        </is>
      </c>
      <c r="E44" s="82" t="inlineStr">
        <is>
          <t>Video</t>
        </is>
      </c>
      <c r="F44" s="112">
        <f>HYPERLINK("https://drive.google.com/file/d/1oi_EhJSyj1T5PEM3HTnFd2aPm8pi1Yu6/view","▶  Watch")</f>
        <v/>
      </c>
      <c r="G44" s="111" t="n"/>
    </row>
    <row r="45" ht="15.75" customHeight="1" s="115">
      <c r="A45" s="85" t="inlineStr">
        <is>
          <t>Anatomy</t>
        </is>
      </c>
      <c r="B45" s="85" t="inlineStr">
        <is>
          <t>FINAL</t>
        </is>
      </c>
      <c r="C45" s="113" t="inlineStr">
        <is>
          <t>Final exam prep - screen recording 10 Aug 2025, 02:31</t>
        </is>
      </c>
      <c r="D45" s="86" t="inlineStr">
        <is>
          <t>Not named</t>
        </is>
      </c>
      <c r="E45" s="85" t="inlineStr">
        <is>
          <t>Video</t>
        </is>
      </c>
      <c r="F45" s="114">
        <f>HYPERLINK("https://drive.google.com/file/d/1jFE2tp8mgv0V-9nhg1jqA-Xx8zVi8Ez4/view","▶  Watch")</f>
        <v/>
      </c>
      <c r="G45" s="113" t="n"/>
    </row>
    <row r="46" ht="15.75" customHeight="1" s="115">
      <c r="A46" s="82" t="inlineStr">
        <is>
          <t>Anatomy</t>
        </is>
      </c>
      <c r="B46" s="82" t="inlineStr">
        <is>
          <t>FINAL</t>
        </is>
      </c>
      <c r="C46" s="111" t="inlineStr">
        <is>
          <t>Final exam prep - screen recording 12 Aug 2025, 01:43</t>
        </is>
      </c>
      <c r="D46" s="83" t="inlineStr">
        <is>
          <t>Not named</t>
        </is>
      </c>
      <c r="E46" s="82" t="inlineStr">
        <is>
          <t>Video</t>
        </is>
      </c>
      <c r="F46" s="112">
        <f>HYPERLINK("https://drive.google.com/file/d/111O_aKSsWxthGegu4uVMyUPomLdaIPhe/view","▶  Watch")</f>
        <v/>
      </c>
      <c r="G46" s="111" t="n"/>
    </row>
    <row r="47" ht="15.75" customHeight="1" s="115">
      <c r="A47" s="85" t="inlineStr">
        <is>
          <t>Anatomy</t>
        </is>
      </c>
      <c r="B47" s="85" t="inlineStr">
        <is>
          <t>FINAL</t>
        </is>
      </c>
      <c r="C47" s="113" t="inlineStr">
        <is>
          <t>Final exam prep - screen recording 12 Aug 2025, 02:12</t>
        </is>
      </c>
      <c r="D47" s="86" t="inlineStr">
        <is>
          <t>Not named</t>
        </is>
      </c>
      <c r="E47" s="85" t="inlineStr">
        <is>
          <t>Video</t>
        </is>
      </c>
      <c r="F47" s="114">
        <f>HYPERLINK("https://drive.google.com/file/d/1GBJR87x3CJbRZ0Vq-nRL4uNZKGR9nDrC/view","▶  Watch")</f>
        <v/>
      </c>
      <c r="G47" s="113" t="n"/>
    </row>
    <row r="48" ht="15.75" customHeight="1" s="115">
      <c r="A48" s="82" t="inlineStr">
        <is>
          <t>Anatomy</t>
        </is>
      </c>
      <c r="B48" s="82" t="inlineStr">
        <is>
          <t>FINAL</t>
        </is>
      </c>
      <c r="C48" s="111" t="inlineStr">
        <is>
          <t>Final exam prep - screen recording 12 Aug 2025, 22:59</t>
        </is>
      </c>
      <c r="D48" s="83" t="inlineStr">
        <is>
          <t>Not named</t>
        </is>
      </c>
      <c r="E48" s="82" t="inlineStr">
        <is>
          <t>Video</t>
        </is>
      </c>
      <c r="F48" s="112">
        <f>HYPERLINK("https://drive.google.com/file/d/12h8EGohla0Dq81dCk26DPpHsOx40V9VL/view","▶  Watch")</f>
        <v/>
      </c>
      <c r="G48" s="111" t="n"/>
    </row>
    <row r="49" ht="15.75" customHeight="1" s="115">
      <c r="A49" s="85" t="inlineStr">
        <is>
          <t>Physiology</t>
        </is>
      </c>
      <c r="B49" s="85" t="inlineStr">
        <is>
          <t>Module 10</t>
        </is>
      </c>
      <c r="C49" s="113" t="inlineStr">
        <is>
          <t>Exam Review Lecture</t>
        </is>
      </c>
      <c r="D49" s="86" t="inlineStr">
        <is>
          <t>Not named</t>
        </is>
      </c>
      <c r="E49" s="85" t="inlineStr">
        <is>
          <t>Video</t>
        </is>
      </c>
      <c r="F49" s="114">
        <f>HYPERLINK("https://drive.google.com/file/d/1UGUpXHp40ongHJunXoRhTQ0kTlTLA7Pq/view","▶  Watch")</f>
        <v/>
      </c>
      <c r="G49" s="113" t="inlineStr">
        <is>
          <t>Week 10</t>
        </is>
      </c>
    </row>
    <row r="50" ht="15.75" customHeight="1" s="115">
      <c r="A50" s="82" t="inlineStr">
        <is>
          <t>Physiology</t>
        </is>
      </c>
      <c r="B50" s="82" t="inlineStr">
        <is>
          <t>FINAL</t>
        </is>
      </c>
      <c r="C50" s="111" t="inlineStr">
        <is>
          <t>Final Exam Prep Lecture</t>
        </is>
      </c>
      <c r="D50" s="83" t="inlineStr">
        <is>
          <t>Not named</t>
        </is>
      </c>
      <c r="E50" s="82" t="inlineStr">
        <is>
          <t>Video</t>
        </is>
      </c>
      <c r="F50" s="112">
        <f>HYPERLINK("https://drive.google.com/file/d/1lWnTg0uyOq290vEkP28MvkqvJ97y5f9W/view","▶  Watch")</f>
        <v/>
      </c>
      <c r="G50" s="111" t="n"/>
    </row>
    <row r="51" ht="15.75" customHeight="1" s="115">
      <c r="A51" s="85" t="inlineStr">
        <is>
          <t>Physiology</t>
        </is>
      </c>
      <c r="B51" s="85" t="inlineStr">
        <is>
          <t>FINAL</t>
        </is>
      </c>
      <c r="C51" s="113" t="inlineStr">
        <is>
          <t>Final exam prep - screen recording 6 Aug 2025, 02:52</t>
        </is>
      </c>
      <c r="D51" s="86" t="inlineStr">
        <is>
          <t>Not named</t>
        </is>
      </c>
      <c r="E51" s="85" t="inlineStr">
        <is>
          <t>Video</t>
        </is>
      </c>
      <c r="F51" s="114">
        <f>HYPERLINK("https://drive.google.com/file/d/1z3f-a4JvsYQKFoXXjrlKhVoYD6fI2na-/view","▶  Watch")</f>
        <v/>
      </c>
      <c r="G51" s="113" t="n"/>
    </row>
    <row r="52" ht="15.75" customHeight="1" s="115">
      <c r="A52" s="82" t="inlineStr">
        <is>
          <t>Physiology</t>
        </is>
      </c>
      <c r="B52" s="82" t="inlineStr">
        <is>
          <t>FINAL</t>
        </is>
      </c>
      <c r="C52" s="111" t="inlineStr">
        <is>
          <t>Final exam prep - screen recording 6 Aug 2025, 03:31</t>
        </is>
      </c>
      <c r="D52" s="83" t="inlineStr">
        <is>
          <t>Not named</t>
        </is>
      </c>
      <c r="E52" s="82" t="inlineStr">
        <is>
          <t>Video</t>
        </is>
      </c>
      <c r="F52" s="112">
        <f>HYPERLINK("https://drive.google.com/file/d/1TL8au62OwpCJB8QvoJQPTAP3DPr2rQ9B/view","▶  Watch")</f>
        <v/>
      </c>
      <c r="G52" s="111" t="n"/>
    </row>
    <row r="53" ht="15.75" customHeight="1" s="115">
      <c r="A53" s="85" t="inlineStr">
        <is>
          <t>MAT 300</t>
        </is>
      </c>
      <c r="B53" s="85" t="inlineStr">
        <is>
          <t>Exam 1</t>
        </is>
      </c>
      <c r="C53" s="113" t="inlineStr">
        <is>
          <t>Week 7 Exam 1 Review Session</t>
        </is>
      </c>
      <c r="D53" s="86" t="inlineStr">
        <is>
          <t>Not named</t>
        </is>
      </c>
      <c r="E53" s="85" t="inlineStr">
        <is>
          <t>Video</t>
        </is>
      </c>
      <c r="F53" s="114">
        <f>HYPERLINK("https://drive.google.com/file/d/1xmpcMMEuUqaxs3rJIQPhScpMpaK6kQEZ/view","▶  Watch")</f>
        <v/>
      </c>
      <c r="G53" s="113" t="n"/>
    </row>
    <row r="54" ht="15.75" customHeight="1" s="115">
      <c r="A54" s="82" t="inlineStr">
        <is>
          <t>MAT 300</t>
        </is>
      </c>
      <c r="B54" s="82" t="inlineStr">
        <is>
          <t>FINAL</t>
        </is>
      </c>
      <c r="C54" s="111" t="inlineStr">
        <is>
          <t>Week 13 Live Session - Overview of Final Exam and Study Prep</t>
        </is>
      </c>
      <c r="D54" s="83" t="inlineStr">
        <is>
          <t>Not named</t>
        </is>
      </c>
      <c r="E54" s="82" t="inlineStr">
        <is>
          <t>Video</t>
        </is>
      </c>
      <c r="F54" s="112">
        <f>HYPERLINK("https://drive.google.com/file/d/1_R3mEoaWiDwBkg9wO_y2pz1VLP9YQkt0/view","▶  Watch")</f>
        <v/>
      </c>
      <c r="G54" s="111" t="n"/>
    </row>
    <row r="55" ht="15.75" customHeight="1" s="115">
      <c r="A55" s="85" t="inlineStr">
        <is>
          <t>MAT 300</t>
        </is>
      </c>
      <c r="B55" s="85" t="inlineStr">
        <is>
          <t>FINAL</t>
        </is>
      </c>
      <c r="C55" s="113" t="inlineStr">
        <is>
          <t>Final Exam Review Session</t>
        </is>
      </c>
      <c r="D55" s="86" t="inlineStr">
        <is>
          <t>Not named</t>
        </is>
      </c>
      <c r="E55" s="85" t="inlineStr">
        <is>
          <t>Video</t>
        </is>
      </c>
      <c r="F55" s="114">
        <f>HYPERLINK("https://drive.google.com/file/d/15iJt8VD1yRH6a94TFhQsv4XpNmoFCD-6/view","▶  Watch")</f>
        <v/>
      </c>
      <c r="G55" s="113" t="n"/>
    </row>
    <row r="56" ht="15.75" customHeight="1" s="115">
      <c r="A56" s="91" t="n"/>
      <c r="B56" s="91" t="n"/>
      <c r="C56" s="91" t="n"/>
      <c r="D56" s="91" t="n"/>
      <c r="E56" s="91" t="n"/>
      <c r="F56" s="91" t="n"/>
      <c r="G56" s="91" t="n"/>
    </row>
    <row r="57" ht="15.75" customHeight="1" s="115">
      <c r="A57" s="91" t="n"/>
      <c r="B57" s="91" t="n"/>
      <c r="C57" s="91" t="n"/>
      <c r="D57" s="91" t="n"/>
      <c r="E57" s="91" t="n"/>
      <c r="F57" s="91" t="n"/>
      <c r="G57" s="91" t="n"/>
    </row>
    <row r="58" ht="15.75" customHeight="1" s="115">
      <c r="A58" s="91" t="n"/>
      <c r="B58" s="91" t="n"/>
      <c r="C58" s="91" t="n"/>
      <c r="D58" s="91" t="n"/>
      <c r="E58" s="91" t="n"/>
      <c r="F58" s="91" t="n"/>
      <c r="G58" s="91"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2026-10-15T00:58:08Z</dcterms:created>
  <dcterms:modified xmlns:dcterms="http://purl.org/dc/terms/" xmlns:xsi="http://www.w3.org/2001/XMLSchema-instance" xsi:type="dcterms:W3CDTF">2026-10-15T01:03:44Z</dcterms:modified>
</cp:coreProperties>
</file>