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Exam Reviews" sheetId="9" state="visible" r:id="rId9"/>
    <sheet name="NUR258 Halecka" sheetId="10" state="visible" r:id="rId10"/>
    <sheet name="NUR258 Wagner" sheetId="11" state="visible" r:id="rId11"/>
    <sheet name="NUR258 Simmons" sheetId="12" state="visible" r:id="rId12"/>
    <sheet name="NUR258 Exam Reviews" sheetId="13" state="visible" r:id="rId13"/>
    <sheet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3">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xf numFmtId="0" fontId="43" fillId="12" borderId="4" applyAlignment="1" pivotButton="0" quotePrefix="0" xfId="0">
      <alignment horizontal="left" vertical="center"/>
    </xf>
    <xf numFmtId="0" fontId="57" fillId="17"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999"/>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Exam Reviews</t>
        </is>
      </c>
      <c r="B15" s="60" t="n"/>
      <c r="C15" s="60" t="n"/>
      <c r="D15" s="60" t="n"/>
      <c r="E15" s="60" t="n"/>
      <c r="F15" s="6" t="n"/>
      <c r="G15" s="6" t="n"/>
    </row>
    <row r="16" s="114">
      <c r="A16" s="59" t="n"/>
      <c r="B16" s="60" t="n"/>
      <c r="C16" s="60" t="n"/>
      <c r="D16" s="60" t="n"/>
      <c r="E16" s="60" t="n"/>
      <c r="F16" s="6" t="n"/>
      <c r="G16" s="6" t="n"/>
    </row>
    <row r="17" s="114">
      <c r="A17" s="53" t="n"/>
      <c r="B17" s="13" t="n"/>
      <c r="C17" s="13" t="n"/>
      <c r="D17" s="13" t="n"/>
      <c r="E17" s="13" t="n"/>
      <c r="F17" s="6" t="n"/>
      <c r="G17" s="6" t="n"/>
    </row>
    <row r="18" s="114">
      <c r="A18" s="62" t="inlineStr">
        <is>
          <t>NUR258</t>
        </is>
      </c>
      <c r="F18" s="6" t="n"/>
      <c r="G18" s="6" t="n"/>
    </row>
    <row r="19" s="114">
      <c r="A19" s="63" t="inlineStr">
        <is>
          <t>→  Halecka</t>
        </is>
      </c>
      <c r="B19" s="64" t="n"/>
      <c r="C19" s="64" t="n"/>
      <c r="D19" s="64" t="n"/>
      <c r="E19" s="64" t="n"/>
      <c r="F19" s="6" t="n"/>
      <c r="G19" s="6" t="n"/>
    </row>
    <row r="20" ht="15.75" customHeight="1" s="114">
      <c r="A20" s="63" t="inlineStr">
        <is>
          <t>→  Wagner</t>
        </is>
      </c>
      <c r="B20" s="64" t="n"/>
      <c r="C20" s="64" t="n"/>
      <c r="D20" s="64" t="n"/>
      <c r="E20" s="64" t="n"/>
      <c r="F20" s="6" t="n"/>
      <c r="G20" s="6" t="n"/>
    </row>
    <row r="21" ht="15.75" customHeight="1" s="114">
      <c r="A21" s="63" t="inlineStr">
        <is>
          <t>→  Simmons</t>
        </is>
      </c>
      <c r="B21" s="64" t="n"/>
      <c r="C21" s="64" t="n"/>
      <c r="D21" s="64" t="n"/>
      <c r="E21" s="64" t="n"/>
      <c r="F21" s="6" t="n"/>
      <c r="G21" s="6" t="n"/>
    </row>
    <row r="22" ht="15.75" customHeight="1" s="114">
      <c r="A22" s="63" t="inlineStr">
        <is>
          <t>→  Exam Reviews</t>
        </is>
      </c>
      <c r="B22" s="64" t="n"/>
      <c r="C22" s="64" t="n"/>
      <c r="D22" s="64" t="n"/>
      <c r="E22" s="64" t="n"/>
      <c r="F22" s="6" t="n"/>
      <c r="G22" s="6" t="n"/>
    </row>
    <row r="23" ht="15.75" customHeight="1" s="114">
      <c r="A23" s="63" t="n"/>
      <c r="B23" s="64" t="n"/>
      <c r="C23" s="64" t="n"/>
      <c r="D23" s="64" t="n"/>
      <c r="E23" s="64" t="n"/>
      <c r="F23" s="6" t="n"/>
      <c r="G23" s="6" t="n"/>
    </row>
    <row r="24" ht="15.75" customHeight="1" s="114">
      <c r="A24" s="53" t="n"/>
      <c r="B24" s="13" t="n"/>
      <c r="C24" s="13" t="n"/>
      <c r="D24" s="13" t="n"/>
      <c r="E24" s="13" t="n"/>
      <c r="F24" s="6" t="n"/>
      <c r="G24" s="6" t="n"/>
    </row>
    <row r="25" ht="15.75" customHeight="1" s="114">
      <c r="A25" s="65" t="inlineStr">
        <is>
          <t>HOW TO USE IT</t>
        </is>
      </c>
      <c r="F25" s="6" t="n"/>
      <c r="G25" s="6" t="n"/>
    </row>
    <row r="26" ht="15.75" customHeight="1" s="114">
      <c r="A26" s="66" t="inlineStr">
        <is>
          <t>•  Every recording links straight to the video in your Google Drive - no passwords needed.</t>
        </is>
      </c>
      <c r="F26" s="6" t="n"/>
      <c r="G26" s="6" t="n"/>
    </row>
    <row r="27" ht="15.75" customHeight="1" s="114">
      <c r="A27" s="66" t="inlineStr">
        <is>
          <t>•  Each lecturer has their own sub-tab. The Lecturer column repeats it row by row.</t>
        </is>
      </c>
      <c r="F27" s="6" t="n"/>
      <c r="G27" s="6" t="n"/>
    </row>
    <row r="28" ht="15.75" customHeight="1" s="114">
      <c r="A28" s="66" t="inlineStr">
        <is>
          <t>•  Every lecturer has their own sub-tab. The Lecturer column repeats it row by row.</t>
        </is>
      </c>
      <c r="F28" s="6" t="n"/>
      <c r="G28" s="6" t="n"/>
    </row>
    <row r="29" ht="15.75" customHeight="1" s="114">
      <c r="A29" s="66" t="inlineStr">
        <is>
          <t>•  Use the My notes column however you like - mark what you have watched, jot reminders.</t>
        </is>
      </c>
      <c r="F29" s="6" t="n"/>
      <c r="G29" s="6" t="n"/>
    </row>
    <row r="30" ht="15.75" customHeight="1" s="114">
      <c r="A30" s="66" t="inlineStr">
        <is>
          <t>•  Empty dark rows are already set up for the rest of the semester - just type in them.</t>
        </is>
      </c>
      <c r="F30" s="6" t="n"/>
      <c r="G30" s="6" t="n"/>
    </row>
    <row r="31" ht="15.75" customHeight="1" s="114">
      <c r="A31" s="66" t="inlineStr">
        <is>
          <t>•  To add a recording: right-click the cell -&gt; Link -&gt; paste the Drive URL.</t>
        </is>
      </c>
      <c r="F31" s="6" t="n"/>
      <c r="G31" s="6" t="n"/>
    </row>
    <row r="32" ht="15.75" customHeight="1" s="114">
      <c r="A32" s="66" t="inlineStr">
        <is>
          <t>•  Type in the row right below a table and Excel adds it to the table automatically.  •  Exam reviews for the classes that are not in here (NUR 198, NUR 175, BIO 290V, BIO 280V, Anatomy, Physiology, MAT 300) are on the last tab, "Exam Reviews (other classes)".</t>
        </is>
      </c>
      <c r="F32" s="6" t="n"/>
      <c r="G32" s="6" t="n"/>
    </row>
    <row r="33" ht="15.75" customHeight="1" s="114">
      <c r="A33" s="13" t="n"/>
      <c r="F33" s="6" t="n"/>
      <c r="G33" s="6" t="n"/>
    </row>
    <row r="34" ht="15.75" customHeight="1" s="114">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6" t="n"/>
      <c r="G34" s="6" t="n"/>
    </row>
    <row r="35" ht="15.75" customHeight="1" s="114">
      <c r="A35" s="13" t="n"/>
      <c r="B35" s="13" t="n"/>
      <c r="C35" s="13" t="n"/>
      <c r="D35" s="13" t="n"/>
      <c r="E35" s="13" t="n"/>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sheetData>
  <mergeCells count="15">
    <mergeCell ref="A30:E30"/>
    <mergeCell ref="A34:E34"/>
    <mergeCell ref="A12:E12"/>
    <mergeCell ref="A29:E29"/>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inlineStr">
        <is>
          <t>Topic: Reproductive Life Planning &amp; Contraception</t>
        </is>
      </c>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inlineStr">
        <is>
          <t>Topic: Reproductive Life Planning &amp; Contraception</t>
        </is>
      </c>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inlineStr">
        <is>
          <t>Topic: Reproductive Life Planning &amp; Contraception</t>
        </is>
      </c>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inlineStr">
        <is>
          <t>Topic: Conception, Fetal Development &amp; Placental Function</t>
        </is>
      </c>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inlineStr">
        <is>
          <t>Topic: Conception, Fetal Development &amp; Placental Function</t>
        </is>
      </c>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inlineStr">
        <is>
          <t>Topic: Physiologic &amp; Psychological Changes of Pregnancy</t>
        </is>
      </c>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inlineStr">
        <is>
          <t>Topic: Physiologic &amp; Psychological Changes of Pregnancy</t>
        </is>
      </c>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inlineStr">
        <is>
          <t>Topic: Prenatal Assessment &amp; Antepartum Fetal Surveillance</t>
        </is>
      </c>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inlineStr">
        <is>
          <t>Topic: Prenatal Assessment &amp; Antepartum Fetal Surveillance</t>
        </is>
      </c>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inlineStr">
        <is>
          <t>Topic: Nutrition &amp; Health Promotion in Pregnancy</t>
        </is>
      </c>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inlineStr">
        <is>
          <t>Topic: Nutrition &amp; Health Promotion in Pregnancy</t>
        </is>
      </c>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inlineStr">
        <is>
          <t>Topic: Labor &amp; Birth</t>
        </is>
      </c>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inlineStr">
        <is>
          <t>Topic: Labor &amp; Birth</t>
        </is>
      </c>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inlineStr">
        <is>
          <t>Topic: Fetal Monitoring, Comfort &amp; Analgesia in Labor</t>
        </is>
      </c>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inlineStr">
        <is>
          <t>Topic: Fetal Monitoring, Comfort &amp; Analgesia in Labor</t>
        </is>
      </c>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inlineStr">
        <is>
          <t>Topic: Early Pregnancy Bleeding &amp; Ectopic Pregnancy</t>
        </is>
      </c>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inlineStr">
        <is>
          <t>Topic: Early Pregnancy Bleeding &amp; Ectopic Pregnancy</t>
        </is>
      </c>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inlineStr">
        <is>
          <t>Topic: Hypertensive Disorders &amp; Magnesium Sulfate</t>
        </is>
      </c>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inlineStr">
        <is>
          <t>Topic: Hypertensive Disorders &amp; Magnesium Sulfate</t>
        </is>
      </c>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inlineStr">
        <is>
          <t>Topic: Dysfunctional Labor, Uterine Rupture &amp; Obstetric Drug Math</t>
        </is>
      </c>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inlineStr">
        <is>
          <t>Topic: Dysfunctional Labor, Uterine Rupture &amp; Obstetric Drug Math</t>
        </is>
      </c>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inlineStr">
        <is>
          <t>Topic: Postpartum Assessment &amp; Hemorrhage</t>
        </is>
      </c>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inlineStr">
        <is>
          <t>Topic: Postpartum Assessment &amp; Hemorrhage</t>
        </is>
      </c>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inlineStr">
        <is>
          <t>Topic: The Normal Newborn &amp; Thermoregulation</t>
        </is>
      </c>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inlineStr">
        <is>
          <t>Topic: The Normal Newborn &amp; Thermoregulation</t>
        </is>
      </c>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inlineStr">
        <is>
          <t>Topic: Newborn Feeding</t>
        </is>
      </c>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inlineStr">
        <is>
          <t>Topic: Newborn Feeding</t>
        </is>
      </c>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inlineStr">
        <is>
          <t>Topic: The High-Risk Newborn &amp; Course Review</t>
        </is>
      </c>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inlineStr">
        <is>
          <t>Topic: The High-Risk Newborn &amp; Course Review</t>
        </is>
      </c>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inlineStr">
        <is>
          <t>Topic: Reproductive Life Planning &amp; Contraception</t>
        </is>
      </c>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inlineStr">
        <is>
          <t>Topic: Reproductive Life Planning &amp; Contraception</t>
        </is>
      </c>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Exam prep (LSC)</t>
        </is>
      </c>
      <c r="E8" s="44" t="n"/>
      <c r="F8" s="72">
        <f>HYPERLINK("https://drive.google.com/file/d/1BzJX0H7asjyK1qzOoVAj85MSXLDimJYx/view","▶  Watch")</f>
        <v/>
      </c>
      <c r="G8" s="44" t="inlineStr">
        <is>
          <t>Topic: Module 1 - Reproductive Life Planning</t>
        </is>
      </c>
    </row>
    <row r="9">
      <c r="A9" s="29" t="inlineStr">
        <is>
          <t>Exam 1</t>
        </is>
      </c>
      <c r="B9" s="29" t="n"/>
      <c r="C9" s="32" t="inlineStr">
        <is>
          <t>Module 2 - Normal Pregnancy and Care of the Growing Fetus</t>
        </is>
      </c>
      <c r="D9" s="32" t="inlineStr">
        <is>
          <t>Exam prep (LSC)</t>
        </is>
      </c>
      <c r="E9" s="32" t="n"/>
      <c r="F9" s="73">
        <f>HYPERLINK("https://drive.google.com/file/d/1Bk0lxp-seYQORXcarpIuO88Viox4fuOZ/view","▶  Watch")</f>
        <v/>
      </c>
      <c r="G9" s="32" t="inlineStr">
        <is>
          <t>Topic: Module 2 - Normal Pregnancy and Care of the Growing Fetus</t>
        </is>
      </c>
    </row>
    <row r="10">
      <c r="A10" s="43" t="inlineStr">
        <is>
          <t>Exam 1</t>
        </is>
      </c>
      <c r="B10" s="43" t="n"/>
      <c r="C10" s="44" t="inlineStr">
        <is>
          <t>Module 3 - Physiologic Changes of Pregnancy</t>
        </is>
      </c>
      <c r="D10" s="44" t="inlineStr">
        <is>
          <t>Exam prep (LSC)</t>
        </is>
      </c>
      <c r="E10" s="44" t="n"/>
      <c r="F10" s="72">
        <f>HYPERLINK("https://drive.google.com/file/d/1B4wu9ddK2huKEVy10lawIK1_YhYzO6bS/view","▶  Watch")</f>
        <v/>
      </c>
      <c r="G10" s="44" t="inlineStr">
        <is>
          <t>Topic: Module 3 - Physiologic Changes of Pregnancy</t>
        </is>
      </c>
    </row>
    <row r="11">
      <c r="A11" s="29" t="inlineStr">
        <is>
          <t>Exam 1</t>
        </is>
      </c>
      <c r="B11" s="29" t="n"/>
      <c r="C11" s="32" t="inlineStr">
        <is>
          <t>Module 3 - Psychological Changes of Pregnancy</t>
        </is>
      </c>
      <c r="D11" s="32" t="inlineStr">
        <is>
          <t>Exam prep (LSC)</t>
        </is>
      </c>
      <c r="E11" s="32" t="n"/>
      <c r="F11" s="73">
        <f>HYPERLINK("https://drive.google.com/file/d/15AJVaRpwi7uCi97zYj2Cd01PrGjJ5xTs/view","▶  Watch")</f>
        <v/>
      </c>
      <c r="G11" s="32" t="inlineStr">
        <is>
          <t>Topic: Module 3 - Psychological Changes of Pregnancy</t>
        </is>
      </c>
    </row>
    <row r="12">
      <c r="A12" s="43" t="inlineStr">
        <is>
          <t>Exam 1</t>
        </is>
      </c>
      <c r="B12" s="43" t="n"/>
      <c r="C12" s="44" t="inlineStr">
        <is>
          <t>Module 4 - Assessment of a Pregnant Family</t>
        </is>
      </c>
      <c r="D12" s="44" t="inlineStr">
        <is>
          <t>Exam prep (LSC)</t>
        </is>
      </c>
      <c r="E12" s="44" t="n"/>
      <c r="F12" s="72">
        <f>HYPERLINK("https://drive.google.com/file/d/1IQCgJ3dr5ipTv2VGO7t_8Vd16_cwFRKK/view","▶  Watch")</f>
        <v/>
      </c>
      <c r="G12" s="44" t="inlineStr">
        <is>
          <t>Topic: Module 4 - Assessment of a Pregnant Family</t>
        </is>
      </c>
    </row>
    <row r="13">
      <c r="A13" s="43" t="inlineStr">
        <is>
          <t>Exam 2</t>
        </is>
      </c>
      <c r="B13" s="43" t="n"/>
      <c r="C13" s="44" t="inlineStr">
        <is>
          <t>Module 5 - Prenatal</t>
        </is>
      </c>
      <c r="D13" s="44" t="inlineStr">
        <is>
          <t>Exam prep (LSC)</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Exam prep (LSC)</t>
        </is>
      </c>
      <c r="E14" s="44" t="n"/>
      <c r="F14" s="72">
        <f>HYPERLINK("https://drive.google.com/file/d/1LCdbszibb4W0yRbF9nLhKKKFeIHTmtug/view","▶  Watch")</f>
        <v/>
      </c>
      <c r="G14" s="44" t="inlineStr">
        <is>
          <t>NUR234_Fall2026_LSC_Wk05_DayNA_Promoting Maternal Health.mp4</t>
        </is>
      </c>
    </row>
    <row r="15" s="114">
      <c r="A15" s="43" t="inlineStr">
        <is>
          <t>Exam 2</t>
        </is>
      </c>
      <c r="B15" s="43" t="n"/>
      <c r="C15" s="44" t="inlineStr">
        <is>
          <t>Module 5 - Promoting Fetal Health</t>
        </is>
      </c>
      <c r="D15" s="44" t="inlineStr">
        <is>
          <t>Exam prep (LSC)</t>
        </is>
      </c>
      <c r="E15" s="44" t="n"/>
      <c r="F15" s="72">
        <f>HYPERLINK("https://drive.google.com/file/d/1ZizDdJyPX2SIYbCaVpnN9ncjhNtft7ii/view","▶  Watch")</f>
        <v/>
      </c>
      <c r="G15" s="44" t="inlineStr">
        <is>
          <t>NUR234_Fall2026_LSC_Wk05_DayNA_Promoting Fetal Health.mp4</t>
        </is>
      </c>
    </row>
    <row r="16" s="114">
      <c r="A16" s="43" t="inlineStr">
        <is>
          <t>Exam 2</t>
        </is>
      </c>
      <c r="B16" s="43" t="inlineStr">
        <is>
          <t>Fall 2026</t>
        </is>
      </c>
      <c r="C16" s="44" t="inlineStr">
        <is>
          <t>Module 6 - Care of a Family During Labor and Birth</t>
        </is>
      </c>
      <c r="D16" s="44" t="inlineStr">
        <is>
          <t>Exam prep (LSC)</t>
        </is>
      </c>
      <c r="E16" s="44" t="n"/>
      <c r="F16" s="121">
        <f>HYPERLINK("https://drive.google.com/file/d/1upYrXBwo5fWpYW8jlqTg8mS_DqrR1RrN/view","▶  Watch")</f>
        <v/>
      </c>
      <c r="G16" s="44" t="inlineStr">
        <is>
          <t>LSC exam prep, 76:16 on Canvas. Your phone capture of 5 Oct 11:01 PM (545 MB). NUR234_Fall2026_LSC_Wk06_DayNA_Module 6 - Care of a Family During Labor and Birth (exam prep, phone capture 5 Oct).mp4</t>
        </is>
      </c>
    </row>
    <row r="17" s="114">
      <c r="A17" s="43" t="inlineStr">
        <is>
          <t>Exam 2</t>
        </is>
      </c>
      <c r="B17" s="43" t="inlineStr">
        <is>
          <t>Fall 2026</t>
        </is>
      </c>
      <c r="C17" s="44" t="inlineStr">
        <is>
          <t>My materials - Tue 6 Oct 2:40 PM labor and birth (PC screen recording, 2.3 GB)</t>
        </is>
      </c>
      <c r="D17" s="44" t="inlineStr">
        <is>
          <t>Not named</t>
        </is>
      </c>
      <c r="E17" s="44" t="n"/>
      <c r="F17" s="121">
        <f>HYPERLINK("https://drive.google.com/file/d/15lwQeA3CG1kxZ3EC8HVENaR9QRodgD4Y/view","▶  Watch")</f>
        <v/>
      </c>
      <c r="G17" s="44" t="inlineStr">
        <is>
          <t>Topic from the speech index (labor, contractions, cervix, oxytocin, decelerations, newborn). Could be a second capture of the Module 6 exam prep or a class lecture - open it and tell me.</t>
        </is>
      </c>
    </row>
    <row r="18">
      <c r="A18" s="29" t="inlineStr">
        <is>
          <t>Exam 3</t>
        </is>
      </c>
      <c r="B18" s="29" t="n"/>
      <c r="C18" s="32" t="n"/>
      <c r="D18" s="32" t="n"/>
      <c r="E18" s="32" t="n"/>
      <c r="F18" s="28" t="n"/>
      <c r="G18" s="32" t="n"/>
    </row>
    <row r="19">
      <c r="A19" s="29" t="inlineStr">
        <is>
          <t>Exam 3</t>
        </is>
      </c>
      <c r="B19" s="29" t="n"/>
      <c r="C19" s="32" t="n"/>
      <c r="D19" s="32" t="n"/>
      <c r="E19" s="32" t="n"/>
      <c r="F19" s="28" t="n"/>
      <c r="G19" s="32" t="n"/>
    </row>
    <row r="20" ht="15.75" customHeight="1" s="114">
      <c r="A20" s="43" t="inlineStr">
        <is>
          <t>FINAL</t>
        </is>
      </c>
      <c r="B20" s="43" t="n"/>
      <c r="C20" s="44" t="n"/>
      <c r="D20" s="44" t="n"/>
      <c r="E20" s="44" t="n"/>
      <c r="F20" s="35" t="n"/>
      <c r="G20" s="44" t="n"/>
    </row>
    <row r="21" ht="15.75" customHeight="1" s="114">
      <c r="A21" s="29" t="inlineStr">
        <is>
          <t>FINAL</t>
        </is>
      </c>
      <c r="B21" s="29" t="n"/>
      <c r="C21" s="32" t="n"/>
      <c r="D21" s="32" t="n"/>
      <c r="E21" s="32" t="n"/>
      <c r="F21" s="28" t="n"/>
      <c r="G21" s="32" t="n"/>
    </row>
    <row r="22" ht="15.75" customHeight="1" s="114">
      <c r="A22" s="43" t="inlineStr">
        <is>
          <t>FINAL</t>
        </is>
      </c>
      <c r="B22" s="43" t="n"/>
      <c r="C22" s="44" t="n"/>
      <c r="D22" s="44" t="inlineStr">
        <is>
          <t>Kaiser</t>
        </is>
      </c>
      <c r="E22" s="44" t="inlineStr">
        <is>
          <t>Video</t>
        </is>
      </c>
      <c r="F22" s="33">
        <f>HYPERLINK("https://drive.google.com/file/d/1osViOBDNkX1DvBYY87Q6e9YPmC2yXvWZ/view","▶  Watch")</f>
        <v/>
      </c>
      <c r="G22" s="44" t="inlineStr">
        <is>
          <t>Kaiser final review.mp4</t>
        </is>
      </c>
    </row>
    <row r="23" ht="15.75" customHeight="1" s="114">
      <c r="A23" s="29" t="inlineStr">
        <is>
          <t>FINAL</t>
        </is>
      </c>
      <c r="B23" s="29" t="n"/>
      <c r="C23" s="32" t="n"/>
      <c r="D23" s="32" t="inlineStr">
        <is>
          <t>Kaiser</t>
        </is>
      </c>
      <c r="E23" s="32" t="inlineStr">
        <is>
          <t>Video</t>
        </is>
      </c>
      <c r="F23" s="37">
        <f>HYPERLINK("https://drive.google.com/file/d/1o5rlqxPFoHyGm38nNnVlNWZFdmCAcwJg/view","▶  Watch")</f>
        <v/>
      </c>
      <c r="G23" s="32" t="inlineStr">
        <is>
          <t>Kaiser final review 2.mp4</t>
        </is>
      </c>
    </row>
    <row r="24" ht="15.75" customHeight="1" s="114">
      <c r="A24" s="43" t="inlineStr">
        <is>
          <t>FINAL</t>
        </is>
      </c>
      <c r="B24" s="44" t="inlineStr">
        <is>
          <t>Summer 2026</t>
        </is>
      </c>
      <c r="C24" s="44" t="inlineStr">
        <is>
          <t>Final exam review - fetal heart rate monitoring and decelerations (6 Aug)</t>
        </is>
      </c>
      <c r="D24" s="44" t="inlineStr">
        <is>
          <t>Kaiser</t>
        </is>
      </c>
      <c r="E24" s="44" t="inlineStr">
        <is>
          <t>Video</t>
        </is>
      </c>
      <c r="F24" s="33">
        <f>HYPERLINK("https://drive.google.com/file/d/1AF4APNVK1nUVKVsDeOE_Mepqj-en-ldM/view","▶  Watch")</f>
        <v/>
      </c>
      <c r="G24" s="44" t="inlineStr">
        <is>
          <t>190 MB. The duplicate copy this row linked before was trashed on 6 Oct.</t>
        </is>
      </c>
    </row>
    <row r="25" ht="15.75" customHeight="1" s="114">
      <c r="A25" s="29" t="inlineStr">
        <is>
          <t>FINAL</t>
        </is>
      </c>
      <c r="B25" s="32" t="inlineStr">
        <is>
          <t>Summer 2026</t>
        </is>
      </c>
      <c r="C25" s="32" t="inlineStr">
        <is>
          <t>Final exam review day 2 - obstetric concepts and exam logistics (7 Aug)</t>
        </is>
      </c>
      <c r="D25" s="32" t="inlineStr">
        <is>
          <t>Kaiser</t>
        </is>
      </c>
      <c r="E25" s="32" t="inlineStr">
        <is>
          <t>Video</t>
        </is>
      </c>
      <c r="F25" s="37">
        <f>HYPERLINK("https://drive.google.com/file/d/10tLIx65hCfOM86q3mZgMt6S33lH0fiIs/view","▶  Watch")</f>
        <v/>
      </c>
      <c r="G25" s="32" t="inlineStr">
        <is>
          <t>237 MB. The duplicate copy this row linked before was trashed on 6 Oct.</t>
        </is>
      </c>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1" t="n"/>
      <c r="B30" s="61" t="n"/>
      <c r="C30" s="61" t="n"/>
      <c r="D30" s="61" t="n"/>
      <c r="E30" s="61" t="n"/>
      <c r="F30" s="75" t="n"/>
      <c r="G30" s="61" t="n"/>
    </row>
    <row r="31" ht="15.75" customHeight="1" s="114">
      <c r="A31" s="61" t="n"/>
      <c r="B31" s="61" t="n"/>
      <c r="C31" s="61" t="n"/>
      <c r="D31" s="61" t="n"/>
      <c r="E31" s="61" t="n"/>
      <c r="F31" s="75" t="n"/>
      <c r="G31" s="61"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76" t="n"/>
      <c r="G60" s="6" t="n"/>
    </row>
    <row r="61" ht="15.75" customHeight="1" s="114">
      <c r="A61" s="6" t="n"/>
      <c r="B61" s="6" t="n"/>
      <c r="C61" s="6" t="n"/>
      <c r="D61" s="6" t="n"/>
      <c r="E61" s="6" t="n"/>
      <c r="F61" s="76"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81" t="n"/>
      <c r="G224" s="6" t="n"/>
    </row>
    <row r="225" ht="15.75" customHeight="1" s="114">
      <c r="A225" s="6" t="n"/>
      <c r="B225" s="6" t="n"/>
      <c r="C225" s="6" t="n"/>
      <c r="D225" s="6" t="n"/>
      <c r="E225" s="6" t="n"/>
      <c r="F225" s="81"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Exam Reviews</t>
        </is>
      </c>
      <c r="D3" s="15" t="n"/>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4"/>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Exam Reviews</t>
        </is>
      </c>
      <c r="D3" s="15" t="n"/>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s="114">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s="114">
      <c r="A7" s="78" t="inlineStr">
        <is>
          <t>Module 1</t>
        </is>
      </c>
      <c r="B7" s="78" t="inlineStr">
        <is>
          <t>Module recording</t>
        </is>
      </c>
      <c r="C7" s="79" t="inlineStr">
        <is>
          <t>Fall 2026</t>
        </is>
      </c>
      <c r="D7" s="79" t="inlineStr">
        <is>
          <t>Fuller</t>
        </is>
      </c>
      <c r="E7" s="122">
        <f>HYPERLINK("https://drive.google.com/file/d/15dl0VLLa6YnG3voHKOp-LPls4SIQHGSw/view","▶  Watch")</f>
        <v/>
      </c>
      <c r="F7" s="79" t="inlineStr">
        <is>
          <t>NUR235_Fall2026_Async_Wk01_DayNA_Welcome to Pediatrics - asynchronous intro.mp4</t>
        </is>
      </c>
      <c r="G7" s="79" t="inlineStr">
        <is>
          <t>Welcome to Pediatrics - asynchronous intro (17 MB). Asynchronous module recording from Canvas (the file does not name the speaker; filed on the Fuller tab as the Fall 2026 weekly module lecture). Drive name: NUR235_Fall2026_Async_Wk01_DayNA_Welcome to Pediatrics - asynchronous intro.mp4</t>
        </is>
      </c>
    </row>
    <row r="8" s="114">
      <c r="A8" s="78" t="inlineStr">
        <is>
          <t>Module 1</t>
        </is>
      </c>
      <c r="B8" s="78" t="inlineStr">
        <is>
          <t>Module recording</t>
        </is>
      </c>
      <c r="C8" s="79" t="inlineStr">
        <is>
          <t>Fall 2026</t>
        </is>
      </c>
      <c r="D8" s="79" t="inlineStr">
        <is>
          <t>Fuller</t>
        </is>
      </c>
      <c r="E8" s="122">
        <f>HYPERLINK("https://drive.google.com/file/d/1fJLn19IQy4UrXQyJPa1NC6NoDHvC73Ja/view","▶  Watch")</f>
        <v/>
      </c>
      <c r="F8" s="79" t="inlineStr">
        <is>
          <t>NUR235_Fall2026_Async_Wk01_DayNA_Hospitalization of the child.mp4</t>
        </is>
      </c>
      <c r="G8" s="79" t="inlineStr">
        <is>
          <t>Hospitalization of the child. Asynchronous module recording from Canvas (the file does not name the speaker; filed on the Fuller tab as the Fall 2026 weekly module lecture). Drive name: NUR235_Fall2026_Async_Wk01_DayNA_Hospitalization of the child.mp4</t>
        </is>
      </c>
    </row>
    <row r="9" s="114">
      <c r="A9" s="82" t="inlineStr">
        <is>
          <t>Module 2</t>
        </is>
      </c>
      <c r="B9" s="82" t="inlineStr">
        <is>
          <t>Weekly lecture</t>
        </is>
      </c>
      <c r="C9" s="79" t="inlineStr">
        <is>
          <t>Fall 2026</t>
        </is>
      </c>
      <c r="D9" s="83" t="inlineStr">
        <is>
          <t>Fuller</t>
        </is>
      </c>
      <c r="E9" s="84">
        <f>HYPERLINK("https://drive.google.com/file/d/1LlXr19xnRaDRvh2CaY0NTa5m33OeLVNw/view","▶  Watch")</f>
        <v/>
      </c>
      <c r="F9" s="83" t="inlineStr">
        <is>
          <t>NUR235_Fall2026_Fuller_Wk02_DayNA_Week 2 Check-In.mp4</t>
        </is>
      </c>
      <c r="G9" s="83" t="inlineStr">
        <is>
          <t>Week 2 check-in. Replaces NUR235_Fall2026_Fuller_Wk02_DayNA_Week 2 Check-In.mp4, which was one of two Week 2 recordings swapped out. The Module 2 async recording "Nursing care of the infant" is on the Lectures page of the study hub.</t>
        </is>
      </c>
    </row>
    <row r="10">
      <c r="A10" s="82" t="inlineStr">
        <is>
          <t>Module 2</t>
        </is>
      </c>
      <c r="B10" s="82" t="inlineStr">
        <is>
          <t>Module recording</t>
        </is>
      </c>
      <c r="C10" s="79" t="inlineStr">
        <is>
          <t>Fall 2026</t>
        </is>
      </c>
      <c r="D10" s="83" t="inlineStr">
        <is>
          <t>Fuller</t>
        </is>
      </c>
      <c r="E10" s="118">
        <f>HYPERLINK("https://drive.google.com/file/d/1TSnKc08spggBEKh7_RN-rLtAM4sXgiUa/view","▶  Watch")</f>
        <v/>
      </c>
      <c r="F10" s="83" t="inlineStr">
        <is>
          <t>NUR235_Fall2026_Fuller_Wk02_DayNA_Nursing care of the infant.mp4</t>
        </is>
      </c>
      <c r="G10" s="83" t="inlineStr">
        <is>
          <t>Nursing care of the infant. Asynchronous module recording from Canvas (the file does not name the speaker; filed on the Fuller tab as the Fall 2026 weekly module lecture). Drive name: NUR235_Fall2026_Fuller_Wk02_DayNA_Nursing care of the infant.mp4</t>
        </is>
      </c>
    </row>
    <row r="11" ht="15.75" customHeight="1" s="114">
      <c r="A11" s="78" t="inlineStr">
        <is>
          <t>Module 3</t>
        </is>
      </c>
      <c r="B11" s="82" t="inlineStr">
        <is>
          <t>Day 2</t>
        </is>
      </c>
      <c r="C11" s="79" t="inlineStr">
        <is>
          <t>Fall 2026</t>
        </is>
      </c>
      <c r="D11" s="79" t="inlineStr">
        <is>
          <t>Fuller</t>
        </is>
      </c>
      <c r="E11" s="84">
        <f>HYPERLINK("https://drive.google.com/file/d/1RjXD0xUWwGcmDpw7ZUi0zt7dieR3uJpd/view","▶  Watch")</f>
        <v/>
      </c>
      <c r="F11" s="83" t="inlineStr">
        <is>
          <t>NUR235_Fall2026_Fuller_Wk03_Day2_Nursing care of the toddler and preschooler.mp4</t>
        </is>
      </c>
      <c r="G11"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4">
      <c r="A12" s="78" t="inlineStr">
        <is>
          <t>Module 3</t>
        </is>
      </c>
      <c r="B12" s="82" t="inlineStr">
        <is>
          <t>Module recording</t>
        </is>
      </c>
      <c r="C12" s="79" t="inlineStr">
        <is>
          <t>Fall 2026</t>
        </is>
      </c>
      <c r="D12" s="79" t="inlineStr">
        <is>
          <t>Fuller</t>
        </is>
      </c>
      <c r="E12" s="118">
        <f>HYPERLINK("https://drive.google.com/file/d/1tOcKhZCsw3oc69Qp6xf5DqfMuYK58FyP/view","▶  Watch")</f>
        <v/>
      </c>
      <c r="F12" s="83" t="inlineStr">
        <is>
          <t>NUR235_Fall2026_Async_Wk03_DayNA_Nursing care of the toddler and preschooler.mp4</t>
        </is>
      </c>
      <c r="G12" s="83" t="inlineStr">
        <is>
          <t>Nursing care of the toddler and preschooler. Asynchronous module recording from Canvas (the file does not name the speaker; filed on the Fuller tab as the Fall 2026 weekly module lecture). Drive name: NUR235_Fall2026_Async_Wk03_DayNA_Nursing care of the toddler and preschooler.mp4</t>
        </is>
      </c>
    </row>
    <row r="13" ht="15.75" customHeight="1" s="114">
      <c r="A13" s="78" t="inlineStr">
        <is>
          <t>Module 4</t>
        </is>
      </c>
      <c r="B13" s="78" t="inlineStr">
        <is>
          <t>Module recording</t>
        </is>
      </c>
      <c r="C13" s="79" t="inlineStr">
        <is>
          <t>Fall 2026</t>
        </is>
      </c>
      <c r="D13" s="79" t="inlineStr">
        <is>
          <t>Fuller</t>
        </is>
      </c>
      <c r="E13" s="80">
        <f>HYPERLINK("https://drive.google.com/file/d/1yKIp1Ax7rc6hq5SdtPg0eF5OQfgt65jS/view","▶  Watch")</f>
        <v/>
      </c>
      <c r="F13" s="79" t="inlineStr">
        <is>
          <t>NUR235_Fall2026_Async_Wk04_DayNA_School-age and adolescent.mp4</t>
        </is>
      </c>
      <c r="G13" s="85" t="inlineStr">
        <is>
          <t>School-age and adolescent. Asynchronous module recording from Canvas (the file does not name the speaker; filed on the Fuller tab as the Fall 2026 weekly module lecture). Drive name: NUR235_Fall2026_Async_Wk04_DayNA_School-age and adolescent.mp4</t>
        </is>
      </c>
    </row>
    <row r="14" ht="15.75" customHeight="1" s="114">
      <c r="A14" s="82" t="inlineStr">
        <is>
          <t>Module 5</t>
        </is>
      </c>
      <c r="B14" s="82" t="inlineStr">
        <is>
          <t>Module recording</t>
        </is>
      </c>
      <c r="C14" s="79" t="inlineStr">
        <is>
          <t>Fall 2026</t>
        </is>
      </c>
      <c r="D14" s="83" t="inlineStr">
        <is>
          <t>Fuller</t>
        </is>
      </c>
      <c r="E14" s="84">
        <f>HYPERLINK("https://drive.google.com/file/d/1s2XIaXweDh5t0QGPkm-FArc_8CH0iaPK/view","▶  Watch")</f>
        <v/>
      </c>
      <c r="F14" s="83" t="inlineStr">
        <is>
          <t>NUR235_Fall2026_Async_Wk05_DayNA_Hematology and childhood neoplasms.mp4</t>
        </is>
      </c>
      <c r="G14" s="83" t="inlineStr">
        <is>
          <t>Hematology and childhood neoplasms. Asynchronous module recording from Canvas (the file does not name the speaker; filed on the Fuller tab as the Fall 2026 weekly module lecture). Drive name: NUR235_Fall2026_Async_Wk05_DayNA_Hematology and childhood neoplasms.mp4</t>
        </is>
      </c>
    </row>
    <row r="15" ht="15.75" customHeight="1" s="114">
      <c r="A15" s="82" t="inlineStr">
        <is>
          <t>Module 6</t>
        </is>
      </c>
      <c r="B15" s="82" t="inlineStr">
        <is>
          <t>Module recording</t>
        </is>
      </c>
      <c r="C15" s="79" t="inlineStr">
        <is>
          <t>Fall 2026</t>
        </is>
      </c>
      <c r="D15" s="83" t="inlineStr">
        <is>
          <t>Fuller</t>
        </is>
      </c>
      <c r="E15" s="84">
        <f>HYPERLINK("https://drive.google.com/file/d/1D874qmiQiZH5lta1iGvjYgZuw89Ap8Hv/view","▶  Watch")</f>
        <v/>
      </c>
      <c r="F15" s="83" t="inlineStr">
        <is>
          <t>NUR235_Fall2026_Async_Wk06_DayNA_Immune and infectious disorders.mp4</t>
        </is>
      </c>
      <c r="G15" s="83" t="inlineStr">
        <is>
          <t>Immune and infectious disorders. Asynchronous module recording from Canvas (the file does not name the speaker; filed on the Fuller tab as the Fall 2026 weekly module lecture). Drive name: NUR235_Fall2026_Async_Wk06_DayNA_Immune and infectious disorders.mp4</t>
        </is>
      </c>
    </row>
    <row r="16" ht="15.75" customHeight="1" s="114">
      <c r="A16" s="78" t="inlineStr">
        <is>
          <t>Module 7</t>
        </is>
      </c>
      <c r="B16" s="78" t="inlineStr">
        <is>
          <t>Module recording</t>
        </is>
      </c>
      <c r="C16" s="79" t="inlineStr">
        <is>
          <t>Fall 2026</t>
        </is>
      </c>
      <c r="D16" s="79" t="inlineStr">
        <is>
          <t>Fuller</t>
        </is>
      </c>
      <c r="E16" s="80">
        <f>HYPERLINK("https://drive.google.com/file/d/1jR3en5teZqX5G5iW1lLpJjqkuuBU5Go1/view","▶  Watch")</f>
        <v/>
      </c>
      <c r="F16" s="79" t="inlineStr">
        <is>
          <t>NUR235_Fall2026_Async_Wk07_DayNA_Neurologic and neuromuscular.mp4</t>
        </is>
      </c>
      <c r="G16" s="79" t="inlineStr">
        <is>
          <t>Neurologic and neuromuscular. Asynchronous module recording from Canvas (the file does not name the speaker; filed on the Fuller tab as the Fall 2026 weekly module lecture). Drive name: NUR235_Fall2026_Async_Wk07_DayNA_Neurologic and neuromuscular.mp4</t>
        </is>
      </c>
    </row>
    <row r="17" ht="15.75" customHeight="1" s="114">
      <c r="A17" s="82" t="inlineStr">
        <is>
          <t>Module 8</t>
        </is>
      </c>
      <c r="B17" s="82" t="inlineStr">
        <is>
          <t>Module recording</t>
        </is>
      </c>
      <c r="C17" s="79" t="inlineStr">
        <is>
          <t>Fall 2026</t>
        </is>
      </c>
      <c r="D17" s="83" t="inlineStr">
        <is>
          <t>Fuller</t>
        </is>
      </c>
      <c r="E17" s="84">
        <f>HYPERLINK("https://drive.google.com/file/d/1swgiP1NKBL7E7FD08zoBzhX_ZiDsVBam/view","▶  Watch")</f>
        <v/>
      </c>
      <c r="F17" s="83" t="inlineStr">
        <is>
          <t>NUR235_Fall2026_Async_Wk08_DayNA_Respiratory.mp4</t>
        </is>
      </c>
      <c r="G17" s="83" t="inlineStr">
        <is>
          <t>Respiratory. Asynchronous module recording from Canvas (the file does not name the speaker; filed on the Fuller tab as the Fall 2026 weekly module lecture). Drive name: NUR235_Fall2026_Async_Wk08_DayNA_Respiratory.mp4</t>
        </is>
      </c>
    </row>
    <row r="18" ht="15.75" customHeight="1" s="114">
      <c r="A18" s="78" t="inlineStr">
        <is>
          <t>Module 9</t>
        </is>
      </c>
      <c r="B18" s="78" t="inlineStr">
        <is>
          <t>Module recording</t>
        </is>
      </c>
      <c r="C18" s="79" t="inlineStr">
        <is>
          <t>Fall 2026</t>
        </is>
      </c>
      <c r="D18" s="79" t="inlineStr">
        <is>
          <t>Fuller</t>
        </is>
      </c>
      <c r="E18" s="80">
        <f>HYPERLINK("https://drive.google.com/file/d/1AifHN2lCUw2D1ALY7zSTL1e-4SweDFOZ/view","▶  Watch")</f>
        <v/>
      </c>
      <c r="F18" s="79" t="inlineStr">
        <is>
          <t>NUR235_Fall2026_Async_Wk09_DayNA_Cardiac.mp4</t>
        </is>
      </c>
      <c r="G18" s="79" t="inlineStr">
        <is>
          <t>Cardiac. Asynchronous module recording from Canvas (the file does not name the speaker; filed on the Fuller tab as the Fall 2026 weekly module lecture). Drive name: NUR235_Fall2026_Async_Wk09_DayNA_Cardiac.mp4</t>
        </is>
      </c>
    </row>
    <row r="19" ht="15.75" customHeight="1" s="114">
      <c r="A19" s="78" t="inlineStr">
        <is>
          <t>Module 10</t>
        </is>
      </c>
      <c r="B19" s="78" t="inlineStr">
        <is>
          <t>Module recording</t>
        </is>
      </c>
      <c r="C19" s="79" t="inlineStr">
        <is>
          <t>Fall 2026</t>
        </is>
      </c>
      <c r="D19" s="79" t="inlineStr">
        <is>
          <t>Fuller</t>
        </is>
      </c>
      <c r="E19" s="80">
        <f>HYPERLINK("https://drive.google.com/file/d/16EwUYszRhsvigOAsEeVYTPSjMaT_rU-o/view","▶  Watch")</f>
        <v/>
      </c>
      <c r="F19" s="79" t="inlineStr">
        <is>
          <t>NUR235_Fall2026_Async_Wk10_DayNA_Musculoskeletal.mp4</t>
        </is>
      </c>
      <c r="G19" s="79" t="inlineStr">
        <is>
          <t>Musculoskeletal. Asynchronous module recording from Canvas (the file does not name the speaker; filed on the Fuller tab as the Fall 2026 weekly module lecture). Drive name: NUR235_Fall2026_Async_Wk10_DayNA_Musculoskeletal.mp4</t>
        </is>
      </c>
    </row>
    <row r="20">
      <c r="A20" s="82" t="inlineStr">
        <is>
          <t>Module 11</t>
        </is>
      </c>
      <c r="B20" s="82" t="inlineStr">
        <is>
          <t>Module recording</t>
        </is>
      </c>
      <c r="C20" s="79" t="inlineStr">
        <is>
          <t>Fall 2026</t>
        </is>
      </c>
      <c r="D20" s="83" t="inlineStr">
        <is>
          <t>Fuller</t>
        </is>
      </c>
      <c r="E20" s="84">
        <f>HYPERLINK("https://drive.google.com/file/d/133wvGtArpMkxl4khAoNhoauyza9hWRvo/view","▶  Watch")</f>
        <v/>
      </c>
      <c r="F20" s="83" t="inlineStr">
        <is>
          <t>NUR235_Fall2026_Async_Wk11_DayNA_Endocrine and metabolic.mp4</t>
        </is>
      </c>
      <c r="G20" s="83" t="inlineStr">
        <is>
          <t>Endocrine and metabolic. Asynchronous module recording from Canvas (the file does not name the speaker; filed on the Fuller tab as the Fall 2026 weekly module lecture). Drive name: NUR235_Fall2026_Async_Wk11_DayNA_Endocrine and metabolic.mp4</t>
        </is>
      </c>
    </row>
    <row r="21" ht="15.75" customHeight="1" s="114">
      <c r="A21" s="78" t="inlineStr">
        <is>
          <t>Module 12</t>
        </is>
      </c>
      <c r="B21" s="78" t="inlineStr">
        <is>
          <t>Module recording</t>
        </is>
      </c>
      <c r="C21" s="79" t="inlineStr">
        <is>
          <t>Fall 2026</t>
        </is>
      </c>
      <c r="D21" s="79" t="inlineStr">
        <is>
          <t>Fuller</t>
        </is>
      </c>
      <c r="E21" s="80">
        <f>HYPERLINK("https://drive.google.com/file/d/1kqvvmD470PE4FpYVJuWQyjF_jkmS0qIa/view","▶  Watch")</f>
        <v/>
      </c>
      <c r="F21" s="79" t="inlineStr">
        <is>
          <t>NUR235_Fall2026_Async_Wk12_DayNA_Gastrointestinal.mp4</t>
        </is>
      </c>
      <c r="G21" s="85" t="inlineStr">
        <is>
          <t>Gastrointestinal. Asynchronous module recording from Canvas (the file does not name the speaker; filed on the Fuller tab as the Fall 2026 weekly module lecture). Drive name: NUR235_Fall2026_Async_Wk12_DayNA_Gastrointestinal.mp4</t>
        </is>
      </c>
    </row>
    <row r="22" ht="15.75" customHeight="1" s="114">
      <c r="A22" s="78" t="inlineStr">
        <is>
          <t>Module 13</t>
        </is>
      </c>
      <c r="B22" s="78" t="inlineStr">
        <is>
          <t>Module recording</t>
        </is>
      </c>
      <c r="C22" s="79" t="inlineStr">
        <is>
          <t>Fall 2026</t>
        </is>
      </c>
      <c r="D22" s="79" t="inlineStr">
        <is>
          <t>Fuller</t>
        </is>
      </c>
      <c r="E22" s="80">
        <f>HYPERLINK("https://drive.google.com/file/d/1-BkPOxpFIbj2aeyDnLvIS87yyEX4_wsw/view","▶  Watch")</f>
        <v/>
      </c>
      <c r="F22" s="79" t="inlineStr">
        <is>
          <t>NUR235_Fall2026_Async_Wk13_DayNA_Renal and genitourinary.mp4</t>
        </is>
      </c>
      <c r="G22" s="79" t="inlineStr">
        <is>
          <t>Renal and genitourinary. Asynchronous module recording from Canvas (the file does not name the speaker; filed on the Fuller tab as the Fall 2026 weekly module lecture). Drive name: NUR235_Fall2026_Async_Wk13_DayNA_Renal and genitourinary.mp4</t>
        </is>
      </c>
    </row>
    <row r="23" ht="15.75" customHeight="1" s="114">
      <c r="A23" s="82" t="inlineStr">
        <is>
          <t>Module 14</t>
        </is>
      </c>
      <c r="B23" s="82" t="inlineStr">
        <is>
          <t>Module recording</t>
        </is>
      </c>
      <c r="C23" s="79" t="inlineStr">
        <is>
          <t>Fall 2026</t>
        </is>
      </c>
      <c r="D23" s="83" t="inlineStr">
        <is>
          <t>Fuller</t>
        </is>
      </c>
      <c r="E23" s="84">
        <f>HYPERLINK("https://drive.google.com/file/d/1pvRIoJTyknef4TVk57Ajdng5oGCH5EHt/view","▶  Watch")</f>
        <v/>
      </c>
      <c r="F23" s="83" t="inlineStr">
        <is>
          <t>NUR235_Fall2026_Async_Wk14_DayNA_Final exam prep.mp4</t>
        </is>
      </c>
      <c r="G23" s="83" t="inlineStr">
        <is>
          <t>Final exam prep. Asynchronous module recording from Canvas (the file does not name the speaker; filed on the Fuller tab as the Fall 2026 weekly module lecture). Drive name: NUR235_Fall2026_Async_Wk14_DayNA_Final exam prep.mp4</t>
        </is>
      </c>
    </row>
    <row r="24" ht="15.75" customHeight="1" s="114">
      <c r="A24" s="82" t="n"/>
      <c r="B24" s="82" t="n"/>
      <c r="C24" s="79" t="n"/>
      <c r="D24" s="83" t="n"/>
      <c r="E24" s="84" t="n"/>
      <c r="F24" s="83" t="n"/>
      <c r="G24" s="83" t="n"/>
    </row>
    <row r="25" ht="15.75" customHeight="1" s="114">
      <c r="A25" s="78" t="n"/>
      <c r="B25" s="78" t="n"/>
      <c r="C25" s="79" t="n"/>
      <c r="D25" s="79" t="n"/>
      <c r="E25" s="80" t="n"/>
      <c r="F25" s="79" t="n"/>
      <c r="G25" s="79" t="n"/>
    </row>
    <row r="26" ht="15.75" customHeight="1" s="114">
      <c r="A26" s="82" t="n"/>
      <c r="B26" s="82" t="n"/>
      <c r="C26" s="79" t="n"/>
      <c r="D26" s="83" t="n"/>
      <c r="E26" s="84" t="n"/>
      <c r="F26" s="83" t="n"/>
      <c r="G26" s="83" t="n"/>
    </row>
    <row r="27" ht="15.75" customHeight="1" s="114">
      <c r="A27" s="82" t="n"/>
      <c r="B27" s="82" t="n"/>
      <c r="C27" s="79" t="n"/>
      <c r="D27" s="83" t="n"/>
      <c r="E27" s="84" t="n"/>
      <c r="F27" s="83" t="n"/>
      <c r="G27" s="83" t="n"/>
    </row>
    <row r="28" ht="15.75" customHeight="1" s="114">
      <c r="A28" s="78" t="n"/>
      <c r="B28" s="78" t="n"/>
      <c r="C28" s="79" t="n"/>
      <c r="D28" s="79" t="n"/>
      <c r="E28" s="80" t="n"/>
      <c r="F28" s="79" t="n"/>
      <c r="G28" s="79"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78" t="n"/>
      <c r="B31" s="78" t="n"/>
      <c r="C31" s="79" t="n"/>
      <c r="D31" s="79" t="n"/>
      <c r="E31" s="80" t="n"/>
      <c r="F31" s="79" t="n"/>
      <c r="G31" s="79" t="n"/>
    </row>
    <row r="32" ht="15.75" customHeight="1" s="114">
      <c r="A32" s="82" t="n"/>
      <c r="B32" s="82" t="n"/>
      <c r="C32" s="79" t="n"/>
      <c r="D32" s="83" t="n"/>
      <c r="E32" s="84" t="n"/>
      <c r="F32" s="83" t="n"/>
      <c r="G32" s="83" t="n"/>
    </row>
    <row r="33" ht="15.75" customHeight="1" s="114">
      <c r="A33" s="82" t="n"/>
      <c r="B33" s="82" t="n"/>
      <c r="C33" s="79" t="n"/>
      <c r="D33" s="83" t="n"/>
      <c r="E33" s="84" t="n"/>
      <c r="F33" s="83" t="n"/>
      <c r="G33" s="83" t="n"/>
    </row>
    <row r="34" ht="15.75" customHeight="1" s="114">
      <c r="A34" s="78" t="n"/>
      <c r="B34" s="78" t="n"/>
      <c r="C34" s="79" t="n"/>
      <c r="D34" s="79" t="n"/>
      <c r="E34" s="80" t="n"/>
      <c r="F34" s="79" t="n"/>
      <c r="G34" s="79" t="n"/>
    </row>
    <row r="35" ht="15.75" customHeight="1" s="114">
      <c r="A35" s="82" t="n"/>
      <c r="B35" s="82" t="n"/>
      <c r="C35" s="79" t="n"/>
      <c r="D35" s="83" t="n"/>
      <c r="E35" s="84" t="n"/>
      <c r="F35" s="83" t="n"/>
      <c r="G35" s="83" t="n"/>
    </row>
    <row r="36" ht="15.75" customHeight="1" s="114">
      <c r="A36" s="78" t="n"/>
      <c r="B36" s="78" t="n"/>
      <c r="C36" s="79" t="n"/>
      <c r="D36" s="79" t="n"/>
      <c r="E36" s="80" t="n"/>
      <c r="F36" s="79" t="n"/>
      <c r="G36" s="79" t="n"/>
    </row>
    <row r="37" ht="15.75" customHeight="1" s="114">
      <c r="A37" s="78" t="n"/>
      <c r="B37" s="78" t="n"/>
      <c r="C37" s="79" t="n"/>
      <c r="D37" s="79" t="n"/>
      <c r="E37" s="80" t="n"/>
      <c r="F37" s="79" t="n"/>
      <c r="G37" s="79"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78" t="n"/>
      <c r="B40" s="78" t="n"/>
      <c r="C40" s="79" t="n"/>
      <c r="D40" s="79" t="n"/>
      <c r="E40" s="80" t="n"/>
      <c r="F40" s="79" t="n"/>
      <c r="G40" s="79" t="n"/>
    </row>
    <row r="41" ht="15.75" customHeight="1" s="114">
      <c r="A41" s="82" t="n"/>
      <c r="B41" s="82" t="n"/>
      <c r="C41" s="79" t="n"/>
      <c r="D41" s="83" t="n"/>
      <c r="E41" s="84" t="n"/>
      <c r="F41" s="83" t="n"/>
      <c r="G41" s="83" t="n"/>
    </row>
    <row r="42" ht="15.75" customHeight="1" s="114">
      <c r="A42" s="82" t="n"/>
      <c r="B42" s="82" t="n"/>
      <c r="C42" s="79" t="n"/>
      <c r="D42" s="83" t="n"/>
      <c r="E42" s="84" t="n"/>
      <c r="F42" s="83" t="n"/>
      <c r="G42" s="83" t="n"/>
    </row>
    <row r="43" ht="15.75" customHeight="1" s="114">
      <c r="A43" s="78" t="n"/>
      <c r="B43" s="78" t="n"/>
      <c r="C43" s="79" t="n"/>
      <c r="D43" s="79" t="n"/>
      <c r="E43" s="80" t="n"/>
      <c r="F43" s="79" t="n"/>
      <c r="G43" s="79" t="n"/>
    </row>
    <row r="44" ht="15.75" customHeight="1" s="114">
      <c r="A44" s="82" t="n"/>
      <c r="B44" s="82" t="n"/>
      <c r="C44" s="79" t="n"/>
      <c r="D44" s="83" t="n"/>
      <c r="E44" s="84" t="n"/>
      <c r="F44" s="83" t="n"/>
      <c r="G44" s="83" t="n"/>
    </row>
    <row r="45" ht="15.75" customHeight="1" s="114">
      <c r="A45" s="78" t="n"/>
      <c r="B45" s="78" t="n"/>
      <c r="C45" s="79" t="n"/>
      <c r="D45" s="79" t="n"/>
      <c r="E45" s="80" t="n"/>
      <c r="F45" s="79" t="n"/>
      <c r="G45" s="85" t="n"/>
    </row>
    <row r="46" ht="15.75" customHeight="1" s="114">
      <c r="A46" s="78" t="n"/>
      <c r="B46" s="78" t="n"/>
      <c r="C46" s="79" t="n"/>
      <c r="D46" s="79" t="n"/>
      <c r="E46" s="80" t="n"/>
      <c r="F46" s="79" t="n"/>
      <c r="G46" s="79" t="n"/>
    </row>
    <row r="47" ht="15.75" customHeight="1" s="114">
      <c r="A47" s="82" t="n"/>
      <c r="B47" s="82" t="n"/>
      <c r="C47" s="79" t="n"/>
      <c r="D47" s="83" t="n"/>
      <c r="E47" s="84" t="n"/>
      <c r="F47" s="83" t="n"/>
      <c r="G47" s="83" t="n"/>
    </row>
    <row r="48" ht="15.75" customHeight="1" s="114">
      <c r="A48" s="78" t="n"/>
      <c r="B48" s="78" t="n"/>
      <c r="C48" s="79" t="n"/>
      <c r="D48" s="79" t="n"/>
      <c r="E48" s="80" t="n"/>
      <c r="F48" s="79" t="n"/>
      <c r="G48" s="79" t="n"/>
    </row>
    <row r="49" ht="15.75" customHeight="1" s="114">
      <c r="A49" s="82" t="n"/>
      <c r="B49" s="82" t="n"/>
      <c r="C49" s="79" t="n"/>
      <c r="D49" s="83" t="n"/>
      <c r="E49" s="84" t="n"/>
      <c r="F49" s="83" t="n"/>
      <c r="G49" s="83" t="n"/>
    </row>
    <row r="50" ht="15.75" customHeight="1" s="114">
      <c r="A50" s="82" t="n"/>
      <c r="B50" s="82" t="n"/>
      <c r="C50" s="79" t="n"/>
      <c r="D50" s="83" t="n"/>
      <c r="E50" s="83" t="n"/>
      <c r="F50" s="83" t="n"/>
      <c r="G50" s="83" t="n"/>
    </row>
    <row r="51" ht="15.75" customHeight="1" s="114">
      <c r="A51" s="82" t="n"/>
      <c r="B51" s="82" t="n"/>
      <c r="C51" s="79" t="n"/>
      <c r="D51" s="83" t="n"/>
      <c r="E51" s="84" t="n"/>
      <c r="F51" s="83" t="n"/>
      <c r="G51" s="83"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1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Exam Reviews</t>
        </is>
      </c>
      <c r="D3" s="15" t="n"/>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82" t="inlineStr">
        <is>
          <t>Exam 1</t>
        </is>
      </c>
      <c r="B11" s="82" t="inlineStr">
        <is>
          <t>Fall 2026</t>
        </is>
      </c>
      <c r="C11" s="83" t="inlineStr">
        <is>
          <t>Module 1 - Intro to peds, hospitalized child, growth and development, immunizations, practice questions (Sun 7 Sep 7:17 PM)</t>
        </is>
      </c>
      <c r="D11" s="118">
        <f>HYPERLINK("https://drive.google.com/file/d/1vx2gy4TweCACMsjHOHIBJhV7xVMkFfDb/view","▶  Watch")</f>
        <v/>
      </c>
      <c r="E11" s="83" t="inlineStr">
        <is>
          <t>Exam prep session (LSC). Screen recording, Sun 7 Sep 7:17 PM. Google's speech index hears 'LSC exam prep' in this one, so the lecturer is confirmed as far as the index can tell</t>
        </is>
      </c>
      <c r="F11" s="6" t="n"/>
      <c r="G11" s="6" t="n"/>
    </row>
    <row r="12">
      <c r="A12" s="82" t="inlineStr">
        <is>
          <t>Exam 1</t>
        </is>
      </c>
      <c r="B12" s="82" t="inlineStr">
        <is>
          <t>Fall 2026</t>
        </is>
      </c>
      <c r="C12" s="83" t="inlineStr">
        <is>
          <t>Module 2 - Infant and toddler growth and development, immunizations, fever (Mon 8 Sep 2:08 AM)</t>
        </is>
      </c>
      <c r="D12" s="118">
        <f>HYPERLINK("https://drive.google.com/file/d/1xlH3LNS4jnxUKkNFj0rgTvrMmIFk6tG1/view","▶  Watch")</f>
        <v/>
      </c>
      <c r="E12" s="83" t="inlineStr">
        <is>
          <t>Exam prep session (LSC). Screen recording, Mon 8 Sep 2:08 AM. Google's speech index hears 'LSC exam prep' in this one too</t>
        </is>
      </c>
      <c r="F12" s="6" t="n"/>
      <c r="G12" s="6" t="n"/>
    </row>
    <row r="13">
      <c r="A13" s="82" t="inlineStr">
        <is>
          <t>Exam 1</t>
        </is>
      </c>
      <c r="B13" s="82" t="inlineStr">
        <is>
          <t>Fall 2026</t>
        </is>
      </c>
      <c r="C13" s="83" t="inlineStr">
        <is>
          <t>Module 2 - Nursing Care of the Infant</t>
        </is>
      </c>
      <c r="D13" s="118">
        <f>HYPERLINK("https://drive.google.com/file/d/1rnhbgdN-mt_4c7fwFVRgm2TXVjH6JVBY/view","▶  Watch")</f>
        <v/>
      </c>
      <c r="E13" s="83" t="inlineStr">
        <is>
          <t>Exam prep session (LSC). LSC exam prep, 70:38</t>
        </is>
      </c>
      <c r="F13" s="6" t="n"/>
      <c r="G13" s="6" t="n"/>
    </row>
    <row r="14">
      <c r="A14" s="82" t="inlineStr">
        <is>
          <t>Exam 1</t>
        </is>
      </c>
      <c r="B14" s="82" t="inlineStr">
        <is>
          <t>Fall 2026</t>
        </is>
      </c>
      <c r="C14" s="83" t="inlineStr">
        <is>
          <t>Module 3 - Nursing Care of the Toddler</t>
        </is>
      </c>
      <c r="D14" s="118">
        <f>HYPERLINK("https://drive.google.com/file/d/1gor8Pva0hBizoWHTNGP6BUK0gag7HrY2/view","▶  Watch")</f>
        <v/>
      </c>
      <c r="E14" s="83" t="inlineStr">
        <is>
          <t>Exam prep session (LSC). LSC exam prep, 35:02</t>
        </is>
      </c>
      <c r="F14" s="6" t="n"/>
      <c r="G14" s="6" t="n"/>
    </row>
    <row r="15">
      <c r="A15" s="82" t="inlineStr">
        <is>
          <t>Exam 1</t>
        </is>
      </c>
      <c r="B15" s="82" t="inlineStr">
        <is>
          <t>Fall 2026</t>
        </is>
      </c>
      <c r="C15" s="83" t="inlineStr">
        <is>
          <t>Module 3 - Nursing Care of the Preschooler</t>
        </is>
      </c>
      <c r="D15" s="118">
        <f>HYPERLINK("https://drive.google.com/file/d/1rk1Ok5HDNRH6esJ__Z6BV1wZ5MEYUu1f/view","▶  Watch")</f>
        <v/>
      </c>
      <c r="E15" s="83" t="inlineStr">
        <is>
          <t>Exam prep session (LSC). LSC exam prep. A second capture of this one also exists</t>
        </is>
      </c>
      <c r="F15" s="6" t="n"/>
      <c r="G15" s="6" t="n"/>
    </row>
    <row r="16">
      <c r="A16" s="82" t="inlineStr">
        <is>
          <t>Exam 1</t>
        </is>
      </c>
      <c r="B16" s="82" t="inlineStr">
        <is>
          <t>Fall 2026</t>
        </is>
      </c>
      <c r="C16" s="83" t="inlineStr">
        <is>
          <t>Module 4 - Nursing Care of the School-Age Child</t>
        </is>
      </c>
      <c r="D16" s="118">
        <f>HYPERLINK("https://drive.google.com/file/d/1izfDnsJoLDnQhf55vmUe85stCusSDfP-/view","▶  Watch")</f>
        <v/>
      </c>
      <c r="E16" s="83" t="inlineStr">
        <is>
          <t>Exam prep session (LSC). LSC exam prep, 35:04</t>
        </is>
      </c>
      <c r="F16" s="6" t="n"/>
      <c r="G16" s="6" t="n"/>
    </row>
    <row r="17">
      <c r="A17" s="82" t="inlineStr">
        <is>
          <t>Exam 1</t>
        </is>
      </c>
      <c r="B17" s="82" t="inlineStr">
        <is>
          <t>Fall 2026</t>
        </is>
      </c>
      <c r="C17" s="83" t="inlineStr">
        <is>
          <t>Module 4 - Nursing Care of the Adolescent</t>
        </is>
      </c>
      <c r="D17" s="118">
        <f>HYPERLINK("https://drive.google.com/file/d/1EFH6k3BJu1rk1apemXXIl7p8HGaTZgoL/view","▶  Watch")</f>
        <v/>
      </c>
      <c r="E17" s="83" t="inlineStr">
        <is>
          <t>Exam prep session (LSC). LSC exam prep, 27:26</t>
        </is>
      </c>
      <c r="F17" s="6" t="n"/>
      <c r="G17" s="6" t="n"/>
    </row>
    <row r="18">
      <c r="A18" s="78" t="inlineStr">
        <is>
          <t>Exam 2</t>
        </is>
      </c>
      <c r="B18" s="78" t="inlineStr">
        <is>
          <t>Fall 2026</t>
        </is>
      </c>
      <c r="C18" s="79" t="inlineStr">
        <is>
          <t>Module 5 - Hematological Disorders</t>
        </is>
      </c>
      <c r="D18" s="79">
        <f>HYPERLINK("https://drive.google.com/file/d/1TU_OEMhcr4Z9bKg7Zn7S0Y000iNNdGhI/view","▶  Watch")</f>
        <v/>
      </c>
      <c r="E18" s="79" t="inlineStr">
        <is>
          <t>Exam prep session (LSC). LSC exam prep</t>
        </is>
      </c>
      <c r="F18" s="6" t="n"/>
      <c r="G18" s="6" t="n"/>
    </row>
    <row r="19">
      <c r="A19" s="82" t="inlineStr">
        <is>
          <t>Exam 2</t>
        </is>
      </c>
      <c r="B19" s="82" t="inlineStr">
        <is>
          <t>Fall 2026</t>
        </is>
      </c>
      <c r="C19" s="83" t="inlineStr">
        <is>
          <t>Module 5 - Nursing Care of a Child with a Hematological Disorder</t>
        </is>
      </c>
      <c r="D19" s="83">
        <f>HYPERLINK("https://drive.google.com/file/d/1ZutElS6qcr0W4k79wWJln6AETDy1yFC3/view","▶  Watch")</f>
        <v/>
      </c>
      <c r="E19" s="83" t="inlineStr">
        <is>
          <t>Exam prep session (LSC). NUR235_Fall2026_LSC_Wk05_DayNA_Nursing Care of a Child with a Hematological Disorder.mp4</t>
        </is>
      </c>
      <c r="F19" s="6" t="n"/>
      <c r="G19" s="6" t="n"/>
    </row>
    <row r="20" ht="15.75" customHeight="1" s="114">
      <c r="A20" s="82" t="inlineStr">
        <is>
          <t>Exam 2</t>
        </is>
      </c>
      <c r="B20" s="82" t="inlineStr">
        <is>
          <t>Fall 2026</t>
        </is>
      </c>
      <c r="C20" s="83" t="inlineStr">
        <is>
          <t>Module 5 - Hematology and childhood neoplasms (6 Oct capture, 733 MB)</t>
        </is>
      </c>
      <c r="D20" s="83">
        <f>HYPERLINK("https://drive.google.com/file/d/1d_bEQJjCqnsH9mQIEsl6vRIz2Wh5gZAI/view","▶  Watch")</f>
        <v/>
      </c>
      <c r="E20" s="83" t="inlineStr">
        <is>
          <t>Exam prep session (LSC). Topic from the speech index (leukemia, anemia, transfusion, chemotherapy) - it was filed under NUR 258 Module 6 as "Endocrine II, second capture" until 6 Oct. Open it to confirm.</t>
        </is>
      </c>
      <c r="F20" s="6" t="n"/>
      <c r="G20" s="6" t="n"/>
    </row>
    <row r="21" ht="15.75" customHeight="1" s="114">
      <c r="A21" s="82" t="inlineStr">
        <is>
          <t>Exam 2</t>
        </is>
      </c>
      <c r="B21" s="82" t="inlineStr">
        <is>
          <t>Fall 2026</t>
        </is>
      </c>
      <c r="C21" s="83" t="inlineStr">
        <is>
          <t>Module 6 - Nursing Care of the Child with a Skin Disorder</t>
        </is>
      </c>
      <c r="D21" s="83">
        <f>HYPERLINK("https://drive.google.com/file/d/1v23KrzTLAwGtxZn5XUtCnt8sUoEl7dtH/view","▶  Watch")</f>
        <v/>
      </c>
      <c r="E21" s="83" t="inlineStr">
        <is>
          <t>Exam prep session (LSC), 45:15 on Canvas. Phone capture 6 Oct 2:33 PM (628 MB). A second, smaller capture from the Chrome recorder (119 MB) is in Nursing School Videos too - confirm it is the same session.</t>
        </is>
      </c>
      <c r="F21" s="6" t="n"/>
      <c r="G21" s="6" t="n"/>
    </row>
    <row r="22" ht="15.75" customHeight="1" s="114">
      <c r="A22" s="82" t="inlineStr">
        <is>
          <t>Exam 2</t>
        </is>
      </c>
      <c r="B22" s="82" t="inlineStr">
        <is>
          <t>Fall 2026</t>
        </is>
      </c>
      <c r="C22" s="83" t="inlineStr">
        <is>
          <t>Module 6 - Nursing Care of the Child with an Infectious Disease</t>
        </is>
      </c>
      <c r="D22" s="83">
        <f>HYPERLINK("https://drive.google.com/file/d/1hYPinVqhDUC1nPBB_78UnpIsRPrmFLDs/view","▶  Watch")</f>
        <v/>
      </c>
      <c r="E22" s="83" t="inlineStr">
        <is>
          <t>Exam prep session (LSC), 15:57 on Canvas. Phone capture 6 Oct 2:50 PM (288 MB). A second, smaller capture from the Chrome recorder (75 MB) is in Nursing School Videos too - confirm it is the same session.</t>
        </is>
      </c>
    </row>
    <row r="23" ht="15.75" customHeight="1" s="114">
      <c r="A23" s="82" t="inlineStr">
        <is>
          <t>Exam 2</t>
        </is>
      </c>
      <c r="B23" s="82" t="inlineStr">
        <is>
          <t>Fall 2026</t>
        </is>
      </c>
      <c r="C23" s="83" t="inlineStr">
        <is>
          <t>My materials - Mon 5 Oct 9:16 PM child with fever and rash (PC screen recording, 337 MB)</t>
        </is>
      </c>
      <c r="D23" s="83">
        <f>HYPERLINK("https://drive.google.com/file/d/13KdLKVd8dTaWr4GP9DOFYtWoFRQaNyba/view","▶  Watch")</f>
        <v/>
      </c>
      <c r="E23" s="83" t="inlineStr">
        <is>
          <t>Topic from the speech index (child, fever, rash). Probably the Module 6 Immune or Infectious exam prep - open it and tell me.</t>
        </is>
      </c>
    </row>
    <row r="24" ht="15.75" customHeight="1" s="114">
      <c r="A24" s="78" t="inlineStr">
        <is>
          <t>Exam 3</t>
        </is>
      </c>
      <c r="B24" s="78" t="n"/>
      <c r="C24" s="79" t="n"/>
      <c r="D24" s="79" t="n"/>
      <c r="E24" s="79" t="n"/>
      <c r="F24" s="6" t="n"/>
      <c r="G24" s="6" t="n"/>
    </row>
    <row r="25" ht="15.75" customHeight="1" s="114">
      <c r="A25" s="82" t="inlineStr">
        <is>
          <t>Exam 3</t>
        </is>
      </c>
      <c r="B25" s="82" t="n"/>
      <c r="C25" s="83" t="n"/>
      <c r="D25" s="83" t="n"/>
      <c r="E25" s="83" t="n"/>
      <c r="F25" s="6" t="n"/>
      <c r="G25" s="6" t="n"/>
    </row>
    <row r="26" ht="15.75" customHeight="1" s="114">
      <c r="A26" s="78" t="inlineStr">
        <is>
          <t>Exam 3</t>
        </is>
      </c>
      <c r="B26" s="78" t="n"/>
      <c r="C26" s="79" t="n"/>
      <c r="D26" s="79" t="n"/>
      <c r="E26" s="79" t="n"/>
      <c r="F26" s="6" t="n"/>
      <c r="G26" s="6" t="n"/>
    </row>
    <row r="27" ht="15.75" customHeight="1" s="114">
      <c r="A27" s="82" t="inlineStr">
        <is>
          <t>Exam 3</t>
        </is>
      </c>
      <c r="B27" s="82" t="n"/>
      <c r="C27" s="83" t="n"/>
      <c r="D27" s="83" t="n"/>
      <c r="E27" s="83" t="n"/>
      <c r="F27" s="6" t="n"/>
      <c r="G27" s="6" t="n"/>
    </row>
    <row r="28" ht="15.75" customHeight="1" s="114">
      <c r="A28" s="78" t="inlineStr">
        <is>
          <t>FINAL</t>
        </is>
      </c>
      <c r="B28" s="78" t="n"/>
      <c r="C28" s="79" t="n"/>
      <c r="D28" s="79" t="n"/>
      <c r="E28" s="79" t="n"/>
      <c r="F28" s="6" t="n"/>
      <c r="G28" s="6" t="n"/>
    </row>
    <row r="29" ht="15.75" customHeight="1" s="114">
      <c r="A29" s="82" t="inlineStr">
        <is>
          <t>FINAL</t>
        </is>
      </c>
      <c r="B29" s="82" t="n"/>
      <c r="C29" s="83" t="n"/>
      <c r="D29" s="83" t="n"/>
      <c r="E29" s="83" t="n"/>
      <c r="F29" s="6" t="n"/>
      <c r="G29" s="6" t="n"/>
    </row>
    <row r="30" ht="15.75" customHeight="1" s="114">
      <c r="A30" s="78" t="inlineStr">
        <is>
          <t>FINAL</t>
        </is>
      </c>
      <c r="B30" s="78" t="n"/>
      <c r="C30" s="79" t="inlineStr">
        <is>
          <t>Review session recording</t>
        </is>
      </c>
      <c r="D30" s="80">
        <f>HYPERLINK("https://drive.google.com/file/d/1Xd7riWCGJ-FYd7Jt2c7Q50Hz92ww5hpw/view","▶  Watch")</f>
        <v/>
      </c>
      <c r="E30" s="79" t="inlineStr">
        <is>
          <t>NUR235 final review.mp4 - presenter not named in the file</t>
        </is>
      </c>
      <c r="F30" s="6" t="n"/>
      <c r="G30" s="6" t="n"/>
    </row>
    <row r="31" ht="15.75" customHeight="1" s="114">
      <c r="A31" s="82" t="inlineStr">
        <is>
          <t>FINAL</t>
        </is>
      </c>
      <c r="B31" s="82" t="n"/>
      <c r="C31" s="83" t="inlineStr">
        <is>
          <t>Other / my materials</t>
        </is>
      </c>
      <c r="D31" s="83" t="n"/>
      <c r="E31" s="83" t="n"/>
      <c r="F31" s="6" t="n"/>
      <c r="G31" s="6" t="n"/>
    </row>
    <row r="32" ht="15.75" customHeight="1" s="114">
      <c r="A32" s="89" t="n"/>
      <c r="B32" s="89" t="n"/>
      <c r="C32" s="89" t="n"/>
      <c r="D32" s="89" t="n"/>
      <c r="E32" s="89" t="n"/>
      <c r="F32" s="6" t="n"/>
      <c r="G32" s="6" t="n"/>
    </row>
    <row r="33" ht="15.75" customHeight="1" s="114">
      <c r="A33" s="89" t="n"/>
      <c r="B33" s="89" t="n"/>
      <c r="C33" s="89" t="n"/>
      <c r="D33" s="89" t="n"/>
      <c r="E33" s="89" t="n"/>
      <c r="F33" s="6" t="n"/>
      <c r="G33" s="6" t="n"/>
    </row>
    <row r="34" ht="15.75" customHeight="1" s="114">
      <c r="A34" s="89" t="n"/>
      <c r="B34" s="89" t="n"/>
      <c r="C34" s="89" t="n"/>
      <c r="D34" s="89" t="n"/>
      <c r="E34" s="89" t="n"/>
      <c r="F34" s="6" t="n"/>
      <c r="G34" s="6" t="n"/>
    </row>
    <row r="35" ht="15.75" customHeight="1" s="114">
      <c r="A35" s="89" t="n"/>
      <c r="B35" s="89" t="n"/>
      <c r="C35" s="89" t="n"/>
      <c r="D35" s="89" t="n"/>
      <c r="E35" s="89" t="n"/>
      <c r="F35" s="6" t="n"/>
      <c r="G35" s="6" t="n"/>
    </row>
    <row r="36" ht="15.75" customHeight="1" s="114">
      <c r="A36" s="89" t="n"/>
      <c r="B36" s="89" t="n"/>
      <c r="C36" s="89" t="n"/>
      <c r="D36" s="89" t="n"/>
      <c r="E36" s="89" t="n"/>
      <c r="F36" s="6" t="n"/>
      <c r="G36" s="6" t="n"/>
    </row>
    <row r="37" ht="15.75" customHeight="1" s="114">
      <c r="A37" s="89" t="n"/>
      <c r="B37" s="89" t="n"/>
      <c r="C37" s="89" t="n"/>
      <c r="D37" s="89" t="n"/>
      <c r="E37" s="89" t="n"/>
      <c r="F37" s="6" t="n"/>
      <c r="G37" s="6" t="n"/>
    </row>
    <row r="38" ht="15.75" customHeight="1" s="114">
      <c r="A38" s="89" t="n"/>
      <c r="B38" s="89" t="n"/>
      <c r="C38" s="89" t="n"/>
      <c r="D38" s="89" t="n"/>
      <c r="E38" s="89" t="n"/>
      <c r="F38" s="6" t="n"/>
      <c r="G38" s="6" t="n"/>
    </row>
    <row r="39" ht="15.75" customHeight="1" s="114">
      <c r="A39" s="89" t="n"/>
      <c r="B39" s="89" t="n"/>
      <c r="C39" s="89" t="n"/>
      <c r="D39" s="89" t="n"/>
      <c r="E39" s="89"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row r="1002">
      <c r="A1002" s="6" t="n"/>
      <c r="B1002" s="6" t="n"/>
      <c r="C1002" s="6" t="n"/>
      <c r="D1002" s="6" t="n"/>
      <c r="E1002" s="6" t="n"/>
      <c r="F1002" s="6" t="n"/>
    </row>
    <row r="1003">
      <c r="A1003" s="6" t="n"/>
      <c r="B1003" s="6" t="n"/>
      <c r="C1003" s="6" t="n"/>
      <c r="D1003" s="6" t="n"/>
      <c r="E1003" s="6" t="n"/>
      <c r="F1003" s="6" t="n"/>
    </row>
    <row r="1004">
      <c r="A1004" s="6" t="n"/>
      <c r="B1004" s="6" t="n"/>
      <c r="C1004" s="6" t="n"/>
      <c r="D1004" s="6" t="n"/>
      <c r="E1004" s="6" t="n"/>
      <c r="F1004" s="6" t="n"/>
    </row>
    <row r="1005">
      <c r="A1005" s="6" t="n"/>
      <c r="B1005" s="6" t="n"/>
      <c r="C1005" s="6" t="n"/>
      <c r="D1005" s="6" t="n"/>
      <c r="E1005" s="6" t="n"/>
      <c r="F1005" s="6" t="n"/>
    </row>
    <row r="1006">
      <c r="A1006" s="6" t="n"/>
      <c r="B1006" s="6" t="n"/>
      <c r="C1006" s="6" t="n"/>
      <c r="D1006" s="6" t="n"/>
      <c r="E1006" s="6" t="n"/>
      <c r="F1006" s="6" t="n"/>
    </row>
    <row r="1007">
      <c r="A1007" s="6" t="n"/>
      <c r="B1007" s="6" t="n"/>
      <c r="C1007" s="6" t="n"/>
      <c r="D1007" s="6" t="n"/>
      <c r="E1007" s="6" t="n"/>
      <c r="F1007" s="6" t="n"/>
    </row>
    <row r="1008">
      <c r="A1008" s="6" t="n"/>
      <c r="B1008" s="6" t="n"/>
      <c r="C1008" s="6" t="n"/>
      <c r="D1008" s="6" t="n"/>
      <c r="E1008" s="6" t="n"/>
      <c r="F1008" s="6" t="n"/>
    </row>
    <row r="1009">
      <c r="A1009" s="6" t="n"/>
      <c r="B1009" s="6" t="n"/>
      <c r="C1009" s="6" t="n"/>
      <c r="D1009" s="6" t="n"/>
      <c r="E1009" s="6" t="n"/>
      <c r="F1009" s="6" t="n"/>
    </row>
    <row r="1010">
      <c r="A1010" s="6" t="n"/>
      <c r="B1010" s="6" t="n"/>
      <c r="C1010" s="6" t="n"/>
      <c r="D1010" s="6" t="n"/>
      <c r="E1010" s="6" t="n"/>
      <c r="F1010"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inlineStr">
        <is>
          <t>Topic: Sensory Disorders - Eye &amp; Ear</t>
        </is>
      </c>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inlineStr">
        <is>
          <t>Topic: Sensory Disorders - Eye &amp; Ear</t>
        </is>
      </c>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inlineStr">
        <is>
          <t>Topic: Infectious Diseases &amp; HIV</t>
        </is>
      </c>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inlineStr">
        <is>
          <t>Topic: Burns</t>
        </is>
      </c>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inlineStr">
        <is>
          <t>Topic: Endocrine Disorders</t>
        </is>
      </c>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inlineStr">
        <is>
          <t>Topic: Diabetes</t>
        </is>
      </c>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inlineStr">
        <is>
          <t>Topic: Neurologic Dysfunction &amp; Cerebrovascular Disorders</t>
        </is>
      </c>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inlineStr">
        <is>
          <t>Topic: Traumatic, Infectious, Oncologic &amp; Degenerative Neuro</t>
        </is>
      </c>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inlineStr">
        <is>
          <t>Topic: Hematologic Disorders</t>
        </is>
      </c>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inlineStr">
        <is>
          <t>Topic: Oncologic Disorders &amp; End-of-Life Care</t>
        </is>
      </c>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inlineStr">
        <is>
          <t>Topic: Reproductive Disorders</t>
        </is>
      </c>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inlineStr">
        <is>
          <t>Topic: Disaster, Mass Casualty &amp; Emergency Nursing</t>
        </is>
      </c>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inlineStr">
        <is>
          <t>Topic: Shock &amp; MODS</t>
        </is>
      </c>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inlineStr">
        <is>
          <t>Topic: Final Exam Review</t>
        </is>
      </c>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inlineStr">
        <is>
          <t>Topic: Sensory Disorders - Eye &amp; Ear</t>
        </is>
      </c>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inlineStr">
        <is>
          <t>Topic: Infectious Diseases &amp; HIV</t>
        </is>
      </c>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inlineStr">
        <is>
          <t>Topic: Allergic, Inflammatory &amp; Immunologic Disorders</t>
        </is>
      </c>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inlineStr">
        <is>
          <t>Topic: Burns</t>
        </is>
      </c>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inlineStr">
        <is>
          <t>Topic: Endocrine Disorders</t>
        </is>
      </c>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inlineStr">
        <is>
          <t>Topic: Oncologic Disorders &amp; End-of-Life Care</t>
        </is>
      </c>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inlineStr">
        <is>
          <t>Topic: Reproductive Disorders</t>
        </is>
      </c>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inlineStr">
        <is>
          <t>Topic: Disaster, Mass Casualty &amp; Emergency Nursing</t>
        </is>
      </c>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inlineStr">
        <is>
          <t>Topic: Shock &amp; MODS</t>
        </is>
      </c>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inlineStr">
        <is>
          <t>Topic: Final Exam Review</t>
        </is>
      </c>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Exam prep (LSC)</t>
        </is>
      </c>
      <c r="F8" s="95">
        <f>HYPERLINK("https://drive.google.com/file/d/1NIAwYKi0eS0TO-BnVf74OLGxlZGUNfQ1/view","▶  Watch")</f>
        <v/>
      </c>
      <c r="G8" s="94" t="inlineStr">
        <is>
          <t>Topic: Module 1 - Exam Review Session, Sensory Issues</t>
        </is>
      </c>
      <c r="H8" s="104" t="inlineStr">
        <is>
          <t>Exam prep (LSC)</t>
        </is>
      </c>
    </row>
    <row r="9">
      <c r="A9" s="96"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4" t="inlineStr">
        <is>
          <t>LSC exam prep, 59:14</t>
        </is>
      </c>
    </row>
    <row r="10">
      <c r="A10" s="96" t="inlineStr">
        <is>
          <t>Exam 1</t>
        </is>
      </c>
      <c r="B10" s="94" t="inlineStr">
        <is>
          <t>Fall 2026</t>
        </is>
      </c>
      <c r="C10" s="94" t="inlineStr">
        <is>
          <t>Module 3 - Inflammatory Disorders</t>
        </is>
      </c>
      <c r="D10" s="94" t="n"/>
      <c r="E10" s="94" t="inlineStr">
        <is>
          <t>Exam prep (LSC)</t>
        </is>
      </c>
      <c r="F10" s="95">
        <f>HYPERLINK("https://drive.google.com/file/d/18QxQvERtngH_lYv0-BF6NDMYxDj3G_wq/view","▶  Watch")</f>
        <v/>
      </c>
      <c r="G10" s="94" t="inlineStr">
        <is>
          <t>Topic: Module 3 - Inflammatory Disorders</t>
        </is>
      </c>
      <c r="H10" s="104" t="inlineStr">
        <is>
          <t>LSC exam prep, 34:49</t>
        </is>
      </c>
    </row>
    <row r="11">
      <c r="A11" s="96"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Exam prep (LSC)</t>
        </is>
      </c>
      <c r="F12" s="105">
        <f>HYPERLINK("https://drive.google.com/file/d/1WZx7Rxzq6B3C-ZWqFQrx5YWyim_R72Qg/view","▶  Watch")</f>
        <v/>
      </c>
      <c r="G12" s="94" t="inlineStr">
        <is>
          <t>Topic: Module 4 - Burns</t>
        </is>
      </c>
      <c r="H12" s="104" t="inlineStr">
        <is>
          <t>Exam prep (LSC)</t>
        </is>
      </c>
    </row>
    <row r="13">
      <c r="A13" s="93" t="inlineStr">
        <is>
          <t>Exam 2</t>
        </is>
      </c>
      <c r="B13" s="94" t="inlineStr">
        <is>
          <t>Fall 2026</t>
        </is>
      </c>
      <c r="C13" s="94" t="inlineStr">
        <is>
          <t>Module 5 - Endocrine I</t>
        </is>
      </c>
      <c r="D13" s="94" t="n"/>
      <c r="E13" s="94" t="inlineStr">
        <is>
          <t>Exam prep (LSC)</t>
        </is>
      </c>
      <c r="F13" s="105">
        <f>HYPERLINK("https://drive.google.com/file/d/1mjfspWMOiZAzGk5-bumBiaGCLj95N87j/view","▶  Watch")</f>
        <v/>
      </c>
      <c r="G13" s="94" t="inlineStr">
        <is>
          <t>Topic: Module 5 - Endocrine I</t>
        </is>
      </c>
      <c r="H13" s="104" t="inlineStr">
        <is>
          <t>Exam prep (LSC)</t>
        </is>
      </c>
    </row>
    <row r="14">
      <c r="A14" s="93" t="inlineStr">
        <is>
          <t>Exam 2</t>
        </is>
      </c>
      <c r="B14" s="94" t="inlineStr">
        <is>
          <t>Fall 2026</t>
        </is>
      </c>
      <c r="C14" s="94" t="inlineStr">
        <is>
          <t>Module 6 - Endocrine II</t>
        </is>
      </c>
      <c r="D14" s="94" t="n"/>
      <c r="E14" s="94" t="inlineStr">
        <is>
          <t>Exam prep (LSC)</t>
        </is>
      </c>
      <c r="F14" s="105">
        <f>HYPERLINK("https://drive.google.com/file/d/10hWqRgn1ai3FbbYdCkSnrix99pd6LGxY/view","▶  Watch")</f>
        <v/>
      </c>
      <c r="G14" s="94" t="inlineStr">
        <is>
          <t>LSC exam prep, 65:02 (the course lists it under Module 6). Uploaded 6 Oct as "lsc unknown" (660 MB). Presenter: Dr Clancey Sollis (LSC) - your screenshot of the Zoom player shows "NUR258 Endocrine II (DM)", Dr. Clancey Sollis, recorded 18 May 2026.</t>
        </is>
      </c>
      <c r="H14" s="104" t="n"/>
    </row>
    <row r="15">
      <c r="A15" s="93" t="inlineStr">
        <is>
          <t>Exam 2</t>
        </is>
      </c>
      <c r="B15" s="94" t="inlineStr">
        <is>
          <t>Fall 2026</t>
        </is>
      </c>
      <c r="C15" s="94" t="inlineStr">
        <is>
          <t>Module 6 - Endocrine II (earlier capture, 28 Sep)</t>
        </is>
      </c>
      <c r="D15" s="94" t="n"/>
      <c r="E15" s="94" t="inlineStr">
        <is>
          <t>Exam prep (LSC)</t>
        </is>
      </c>
      <c r="F15" s="105">
        <f>HYPERLINK("https://drive.google.com/file/d/1MZ29HI1AnTkPslMyyyfGRPDlzlHHmXZI/view","▶  Watch")</f>
        <v/>
      </c>
      <c r="G15" s="94" t="inlineStr">
        <is>
          <t>Same session, the recovered 28 Sep screen recording (188 MB). Was filed under Module 5 before 6 Oct.</t>
        </is>
      </c>
      <c r="H15" s="104" t="n"/>
    </row>
    <row r="16">
      <c r="A16" s="93" t="n"/>
      <c r="B16" s="94" t="n"/>
      <c r="C16" s="94" t="n"/>
      <c r="D16" s="94" t="n"/>
      <c r="E16" s="94" t="n"/>
      <c r="F16" s="105" t="n"/>
      <c r="G16" s="94" t="n"/>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s="114">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s="114">
      <c r="A18" s="82" t="inlineStr">
        <is>
          <t>NUR 175</t>
        </is>
      </c>
      <c r="B18" s="82" t="inlineStr">
        <is>
          <t>Module 6</t>
        </is>
      </c>
      <c r="C18" s="112" t="inlineStr">
        <is>
          <t>Module 6 - Anger, Hostility, Aggression, Abuse, Violence</t>
        </is>
      </c>
      <c r="D18" s="83" t="inlineStr">
        <is>
          <t>Dr Corey Meyer + Dr Greg</t>
        </is>
      </c>
      <c r="E18" s="82" t="inlineStr">
        <is>
          <t>Video</t>
        </is>
      </c>
      <c r="F18" s="113">
        <f>HYPERLINK("https://drive.google.com/file/d/1s-JFTVHX7JowbxG52oebTWEyFXSAyVap/view","▶  Watch")</f>
        <v/>
      </c>
      <c r="G18" s="112" t="inlineStr">
        <is>
          <t>LSC exam prep, 88:06 on Canvas. Named from the recording's own opening caption. Phone capture 6 Oct 1:29 AM (671 MB), in Nursing School Videos.</t>
        </is>
      </c>
    </row>
    <row r="19">
      <c r="A19" s="78" t="inlineStr">
        <is>
          <t>BIO 290V</t>
        </is>
      </c>
      <c r="B19" s="78" t="inlineStr">
        <is>
          <t>Exam 1</t>
        </is>
      </c>
      <c r="C19" s="110" t="inlineStr">
        <is>
          <t>Exam prep - drugs, receptors, dosing (12 Sep 2025)</t>
        </is>
      </c>
      <c r="D19" s="79" t="inlineStr">
        <is>
          <t>Not named</t>
        </is>
      </c>
      <c r="E19" s="78" t="inlineStr">
        <is>
          <t>Video</t>
        </is>
      </c>
      <c r="F19" s="111">
        <f>HYPERLINK("https://drive.google.com/file/d/1WpniByv8x74YmS6zuxJ1jwAJaPvTTvAA/view","▶  Watch")</f>
        <v/>
      </c>
      <c r="G19" s="110" t="inlineStr">
        <is>
          <t>Week 2 screen recording</t>
        </is>
      </c>
    </row>
    <row r="20">
      <c r="A20" s="82" t="inlineStr">
        <is>
          <t>BIO 290V</t>
        </is>
      </c>
      <c r="B20" s="82" t="inlineStr">
        <is>
          <t>Exam 2</t>
        </is>
      </c>
      <c r="C20" s="112" t="inlineStr">
        <is>
          <t>Exam 2 Review</t>
        </is>
      </c>
      <c r="D20" s="83" t="inlineStr">
        <is>
          <t>King</t>
        </is>
      </c>
      <c r="E20" s="82" t="inlineStr">
        <is>
          <t>Video</t>
        </is>
      </c>
      <c r="F20" s="113">
        <f>HYPERLINK("https://drive.google.com/file/d/1yzddvEmfZY3CNtnQ1RSJo_XHA5G3S3ol/view","▶  Watch")</f>
        <v/>
      </c>
      <c r="G20" s="112" t="n"/>
    </row>
    <row r="21" ht="15.75" customHeight="1" s="114">
      <c r="A21" s="78" t="inlineStr">
        <is>
          <t>BIO 290V</t>
        </is>
      </c>
      <c r="B21" s="78" t="inlineStr">
        <is>
          <t>Exam 3</t>
        </is>
      </c>
      <c r="C21" s="110" t="inlineStr">
        <is>
          <t>Exam 3 Review</t>
        </is>
      </c>
      <c r="D21" s="79" t="inlineStr">
        <is>
          <t>Guerra</t>
        </is>
      </c>
      <c r="E21" s="78" t="inlineStr">
        <is>
          <t>Video</t>
        </is>
      </c>
      <c r="F21" s="111">
        <f>HYPERLINK("https://drive.google.com/file/d/1_wdvObqJojcouuKBZ-1_Xg1LlMcOeiA_/view","▶  Watch")</f>
        <v/>
      </c>
      <c r="G21" s="110" t="n"/>
    </row>
    <row r="22" ht="15.75" customHeight="1" s="114">
      <c r="A22" s="82" t="inlineStr">
        <is>
          <t>BIO 290V</t>
        </is>
      </c>
      <c r="B22" s="82" t="inlineStr">
        <is>
          <t>Exam 4</t>
        </is>
      </c>
      <c r="C22" s="112" t="inlineStr">
        <is>
          <t>Exam 4</t>
        </is>
      </c>
      <c r="D22" s="83" t="inlineStr">
        <is>
          <t>Guerra</t>
        </is>
      </c>
      <c r="E22" s="82" t="inlineStr">
        <is>
          <t>Video</t>
        </is>
      </c>
      <c r="F22" s="113">
        <f>HYPERLINK("https://drive.google.com/file/d/15gDrKfNa9XozHzbvVaTEi55TSh3mFdep/view","▶  Watch")</f>
        <v/>
      </c>
      <c r="G22" s="112" t="n"/>
    </row>
    <row r="23" ht="15.75" customHeight="1" s="114">
      <c r="A23" s="78" t="inlineStr">
        <is>
          <t>BIO 290V</t>
        </is>
      </c>
      <c r="B23" s="78" t="inlineStr">
        <is>
          <t>Exam 4</t>
        </is>
      </c>
      <c r="C23" s="110" t="inlineStr">
        <is>
          <t>Exam 4 Review</t>
        </is>
      </c>
      <c r="D23" s="79" t="inlineStr">
        <is>
          <t>Christensen</t>
        </is>
      </c>
      <c r="E23" s="78" t="inlineStr">
        <is>
          <t>Video</t>
        </is>
      </c>
      <c r="F23" s="111">
        <f>HYPERLINK("https://drive.google.com/file/d/1pFVjLbA4S81AoKMrwkfO_d-oOl3d1AyG/view","▶  Watch")</f>
        <v/>
      </c>
      <c r="G23" s="110" t="n"/>
    </row>
    <row r="24" ht="15.75" customHeight="1" s="114">
      <c r="A24" s="82" t="inlineStr">
        <is>
          <t>BIO 290V</t>
        </is>
      </c>
      <c r="B24" s="82" t="inlineStr">
        <is>
          <t>Exam 5</t>
        </is>
      </c>
      <c r="C24" s="112" t="inlineStr">
        <is>
          <t>Exam 5 Review</t>
        </is>
      </c>
      <c r="D24" s="83" t="inlineStr">
        <is>
          <t>Guerra</t>
        </is>
      </c>
      <c r="E24" s="82" t="inlineStr">
        <is>
          <t>Video</t>
        </is>
      </c>
      <c r="F24" s="113">
        <f>HYPERLINK("https://drive.google.com/file/d/1hm4Y2UGMf5umd8Djxmm9nrVz4uBSMEat/view","▶  Watch")</f>
        <v/>
      </c>
      <c r="G24" s="112" t="n"/>
    </row>
    <row r="25" ht="15.75" customHeight="1" s="114">
      <c r="A25" s="78" t="inlineStr">
        <is>
          <t>BIO 290V</t>
        </is>
      </c>
      <c r="B25" s="78" t="inlineStr">
        <is>
          <t>Exam 5</t>
        </is>
      </c>
      <c r="C25" s="110" t="inlineStr">
        <is>
          <t>Exam 5 Prep - Pharmacology Modules 8 and 9</t>
        </is>
      </c>
      <c r="D25" s="79" t="inlineStr">
        <is>
          <t>Exam prep</t>
        </is>
      </c>
      <c r="E25" s="78" t="inlineStr">
        <is>
          <t>Video</t>
        </is>
      </c>
      <c r="F25" s="111">
        <f>HYPERLINK("https://drive.google.com/file/d/12zEmpmMLDWRxVxvXWIl96bo9Js5pzC_H/view","▶  Watch")</f>
        <v/>
      </c>
      <c r="G25" s="110" t="n"/>
    </row>
    <row r="26" ht="15.75" customHeight="1" s="114">
      <c r="A26" s="82" t="inlineStr">
        <is>
          <t>BIO 290V</t>
        </is>
      </c>
      <c r="B26" s="82" t="inlineStr">
        <is>
          <t>Exam 6</t>
        </is>
      </c>
      <c r="C26" s="112" t="inlineStr">
        <is>
          <t>Exam 6 Lecture</t>
        </is>
      </c>
      <c r="D26" s="83" t="inlineStr">
        <is>
          <t>King</t>
        </is>
      </c>
      <c r="E26" s="82" t="inlineStr">
        <is>
          <t>Video</t>
        </is>
      </c>
      <c r="F26" s="113">
        <f>HYPERLINK("https://drive.google.com/file/d/1dr7UWaG5lynxtHJJbo8jI2aTBxmE37gQ/view","▶  Watch")</f>
        <v/>
      </c>
      <c r="G26" s="112" t="n"/>
    </row>
    <row r="27" ht="15.75" customHeight="1" s="114">
      <c r="A27" s="78" t="inlineStr">
        <is>
          <t>BIO 290V</t>
        </is>
      </c>
      <c r="B27" s="78" t="inlineStr">
        <is>
          <t>Exam 7</t>
        </is>
      </c>
      <c r="C27" s="110" t="inlineStr">
        <is>
          <t>Exam 7 Prep Session</t>
        </is>
      </c>
      <c r="D27" s="79" t="inlineStr">
        <is>
          <t>King</t>
        </is>
      </c>
      <c r="E27" s="78" t="inlineStr">
        <is>
          <t>Video</t>
        </is>
      </c>
      <c r="F27" s="111">
        <f>HYPERLINK("https://drive.google.com/file/d/1om7GpMMAgV490uNZcgPebM6_e3akw_Je/view","▶  Watch")</f>
        <v/>
      </c>
      <c r="G27" s="110" t="n"/>
    </row>
    <row r="28" ht="15.75" customHeight="1" s="114">
      <c r="A28" s="82" t="inlineStr">
        <is>
          <t>BIO 290V</t>
        </is>
      </c>
      <c r="B28" s="82" t="inlineStr">
        <is>
          <t>FINAL</t>
        </is>
      </c>
      <c r="C28" s="112" t="inlineStr">
        <is>
          <t>Final exam review 1</t>
        </is>
      </c>
      <c r="D28" s="83" t="inlineStr">
        <is>
          <t>Guerra</t>
        </is>
      </c>
      <c r="E28" s="82" t="inlineStr">
        <is>
          <t>Video</t>
        </is>
      </c>
      <c r="F28" s="113">
        <f>HYPERLINK("https://drive.google.com/file/d/1acOr-VH5wLsa5nifIVtkUb9T096o8-Ci/view","▶  Watch")</f>
        <v/>
      </c>
      <c r="G28" s="112" t="n"/>
    </row>
    <row r="29" ht="15.75" customHeight="1" s="114">
      <c r="A29" s="78" t="inlineStr">
        <is>
          <t>BIO 290V</t>
        </is>
      </c>
      <c r="B29" s="78" t="inlineStr">
        <is>
          <t>FINAL</t>
        </is>
      </c>
      <c r="C29" s="110" t="inlineStr">
        <is>
          <t>Final exam review 2</t>
        </is>
      </c>
      <c r="D29" s="79" t="inlineStr">
        <is>
          <t>Guerra</t>
        </is>
      </c>
      <c r="E29" s="78" t="inlineStr">
        <is>
          <t>Video</t>
        </is>
      </c>
      <c r="F29" s="111">
        <f>HYPERLINK("https://drive.google.com/file/d/1h4dE5HNtS-D_P5hQHWPpD8_uR0uJx9V4/view","▶  Watch")</f>
        <v/>
      </c>
      <c r="G29" s="110" t="n"/>
    </row>
    <row r="30" ht="15.75" customHeight="1" s="114">
      <c r="A30" s="82" t="inlineStr">
        <is>
          <t>BIO 290V</t>
        </is>
      </c>
      <c r="B30" s="82" t="inlineStr">
        <is>
          <t>FINAL</t>
        </is>
      </c>
      <c r="C30" s="112" t="inlineStr">
        <is>
          <t>Final exam review</t>
        </is>
      </c>
      <c r="D30" s="83" t="inlineStr">
        <is>
          <t>Pohl</t>
        </is>
      </c>
      <c r="E30" s="82" t="inlineStr">
        <is>
          <t>Video</t>
        </is>
      </c>
      <c r="F30" s="113">
        <f>HYPERLINK("https://drive.google.com/file/d/1afY6_3escGKEXej2K9-YaMCWdm0w3uc8/view","▶  Watch")</f>
        <v/>
      </c>
      <c r="G30" s="112" t="n"/>
    </row>
    <row r="31" ht="15.75" customHeight="1" s="114">
      <c r="A31" s="78" t="inlineStr">
        <is>
          <t>BIO 280V</t>
        </is>
      </c>
      <c r="B31" s="78" t="inlineStr">
        <is>
          <t>Exam 1</t>
        </is>
      </c>
      <c r="C31" s="110" t="inlineStr">
        <is>
          <t>Bio 280V Exam 1 Prep</t>
        </is>
      </c>
      <c r="D31" s="79" t="inlineStr">
        <is>
          <t>Exam prep</t>
        </is>
      </c>
      <c r="E31" s="78" t="inlineStr">
        <is>
          <t>Video</t>
        </is>
      </c>
      <c r="F31" s="111">
        <f>HYPERLINK("https://drive.google.com/file/d/1StGpFy32sz13JGfcY_uajmjWhjWW10n8/view","▶  Watch")</f>
        <v/>
      </c>
      <c r="G31" s="110" t="inlineStr">
        <is>
          <t>919 MB</t>
        </is>
      </c>
    </row>
    <row r="32" ht="15.75" customHeight="1" s="114">
      <c r="A32" s="82" t="inlineStr">
        <is>
          <t>BIO 280V</t>
        </is>
      </c>
      <c r="B32" s="82" t="inlineStr">
        <is>
          <t>Exam 1</t>
        </is>
      </c>
      <c r="C32" s="112" t="inlineStr">
        <is>
          <t>Exam 1 Prep Lecture</t>
        </is>
      </c>
      <c r="D32" s="83" t="inlineStr">
        <is>
          <t>Exam prep</t>
        </is>
      </c>
      <c r="E32" s="82" t="inlineStr">
        <is>
          <t>Video</t>
        </is>
      </c>
      <c r="F32" s="113">
        <f>HYPERLINK("https://drive.google.com/file/d/1nm3wWywVomKZ8twD5ZAeY1WCR-NJmbqA/view","▶  Watch")</f>
        <v/>
      </c>
      <c r="G32" s="112" t="n"/>
    </row>
    <row r="33" ht="15.75" customHeight="1" s="114">
      <c r="A33" s="78" t="inlineStr">
        <is>
          <t>BIO 280V</t>
        </is>
      </c>
      <c r="B33" s="78" t="inlineStr">
        <is>
          <t>Exam 1</t>
        </is>
      </c>
      <c r="C33" s="110" t="inlineStr">
        <is>
          <t>Exam 1 prep - screen recording 15 Sep 2025, 20:03</t>
        </is>
      </c>
      <c r="D33" s="79" t="inlineStr">
        <is>
          <t>Not named</t>
        </is>
      </c>
      <c r="E33" s="78" t="inlineStr">
        <is>
          <t>Video</t>
        </is>
      </c>
      <c r="F33" s="111">
        <f>HYPERLINK("https://drive.google.com/file/d/1Ur5_qaXldGBM-oAdDeGh7xCeXyrqtRB3/view","▶  Watch")</f>
        <v/>
      </c>
      <c r="G33" s="110" t="n"/>
    </row>
    <row r="34" ht="15.75" customHeight="1" s="114">
      <c r="A34" s="82" t="inlineStr">
        <is>
          <t>BIO 280V</t>
        </is>
      </c>
      <c r="B34" s="82" t="inlineStr">
        <is>
          <t>Exam 1</t>
        </is>
      </c>
      <c r="C34" s="112" t="inlineStr">
        <is>
          <t>Exam 1 prep - screen recording 15 Sep 2025, 20:36</t>
        </is>
      </c>
      <c r="D34" s="83" t="inlineStr">
        <is>
          <t>Not named</t>
        </is>
      </c>
      <c r="E34" s="82" t="inlineStr">
        <is>
          <t>Video</t>
        </is>
      </c>
      <c r="F34" s="113">
        <f>HYPERLINK("https://drive.google.com/file/d/19I5RittzDcpdFj67UL_zEMY6EDTPfIeS/view","▶  Watch")</f>
        <v/>
      </c>
      <c r="G34" s="112" t="n"/>
    </row>
    <row r="35" ht="15.75" customHeight="1" s="114">
      <c r="A35" s="78" t="inlineStr">
        <is>
          <t>BIO 280V</t>
        </is>
      </c>
      <c r="B35" s="78" t="inlineStr">
        <is>
          <t>Exam 2</t>
        </is>
      </c>
      <c r="C35" s="110" t="inlineStr">
        <is>
          <t>Exam 2 Lecture</t>
        </is>
      </c>
      <c r="D35" s="79" t="inlineStr">
        <is>
          <t>Exam prep</t>
        </is>
      </c>
      <c r="E35" s="78" t="inlineStr">
        <is>
          <t>Video</t>
        </is>
      </c>
      <c r="F35" s="111">
        <f>HYPERLINK("https://drive.google.com/file/d/1xEezQMx-KNmoVyLCeGcrvHeDz9ZZ9kDZ/view","▶  Watch")</f>
        <v/>
      </c>
      <c r="G35" s="110" t="inlineStr">
        <is>
          <t>2.9 GB</t>
        </is>
      </c>
    </row>
    <row r="36" ht="15.75" customHeight="1" s="114">
      <c r="A36" s="82" t="inlineStr">
        <is>
          <t>BIO 280V</t>
        </is>
      </c>
      <c r="B36" s="82" t="inlineStr">
        <is>
          <t>Exam 2</t>
        </is>
      </c>
      <c r="C36" s="112" t="inlineStr">
        <is>
          <t>Exam prep - cell injury, hypoxia, drugs (22 Sep 2025)</t>
        </is>
      </c>
      <c r="D36" s="83" t="inlineStr">
        <is>
          <t>Not named</t>
        </is>
      </c>
      <c r="E36" s="82" t="inlineStr">
        <is>
          <t>Video</t>
        </is>
      </c>
      <c r="F36" s="113">
        <f>HYPERLINK("https://drive.google.com/file/d/1nhLqtOdgUOHjQXABDMu1dQtwDse-tN0S/view","▶  Watch")</f>
        <v/>
      </c>
      <c r="G36" s="112" t="inlineStr">
        <is>
          <t>Week 4 screen recording</t>
        </is>
      </c>
    </row>
    <row r="37" ht="15.75" customHeight="1" s="114">
      <c r="A37" s="78" t="inlineStr">
        <is>
          <t>BIO 280V</t>
        </is>
      </c>
      <c r="B37" s="78" t="inlineStr">
        <is>
          <t>Exam 3</t>
        </is>
      </c>
      <c r="C37" s="110" t="inlineStr">
        <is>
          <t>Exam 3 Zoom</t>
        </is>
      </c>
      <c r="D37" s="79" t="inlineStr">
        <is>
          <t>Exam prep</t>
        </is>
      </c>
      <c r="E37" s="78" t="inlineStr">
        <is>
          <t>Video</t>
        </is>
      </c>
      <c r="F37" s="111">
        <f>HYPERLINK("https://drive.google.com/file/d/1bzs2XBpKhnDs9mkpzXQyUIqcva8Vca_9/view","▶  Watch")</f>
        <v/>
      </c>
      <c r="G37" s="110" t="n"/>
    </row>
    <row r="38" ht="15.75" customHeight="1" s="114">
      <c r="A38" s="82" t="inlineStr">
        <is>
          <t>BIO 280V</t>
        </is>
      </c>
      <c r="B38" s="82" t="inlineStr">
        <is>
          <t>Exam 3</t>
        </is>
      </c>
      <c r="C38" s="112" t="inlineStr">
        <is>
          <t>Bio280 Exam 3 Prep</t>
        </is>
      </c>
      <c r="D38" s="83" t="inlineStr">
        <is>
          <t>Exam prep</t>
        </is>
      </c>
      <c r="E38" s="82" t="inlineStr">
        <is>
          <t>Video</t>
        </is>
      </c>
      <c r="F38" s="113">
        <f>HYPERLINK("https://drive.google.com/file/d/1f6MwoICNucUfOOv7mB_X0rfGdlX0gJiU/view","▶  Watch")</f>
        <v/>
      </c>
      <c r="G38" s="112" t="inlineStr">
        <is>
          <t>1 GB</t>
        </is>
      </c>
    </row>
    <row r="39" ht="15.75" customHeight="1" s="114">
      <c r="A39" s="78" t="inlineStr">
        <is>
          <t>BIO 280V</t>
        </is>
      </c>
      <c r="B39" s="78" t="inlineStr">
        <is>
          <t>Exam 4</t>
        </is>
      </c>
      <c r="C39" s="110" t="inlineStr">
        <is>
          <t>Exam 4 prep - screen recording 26 Oct 2025</t>
        </is>
      </c>
      <c r="D39" s="79" t="inlineStr">
        <is>
          <t>Not named</t>
        </is>
      </c>
      <c r="E39" s="78" t="inlineStr">
        <is>
          <t>Video</t>
        </is>
      </c>
      <c r="F39" s="111">
        <f>HYPERLINK("https://drive.google.com/file/d/1xK-o6-XiEIM64IG_U-GFv_GNbNHEjEBL/view","▶  Watch")</f>
        <v/>
      </c>
      <c r="G39" s="110" t="n"/>
    </row>
    <row r="40" ht="15.75" customHeight="1" s="114">
      <c r="A40" s="82" t="inlineStr">
        <is>
          <t>BIO 280V</t>
        </is>
      </c>
      <c r="B40" s="82" t="inlineStr">
        <is>
          <t>Exam 5</t>
        </is>
      </c>
      <c r="C40" s="112" t="inlineStr">
        <is>
          <t>Exam 5 prep - screen recording 7 Nov 2025</t>
        </is>
      </c>
      <c r="D40" s="83" t="inlineStr">
        <is>
          <t>Not named</t>
        </is>
      </c>
      <c r="E40" s="82" t="inlineStr">
        <is>
          <t>Video</t>
        </is>
      </c>
      <c r="F40" s="113">
        <f>HYPERLINK("https://drive.google.com/file/d/19WESnmeDH52d7Z272xVo6UshjrjqDnmO/view","▶  Watch")</f>
        <v/>
      </c>
      <c r="G40" s="112" t="n"/>
    </row>
    <row r="41" ht="15.75" customHeight="1" s="114">
      <c r="A41" s="78" t="inlineStr">
        <is>
          <t>BIO 280V</t>
        </is>
      </c>
      <c r="B41" s="78" t="inlineStr">
        <is>
          <t>FINAL</t>
        </is>
      </c>
      <c r="C41" s="110" t="inlineStr">
        <is>
          <t>Final exam prep</t>
        </is>
      </c>
      <c r="D41" s="79" t="inlineStr">
        <is>
          <t>Exam prep</t>
        </is>
      </c>
      <c r="E41" s="78" t="inlineStr">
        <is>
          <t>Video</t>
        </is>
      </c>
      <c r="F41" s="111">
        <f>HYPERLINK("https://drive.google.com/file/d/116e4sUGbtET7q_r_FWaWS4E3YqOfGWI6/view","▶  Watch")</f>
        <v/>
      </c>
      <c r="G41" s="110" t="n"/>
    </row>
    <row r="42" ht="15.75" customHeight="1" s="114">
      <c r="A42" s="82" t="inlineStr">
        <is>
          <t>Anatomy</t>
        </is>
      </c>
      <c r="B42" s="82" t="inlineStr">
        <is>
          <t>Module 8</t>
        </is>
      </c>
      <c r="C42" s="112" t="inlineStr">
        <is>
          <t>Exam review</t>
        </is>
      </c>
      <c r="D42" s="83" t="inlineStr">
        <is>
          <t>Not named</t>
        </is>
      </c>
      <c r="E42" s="82" t="inlineStr">
        <is>
          <t>Video</t>
        </is>
      </c>
      <c r="F42" s="113">
        <f>HYPERLINK("https://drive.google.com/file/d/10zFKUxRWpBiNulYb_P0pOcA9T196bWRY/view","▶  Watch")</f>
        <v/>
      </c>
      <c r="G42" s="112" t="inlineStr">
        <is>
          <t>Week 8</t>
        </is>
      </c>
    </row>
    <row r="43" ht="15.75" customHeight="1" s="114">
      <c r="A43" s="78" t="inlineStr">
        <is>
          <t>Anatomy</t>
        </is>
      </c>
      <c r="B43" s="78" t="inlineStr">
        <is>
          <t>FINAL</t>
        </is>
      </c>
      <c r="C43" s="110" t="inlineStr">
        <is>
          <t>Final Review 5 August 2025</t>
        </is>
      </c>
      <c r="D43" s="79" t="inlineStr">
        <is>
          <t>Not named</t>
        </is>
      </c>
      <c r="E43" s="78" t="inlineStr">
        <is>
          <t>Video</t>
        </is>
      </c>
      <c r="F43" s="111">
        <f>HYPERLINK("https://drive.google.com/file/d/1oi_EhJSyj1T5PEM3HTnFd2aPm8pi1Yu6/view","▶  Watch")</f>
        <v/>
      </c>
      <c r="G43" s="110" t="n"/>
    </row>
    <row r="44" ht="15.75" customHeight="1" s="114">
      <c r="A44" s="82" t="inlineStr">
        <is>
          <t>Anatomy</t>
        </is>
      </c>
      <c r="B44" s="82" t="inlineStr">
        <is>
          <t>FINAL</t>
        </is>
      </c>
      <c r="C44" s="112" t="inlineStr">
        <is>
          <t>Final exam prep - screen recording 10 Aug 2025, 02:31</t>
        </is>
      </c>
      <c r="D44" s="83" t="inlineStr">
        <is>
          <t>Not named</t>
        </is>
      </c>
      <c r="E44" s="82" t="inlineStr">
        <is>
          <t>Video</t>
        </is>
      </c>
      <c r="F44" s="113">
        <f>HYPERLINK("https://drive.google.com/file/d/1jFE2tp8mgv0V-9nhg1jqA-Xx8zVi8Ez4/view","▶  Watch")</f>
        <v/>
      </c>
      <c r="G44" s="112" t="n"/>
    </row>
    <row r="45" ht="15.75" customHeight="1" s="114">
      <c r="A45" s="78" t="inlineStr">
        <is>
          <t>Anatomy</t>
        </is>
      </c>
      <c r="B45" s="78" t="inlineStr">
        <is>
          <t>FINAL</t>
        </is>
      </c>
      <c r="C45" s="110" t="inlineStr">
        <is>
          <t>Final exam prep - screen recording 12 Aug 2025, 01:43</t>
        </is>
      </c>
      <c r="D45" s="79" t="inlineStr">
        <is>
          <t>Not named</t>
        </is>
      </c>
      <c r="E45" s="78" t="inlineStr">
        <is>
          <t>Video</t>
        </is>
      </c>
      <c r="F45" s="111">
        <f>HYPERLINK("https://drive.google.com/file/d/111O_aKSsWxthGegu4uVMyUPomLdaIPhe/view","▶  Watch")</f>
        <v/>
      </c>
      <c r="G45" s="110" t="n"/>
    </row>
    <row r="46" ht="15.75" customHeight="1" s="114">
      <c r="A46" s="82" t="inlineStr">
        <is>
          <t>Anatomy</t>
        </is>
      </c>
      <c r="B46" s="82" t="inlineStr">
        <is>
          <t>FINAL</t>
        </is>
      </c>
      <c r="C46" s="112" t="inlineStr">
        <is>
          <t>Final exam prep - screen recording 12 Aug 2025, 02:12</t>
        </is>
      </c>
      <c r="D46" s="83" t="inlineStr">
        <is>
          <t>Not named</t>
        </is>
      </c>
      <c r="E46" s="82" t="inlineStr">
        <is>
          <t>Video</t>
        </is>
      </c>
      <c r="F46" s="113">
        <f>HYPERLINK("https://drive.google.com/file/d/1GBJR87x3CJbRZ0Vq-nRL4uNZKGR9nDrC/view","▶  Watch")</f>
        <v/>
      </c>
      <c r="G46" s="112" t="n"/>
    </row>
    <row r="47" ht="15.75" customHeight="1" s="114">
      <c r="A47" s="78" t="inlineStr">
        <is>
          <t>Anatomy</t>
        </is>
      </c>
      <c r="B47" s="78" t="inlineStr">
        <is>
          <t>FINAL</t>
        </is>
      </c>
      <c r="C47" s="110" t="inlineStr">
        <is>
          <t>Final exam prep - screen recording 12 Aug 2025, 22:59</t>
        </is>
      </c>
      <c r="D47" s="79" t="inlineStr">
        <is>
          <t>Not named</t>
        </is>
      </c>
      <c r="E47" s="78" t="inlineStr">
        <is>
          <t>Video</t>
        </is>
      </c>
      <c r="F47" s="111">
        <f>HYPERLINK("https://drive.google.com/file/d/12h8EGohla0Dq81dCk26DPpHsOx40V9VL/view","▶  Watch")</f>
        <v/>
      </c>
      <c r="G47" s="110" t="n"/>
    </row>
    <row r="48" ht="15.75" customHeight="1" s="114">
      <c r="A48" s="82" t="inlineStr">
        <is>
          <t>Physiology</t>
        </is>
      </c>
      <c r="B48" s="82" t="inlineStr">
        <is>
          <t>Module 10</t>
        </is>
      </c>
      <c r="C48" s="112" t="inlineStr">
        <is>
          <t>Exam Review Lecture</t>
        </is>
      </c>
      <c r="D48" s="83" t="inlineStr">
        <is>
          <t>Not named</t>
        </is>
      </c>
      <c r="E48" s="82" t="inlineStr">
        <is>
          <t>Video</t>
        </is>
      </c>
      <c r="F48" s="113">
        <f>HYPERLINK("https://drive.google.com/file/d/1UGUpXHp40ongHJunXoRhTQ0kTlTLA7Pq/view","▶  Watch")</f>
        <v/>
      </c>
      <c r="G48" s="112" t="inlineStr">
        <is>
          <t>Week 10</t>
        </is>
      </c>
    </row>
    <row r="49" ht="15.75" customHeight="1" s="114">
      <c r="A49" s="78" t="inlineStr">
        <is>
          <t>Physiology</t>
        </is>
      </c>
      <c r="B49" s="78" t="inlineStr">
        <is>
          <t>FINAL</t>
        </is>
      </c>
      <c r="C49" s="110" t="inlineStr">
        <is>
          <t>Final Exam Prep Lecture</t>
        </is>
      </c>
      <c r="D49" s="79" t="inlineStr">
        <is>
          <t>Not named</t>
        </is>
      </c>
      <c r="E49" s="78" t="inlineStr">
        <is>
          <t>Video</t>
        </is>
      </c>
      <c r="F49" s="111">
        <f>HYPERLINK("https://drive.google.com/file/d/1lWnTg0uyOq290vEkP28MvkqvJ97y5f9W/view","▶  Watch")</f>
        <v/>
      </c>
      <c r="G49" s="110" t="n"/>
    </row>
    <row r="50" ht="15.75" customHeight="1" s="114">
      <c r="A50" s="82" t="inlineStr">
        <is>
          <t>Physiology</t>
        </is>
      </c>
      <c r="B50" s="82" t="inlineStr">
        <is>
          <t>FINAL</t>
        </is>
      </c>
      <c r="C50" s="112" t="inlineStr">
        <is>
          <t>Final exam prep - screen recording 6 Aug 2025, 02:52</t>
        </is>
      </c>
      <c r="D50" s="83" t="inlineStr">
        <is>
          <t>Not named</t>
        </is>
      </c>
      <c r="E50" s="82" t="inlineStr">
        <is>
          <t>Video</t>
        </is>
      </c>
      <c r="F50" s="113">
        <f>HYPERLINK("https://drive.google.com/file/d/1z3f-a4JvsYQKFoXXjrlKhVoYD6fI2na-/view","▶  Watch")</f>
        <v/>
      </c>
      <c r="G50" s="112" t="n"/>
    </row>
    <row r="51" ht="15.75" customHeight="1" s="114">
      <c r="A51" s="78" t="inlineStr">
        <is>
          <t>Physiology</t>
        </is>
      </c>
      <c r="B51" s="78" t="inlineStr">
        <is>
          <t>FINAL</t>
        </is>
      </c>
      <c r="C51" s="110" t="inlineStr">
        <is>
          <t>Final exam prep - screen recording 6 Aug 2025, 03:31</t>
        </is>
      </c>
      <c r="D51" s="79" t="inlineStr">
        <is>
          <t>Not named</t>
        </is>
      </c>
      <c r="E51" s="78" t="inlineStr">
        <is>
          <t>Video</t>
        </is>
      </c>
      <c r="F51" s="111">
        <f>HYPERLINK("https://drive.google.com/file/d/1TL8au62OwpCJB8QvoJQPTAP3DPr2rQ9B/view","▶  Watch")</f>
        <v/>
      </c>
      <c r="G51" s="110" t="n"/>
    </row>
    <row r="52" ht="15.75" customHeight="1" s="114">
      <c r="A52" s="82" t="inlineStr">
        <is>
          <t>MAT 300</t>
        </is>
      </c>
      <c r="B52" s="82" t="inlineStr">
        <is>
          <t>Exam 1</t>
        </is>
      </c>
      <c r="C52" s="112" t="inlineStr">
        <is>
          <t>Week 7 Exam 1 Review Session</t>
        </is>
      </c>
      <c r="D52" s="83" t="inlineStr">
        <is>
          <t>Not named</t>
        </is>
      </c>
      <c r="E52" s="82" t="inlineStr">
        <is>
          <t>Video</t>
        </is>
      </c>
      <c r="F52" s="113">
        <f>HYPERLINK("https://drive.google.com/file/d/1xmpcMMEuUqaxs3rJIQPhScpMpaK6kQEZ/view","▶  Watch")</f>
        <v/>
      </c>
      <c r="G52" s="112" t="n"/>
    </row>
    <row r="53" ht="15.75" customHeight="1" s="114">
      <c r="A53" s="78" t="inlineStr">
        <is>
          <t>MAT 300</t>
        </is>
      </c>
      <c r="B53" s="78" t="inlineStr">
        <is>
          <t>FINAL</t>
        </is>
      </c>
      <c r="C53" s="110" t="inlineStr">
        <is>
          <t>Week 13 Live Session - Overview of Final Exam and Study Prep</t>
        </is>
      </c>
      <c r="D53" s="79" t="inlineStr">
        <is>
          <t>Not named</t>
        </is>
      </c>
      <c r="E53" s="78" t="inlineStr">
        <is>
          <t>Video</t>
        </is>
      </c>
      <c r="F53" s="111">
        <f>HYPERLINK("https://drive.google.com/file/d/1_R3mEoaWiDwBkg9wO_y2pz1VLP9YQkt0/view","▶  Watch")</f>
        <v/>
      </c>
      <c r="G53" s="110" t="n"/>
    </row>
    <row r="54" ht="15.75" customHeight="1" s="114">
      <c r="A54" s="82" t="inlineStr">
        <is>
          <t>MAT 300</t>
        </is>
      </c>
      <c r="B54" s="82" t="inlineStr">
        <is>
          <t>FINAL</t>
        </is>
      </c>
      <c r="C54" s="112" t="inlineStr">
        <is>
          <t>Final Exam Review Session</t>
        </is>
      </c>
      <c r="D54" s="83" t="inlineStr">
        <is>
          <t>Not named</t>
        </is>
      </c>
      <c r="E54" s="82" t="inlineStr">
        <is>
          <t>Video</t>
        </is>
      </c>
      <c r="F54" s="113">
        <f>HYPERLINK("https://drive.google.com/file/d/15iJt8VD1yRH6a94TFhQsv4XpNmoFCD-6/view","▶  Watch")</f>
        <v/>
      </c>
      <c r="G54" s="112"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89" t="n"/>
      <c r="B57" s="89" t="n"/>
      <c r="C57" s="89" t="n"/>
      <c r="D57" s="89" t="n"/>
      <c r="E57" s="89" t="n"/>
      <c r="F57" s="89" t="n"/>
      <c r="G57" s="89"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2026-10-06T22:55:11Z</dcterms:modified>
</cp:coreProperties>
</file>